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\Desktop\"/>
    </mc:Choice>
  </mc:AlternateContent>
  <xr:revisionPtr revIDLastSave="0" documentId="13_ncr:1_{980E3BE6-4FB4-43D2-9C1F-C2A74DADFF49}" xr6:coauthVersionLast="47" xr6:coauthVersionMax="47" xr10:uidLastSave="{00000000-0000-0000-0000-000000000000}"/>
  <bookViews>
    <workbookView xWindow="-120" yWindow="-120" windowWidth="20730" windowHeight="11160" firstSheet="3" activeTab="11" xr2:uid="{FB4F1831-F2BC-407D-892E-585562C6700A}"/>
  </bookViews>
  <sheets>
    <sheet name="Orders Dataset" sheetId="1" r:id="rId1"/>
    <sheet name="Details Dataset" sheetId="2" r:id="rId2"/>
    <sheet name="Task-1" sheetId="3" r:id="rId3"/>
    <sheet name="Task-2" sheetId="4" r:id="rId4"/>
    <sheet name="Task-3" sheetId="5" r:id="rId5"/>
    <sheet name="Task-4" sheetId="6" r:id="rId6"/>
    <sheet name="Task-5" sheetId="7" r:id="rId7"/>
    <sheet name="Task-6" sheetId="8" r:id="rId8"/>
    <sheet name="Task-7" sheetId="9" r:id="rId9"/>
    <sheet name="Task-8" sheetId="10" r:id="rId10"/>
    <sheet name="Task-9" sheetId="11" r:id="rId11"/>
    <sheet name="Task-10" sheetId="12" r:id="rId12"/>
  </sheets>
  <definedNames>
    <definedName name="_xlnm._FilterDatabase" localSheetId="10" hidden="1">'Task-9'!$A$1:$B$1501</definedName>
    <definedName name="_xlchart.v1.0" hidden="1">'Task-2'!$I$1</definedName>
    <definedName name="_xlchart.v1.1" hidden="1">'Task-2'!$I$2:$I$309</definedName>
    <definedName name="_xlchart.v1.2" hidden="1">'Task-2'!$J$1</definedName>
    <definedName name="_xlchart.v1.3" hidden="1">'Task-2'!$J$2:$J$309</definedName>
    <definedName name="_xlchart.v1.4" hidden="1">'Task-2'!$K$1</definedName>
    <definedName name="_xlchart.v1.5" hidden="1">'Task-2'!$K$2:$K$309</definedName>
  </definedNames>
  <calcPr calcId="191029"/>
  <pivotCaches>
    <pivotCache cacheId="0" r:id="rId13"/>
    <pivotCache cacheId="18" r:id="rId14"/>
    <pivotCache cacheId="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11" l="1"/>
  <c r="F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2" i="2"/>
  <c r="M4" i="6"/>
  <c r="D19" i="6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2" i="2"/>
  <c r="T4" i="4"/>
  <c r="T3" i="4"/>
  <c r="S3" i="4"/>
  <c r="T2" i="4"/>
  <c r="S2" i="4"/>
  <c r="R3" i="4"/>
  <c r="R2" i="4"/>
  <c r="P3" i="4"/>
  <c r="O3" i="4"/>
  <c r="P2" i="4"/>
  <c r="O2" i="4"/>
  <c r="N3" i="4"/>
  <c r="N2" i="4"/>
  <c r="K2" i="4" a="1"/>
  <c r="K2" i="4" s="1"/>
  <c r="J2" i="4" a="1"/>
  <c r="J2" i="4" s="1"/>
  <c r="I2" i="4" a="1"/>
  <c r="I2" i="4" s="1"/>
  <c r="D3" i="3"/>
  <c r="S4" i="4" l="1"/>
  <c r="R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<sst xmlns="http://schemas.openxmlformats.org/spreadsheetml/2006/main" count="14151" uniqueCount="948">
  <si>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</si>
  <si>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</si>
  <si>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</si>
  <si>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</si>
  <si>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</si>
  <si>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</si>
  <si>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</si>
  <si>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</si>
  <si>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</si>
  <si>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</si>
  <si>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</si>
  <si>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</si>
  <si>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</si>
  <si>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</si>
  <si>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</si>
  <si>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</si>
  <si>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</si>
  <si>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</si>
  <si>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</si>
  <si>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</si>
  <si>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</si>
  <si>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</si>
  <si>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</si>
  <si>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</si>
  <si>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</si>
  <si>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</si>
  <si>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</si>
  <si>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</si>
  <si>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</si>
  <si>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</si>
  <si>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</si>
  <si>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</si>
  <si>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</si>
  <si>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</si>
  <si>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</si>
  <si>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</si>
  <si>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</si>
  <si>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</si>
  <si>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</si>
  <si>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</si>
  <si>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</si>
  <si>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</si>
  <si>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</si>
  <si>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</si>
  <si>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</si>
  <si>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</si>
  <si>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</si>
  <si>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</si>
  <si>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</si>
  <si>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</si>
  <si>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</si>
  <si>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</si>
  <si>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</si>
  <si>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</si>
  <si>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</si>
  <si>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</si>
  <si>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</si>
  <si>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</si>
  <si>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</si>
  <si>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</si>
  <si>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</si>
  <si>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</si>
  <si>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</si>
  <si>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</si>
  <si>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</si>
  <si>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</si>
  <si>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</si>
  <si>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</si>
  <si>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</si>
  <si>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</si>
  <si>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</si>
  <si>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</si>
  <si>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</si>
  <si>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</si>
  <si>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</si>
  <si>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>Kerala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</si>
  <si>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</si>
  <si>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</si>
  <si>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</si>
  <si>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</si>
  <si>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</si>
  <si>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</si>
  <si>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</si>
  <si>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</si>
  <si>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</si>
  <si>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</si>
  <si>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</si>
  <si>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</si>
  <si>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</si>
  <si>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</si>
  <si>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</si>
  <si>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</si>
  <si>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</si>
  <si>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</si>
  <si>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</si>
  <si>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</si>
  <si>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</si>
  <si>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</si>
  <si>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</si>
  <si>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</si>
  <si>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</si>
  <si>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</si>
  <si>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</si>
  <si>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</si>
  <si>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</si>
  <si>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</si>
  <si>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</si>
  <si>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</si>
  <si>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</si>
  <si>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</si>
  <si>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</si>
  <si>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</si>
  <si>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</si>
  <si>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</si>
  <si>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</si>
  <si>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</si>
  <si>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</si>
  <si>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</si>
  <si>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</si>
  <si>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</si>
  <si>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</si>
  <si>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</si>
  <si>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</si>
  <si>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</si>
  <si>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</si>
  <si>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</si>
  <si>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</si>
  <si>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</si>
  <si>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</si>
  <si>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</si>
  <si>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</si>
  <si>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</si>
  <si>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</si>
  <si>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</si>
  <si>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</si>
  <si>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</si>
  <si>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</si>
  <si>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</si>
  <si>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</si>
  <si>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</si>
  <si>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</si>
  <si>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</si>
  <si>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</si>
  <si>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</si>
  <si>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</si>
  <si>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</si>
  <si>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</si>
  <si>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</si>
  <si>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</si>
  <si>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</si>
  <si>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</si>
  <si>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</si>
  <si>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</si>
  <si>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</si>
  <si>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</si>
  <si>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</si>
  <si>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</si>
  <si>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</si>
  <si>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</si>
  <si>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</si>
  <si>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</si>
  <si>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</si>
  <si>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</si>
  <si>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</si>
  <si>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</si>
  <si>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</si>
  <si>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</si>
  <si>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</si>
  <si>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</si>
  <si>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</si>
  <si>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</si>
  <si>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</si>
  <si>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</si>
  <si>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</si>
  <si>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</si>
  <si>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</si>
  <si>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</si>
  <si>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</si>
  <si>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</si>
  <si>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</si>
  <si>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</si>
  <si>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</si>
  <si>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</si>
  <si>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</si>
  <si>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</si>
  <si>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</si>
  <si>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</si>
  <si>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</si>
  <si>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</si>
  <si>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</si>
  <si>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</si>
  <si>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</si>
  <si>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</si>
  <si>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</si>
  <si>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</si>
  <si>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</si>
  <si>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</si>
  <si>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</si>
  <si>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</si>
  <si>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</si>
  <si>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</si>
  <si>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</si>
  <si>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</si>
  <si>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</si>
  <si>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</si>
  <si>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</si>
  <si>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</si>
  <si>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</si>
  <si>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</si>
  <si>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</si>
  <si>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</si>
  <si>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</si>
  <si>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</si>
  <si>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</si>
  <si>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</si>
  <si>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</si>
  <si>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</si>
  <si>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</si>
  <si>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</si>
  <si>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</si>
  <si>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</si>
  <si>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</si>
  <si>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</si>
  <si>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</si>
  <si>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</si>
  <si>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</si>
  <si>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</si>
  <si>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</si>
  <si>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</si>
  <si>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</si>
  <si>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</si>
  <si>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</si>
  <si>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</si>
  <si>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</si>
  <si>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</si>
  <si>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</si>
  <si>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</si>
  <si>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</si>
  <si>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</si>
  <si>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</si>
  <si>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</si>
  <si>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</si>
  <si>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</si>
  <si>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</si>
  <si>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</si>
  <si>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</si>
  <si>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</si>
  <si>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</si>
  <si>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</si>
  <si>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</si>
  <si>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</si>
  <si>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</si>
  <si>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</si>
  <si>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</si>
  <si>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</si>
  <si>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</si>
  <si>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</si>
  <si>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</si>
  <si>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</si>
  <si>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</si>
  <si>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</si>
  <si>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</si>
  <si>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</si>
  <si>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</si>
  <si>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</si>
  <si>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</si>
  <si>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</si>
  <si>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</si>
  <si>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</si>
  <si>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</si>
  <si>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</si>
  <si>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</si>
  <si>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</si>
  <si>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</si>
  <si>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</si>
  <si>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</si>
  <si>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</si>
  <si>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</si>
  <si>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</si>
  <si>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</si>
  <si>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</si>
  <si>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</si>
  <si>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</si>
  <si>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</si>
  <si>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</si>
  <si>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</si>
  <si>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</si>
  <si>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</si>
  <si>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</si>
  <si>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</si>
  <si>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</si>
  <si>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</si>
  <si>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</si>
  <si>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</si>
  <si>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</si>
  <si>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</si>
  <si>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</si>
  <si>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</si>
  <si>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</si>
  <si>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</si>
  <si>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</si>
  <si>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</si>
  <si>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</si>
  <si>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</si>
  <si>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</si>
  <si>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</si>
  <si>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</si>
  <si>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</si>
  <si>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</si>
  <si>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</si>
  <si>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</si>
  <si>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</si>
  <si>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</si>
  <si>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</si>
  <si>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</si>
  <si>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</si>
  <si>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</si>
  <si>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</si>
  <si>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</si>
  <si>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</si>
  <si>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</si>
  <si>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</si>
  <si>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</si>
  <si>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</si>
  <si>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</si>
  <si>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</si>
  <si>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</si>
  <si>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</si>
  <si>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</si>
  <si>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</si>
  <si>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</si>
  <si>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</si>
  <si>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</si>
  <si>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</si>
  <si>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</si>
  <si>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</si>
  <si>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</si>
  <si>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</si>
  <si>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</si>
  <si>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</si>
  <si>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</si>
  <si>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</si>
  <si>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</si>
  <si>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</si>
  <si>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</si>
  <si>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</si>
  <si>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</si>
  <si>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</si>
  <si>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</si>
  <si>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</si>
  <si>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</si>
  <si>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</si>
  <si>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</si>
  <si>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</si>
  <si>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</si>
  <si>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</si>
  <si>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</si>
  <si>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</si>
  <si>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</si>
  <si>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</si>
  <si>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</si>
  <si>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</si>
  <si>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</si>
  <si>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</si>
  <si>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</si>
  <si>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</si>
  <si>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</si>
  <si>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</si>
  <si>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</si>
  <si>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</si>
  <si>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</si>
  <si>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</si>
  <si>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</si>
  <si>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</si>
  <si>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</si>
  <si>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</si>
  <si>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</si>
  <si>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</si>
  <si>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</si>
  <si>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</si>
  <si>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</si>
  <si>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</si>
  <si>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</si>
  <si>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</si>
  <si>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</si>
  <si>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</si>
  <si>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</si>
  <si>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</si>
  <si>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</si>
  <si>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</si>
  <si>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</si>
  <si>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</si>
  <si>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</si>
  <si>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</si>
  <si>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</si>
  <si>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</si>
  <si>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</si>
  <si>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</si>
  <si>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</si>
  <si>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</si>
  <si>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</si>
  <si>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</si>
  <si>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</si>
  <si>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</si>
  <si>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</si>
  <si>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</si>
  <si>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</si>
  <si>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</si>
  <si>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</si>
  <si>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</si>
  <si>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</si>
  <si>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</si>
  <si>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</si>
  <si>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</si>
  <si>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</si>
  <si>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</si>
  <si>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</si>
  <si>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</si>
  <si>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</si>
  <si>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</si>
  <si>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</si>
  <si>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</si>
  <si>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</si>
  <si>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</si>
  <si>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</si>
  <si>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</si>
  <si>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</si>
  <si>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</si>
  <si>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</si>
  <si>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</si>
  <si>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</si>
  <si>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</si>
  <si>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</si>
  <si>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</si>
  <si>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</si>
  <si>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</si>
  <si>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</si>
  <si>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</si>
  <si>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</si>
  <si>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</si>
  <si>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</si>
  <si>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</si>
  <si>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</si>
  <si>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</si>
  <si>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</si>
  <si>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</si>
  <si>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</si>
  <si>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</si>
  <si>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</si>
  <si>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</si>
  <si>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</si>
  <si>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</si>
  <si>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</si>
  <si>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</si>
  <si>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</si>
  <si>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</si>
  <si>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</si>
  <si>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</si>
  <si>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</si>
  <si>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</si>
  <si>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</si>
  <si>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</si>
  <si>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</si>
  <si>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</si>
  <si>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</si>
  <si>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</si>
  <si>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</si>
  <si>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</si>
  <si>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</si>
  <si>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</si>
  <si>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</si>
  <si>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</si>
  <si>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</si>
  <si>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</si>
  <si>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</si>
  <si>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</si>
  <si>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</si>
  <si>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</si>
  <si>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</si>
  <si>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</si>
  <si>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</si>
  <si>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</si>
  <si>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</si>
  <si>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</si>
  <si>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</si>
  <si>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</si>
  <si>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</si>
  <si>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</si>
  <si>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</si>
  <si>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</si>
  <si>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</si>
  <si>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</si>
  <si>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</si>
  <si>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</si>
  <si>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</si>
  <si>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</si>
  <si>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</si>
  <si>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</si>
  <si>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</si>
  <si>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</si>
  <si>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</si>
  <si>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</si>
  <si>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</si>
  <si>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</si>
  <si>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</si>
  <si>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</si>
  <si>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</si>
  <si>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</si>
  <si>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</si>
  <si>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</si>
  <si>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</si>
  <si>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</si>
  <si>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</si>
  <si>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</si>
  <si>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</si>
  <si>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</si>
  <si>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</si>
  <si>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</si>
  <si>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</si>
  <si>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</si>
  <si>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</si>
  <si>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</si>
  <si>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</si>
  <si>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</si>
  <si>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</si>
  <si>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</si>
  <si>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</si>
  <si>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</si>
  <si>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</si>
  <si>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</si>
  <si>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</si>
  <si>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</si>
  <si>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</si>
  <si>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</si>
  <si>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</si>
  <si>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</si>
  <si>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</si>
  <si>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</si>
  <si>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</si>
  <si>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</si>
  <si>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</si>
  <si>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</si>
  <si>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</si>
  <si>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</si>
  <si>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</si>
  <si>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</si>
  <si>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</si>
  <si>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</si>
  <si>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</si>
  <si>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</si>
  <si>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</si>
  <si>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</si>
  <si>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</si>
  <si>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</si>
  <si>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</si>
  <si>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</si>
  <si>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</si>
  <si>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</si>
  <si>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</si>
  <si>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</si>
  <si>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</si>
  <si>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</si>
  <si>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</si>
  <si>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</si>
  <si>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</si>
  <si>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</si>
  <si>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</si>
  <si>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</si>
  <si>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</si>
  <si>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</si>
  <si>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</si>
  <si>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</si>
  <si>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</si>
  <si>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</si>
  <si>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</si>
  <si>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</si>
  <si>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</si>
  <si>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</si>
  <si>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</si>
  <si>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</si>
  <si>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</si>
  <si>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</si>
  <si>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</si>
  <si>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</si>
  <si>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</si>
  <si>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</si>
  <si>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</si>
  <si>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</si>
  <si>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</si>
  <si>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</si>
  <si>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</si>
  <si>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</si>
  <si>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</si>
  <si>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</si>
  <si>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</si>
  <si>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</si>
  <si>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</si>
  <si>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</si>
  <si>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</si>
  <si>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</si>
  <si>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</si>
  <si>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</si>
  <si>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</si>
  <si>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</si>
  <si>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</si>
  <si>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</si>
  <si>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</si>
  <si>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</si>
  <si>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</si>
  <si>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</si>
  <si>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</si>
  <si>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</si>
  <si>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</si>
  <si>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</si>
  <si>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</si>
  <si>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</si>
  <si>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</si>
  <si>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</si>
  <si>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</si>
  <si>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</si>
  <si>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</si>
  <si>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</si>
  <si>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</si>
  <si>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</si>
  <si>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</si>
  <si>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</si>
  <si>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</si>
  <si>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</si>
  <si>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</si>
  <si>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</si>
  <si>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</si>
  <si>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</si>
  <si>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</si>
  <si>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</si>
  <si>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</si>
  <si>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</si>
  <si>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</si>
  <si>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</si>
  <si>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</si>
  <si>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</si>
  <si>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</si>
  <si>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</si>
  <si>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</si>
  <si>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</si>
  <si>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</si>
  <si>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</si>
  <si>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</si>
  <si>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</si>
  <si>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</si>
  <si>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</si>
  <si>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</si>
  <si>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</si>
  <si>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</si>
  <si>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</si>
  <si>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</si>
  <si>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</si>
  <si>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</si>
  <si>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</si>
  <si>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</si>
  <si>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</si>
  <si>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</si>
  <si>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</si>
  <si>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</si>
  <si>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</si>
  <si>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</si>
  <si>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</si>
  <si>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</si>
  <si>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</si>
  <si>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</si>
  <si>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</si>
  <si>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</si>
  <si>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</si>
  <si>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</si>
  <si>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</si>
  <si>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</si>
  <si>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</si>
  <si>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</si>
  <si>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</si>
  <si>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</si>
  <si>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</si>
  <si>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</si>
  <si>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</si>
  <si>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</si>
  <si>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</si>
  <si>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</si>
  <si>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</si>
  <si>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</si>
  <si>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</si>
  <si>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</si>
  <si>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</si>
  <si>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</si>
  <si>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</si>
  <si>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</si>
  <si>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</si>
  <si>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</si>
  <si>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</si>
  <si>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</si>
  <si>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</si>
  <si>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</si>
  <si>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</si>
  <si>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</si>
  <si>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</si>
  <si>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</si>
  <si>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</si>
  <si>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</si>
  <si>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</si>
  <si>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</si>
  <si>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</si>
  <si>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</si>
  <si>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</si>
  <si>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</si>
  <si>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</si>
  <si>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</si>
  <si>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</si>
  <si>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</si>
  <si>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</si>
  <si>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</si>
  <si>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</si>
  <si>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</si>
  <si>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</si>
  <si>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</si>
  <si>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</si>
  <si>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</si>
  <si>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</si>
  <si>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</si>
  <si>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</si>
  <si>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</si>
  <si>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</si>
  <si>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</si>
  <si>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</si>
  <si>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</si>
  <si>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</si>
  <si>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</si>
  <si>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</si>
  <si>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</si>
  <si>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</si>
  <si>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</si>
  <si>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</si>
  <si>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</si>
  <si>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</si>
  <si>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</si>
  <si>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</si>
  <si>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</si>
  <si>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</si>
  <si>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</si>
  <si>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</si>
  <si>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</si>
  <si>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</si>
  <si>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</si>
  <si>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</si>
  <si>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</si>
  <si>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</si>
  <si>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</si>
  <si>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</si>
  <si>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</si>
  <si>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</si>
  <si>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</si>
  <si>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</si>
  <si>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</si>
  <si>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</si>
  <si>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</si>
  <si>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</si>
  <si>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</si>
  <si>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</si>
  <si>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</si>
  <si>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</si>
  <si>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</si>
  <si>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</si>
  <si>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</si>
  <si>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</si>
  <si>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</si>
  <si>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</si>
  <si>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</si>
  <si>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</si>
  <si>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</si>
  <si>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</si>
  <si>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</si>
  <si>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</si>
  <si>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</si>
  <si>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</si>
  <si>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</si>
  <si>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</si>
  <si>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</si>
  <si>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</si>
  <si>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</si>
  <si>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</si>
  <si>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</si>
  <si>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</si>
  <si>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</si>
  <si>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</si>
  <si>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</si>
  <si>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</si>
  <si>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</si>
  <si>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</si>
  <si>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</si>
  <si>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</si>
  <si>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</si>
  <si>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</si>
  <si>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</si>
  <si>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</si>
  <si>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</si>
  <si>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</si>
  <si>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</si>
  <si>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</si>
  <si>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</si>
  <si>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</si>
  <si>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</si>
  <si>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</si>
  <si>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</si>
  <si>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</si>
  <si>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</si>
  <si>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</si>
  <si>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</si>
  <si>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</si>
  <si>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</si>
  <si>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</si>
  <si>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</si>
  <si>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</si>
  <si>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</si>
  <si>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</si>
  <si>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</si>
  <si>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</si>
  <si>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</si>
  <si>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</si>
  <si>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</si>
  <si>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</si>
  <si>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</si>
  <si>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</si>
  <si>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</si>
  <si>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</si>
  <si>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</si>
  <si>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</si>
  <si>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</si>
  <si>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</si>
  <si>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</si>
  <si>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</si>
  <si>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</si>
  <si>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</si>
  <si>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</si>
  <si>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</si>
  <si>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</si>
  <si>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</si>
  <si>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</si>
  <si>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</si>
  <si>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</si>
  <si>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</si>
  <si>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</si>
  <si>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</si>
  <si>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</si>
  <si>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</si>
  <si>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</si>
  <si>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</si>
  <si>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</si>
  <si>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</si>
  <si>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</si>
  <si>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</si>
  <si>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</si>
  <si>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</si>
  <si>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</si>
  <si>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</si>
  <si>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</si>
  <si>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</si>
  <si>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</si>
  <si>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</si>
  <si>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</si>
  <si>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</si>
  <si>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</si>
  <si>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</si>
  <si>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</si>
  <si>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</si>
  <si>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</si>
  <si>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</si>
  <si>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</si>
  <si>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</si>
  <si>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</si>
  <si>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</si>
  <si>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</si>
  <si>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</si>
  <si>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</si>
  <si>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</si>
  <si>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</si>
  <si>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</si>
  <si>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</si>
  <si>
    <t>Amount</t>
  </si>
  <si>
    <t>Profit</t>
  </si>
  <si>
    <t>Quantity</t>
  </si>
  <si>
    <t>Category</t>
  </si>
  <si>
    <t>Sub-Category</t>
  </si>
  <si>
    <t>PaymentMode</t>
  </si>
  <si>
    <t>Electronics</t>
  </si>
  <si>
    <t>Electronic Games</t>
  </si>
  <si>
    <t>COD</t>
  </si>
  <si>
    <t>Furniture</t>
  </si>
  <si>
    <t>Chairs</t>
  </si>
  <si>
    <t>EMI</t>
  </si>
  <si>
    <t>Bookcases</t>
  </si>
  <si>
    <t>Printers</t>
  </si>
  <si>
    <t>Credit Card</t>
  </si>
  <si>
    <t>Phones</t>
  </si>
  <si>
    <t>Clothing</t>
  </si>
  <si>
    <t>Trousers</t>
  </si>
  <si>
    <t>Saree</t>
  </si>
  <si>
    <t>UPI</t>
  </si>
  <si>
    <t>Hankerchief</t>
  </si>
  <si>
    <t>Kurti</t>
  </si>
  <si>
    <t>Skirt</t>
  </si>
  <si>
    <t>Tables</t>
  </si>
  <si>
    <t>Stole</t>
  </si>
  <si>
    <t>Leggings</t>
  </si>
  <si>
    <t>Accessories</t>
  </si>
  <si>
    <t>T-shirt</t>
  </si>
  <si>
    <t>Debit Card</t>
  </si>
  <si>
    <t>Furnishings</t>
  </si>
  <si>
    <t>Shirt</t>
  </si>
  <si>
    <t>Correlation Coefficient</t>
  </si>
  <si>
    <t xml:space="preserve">   &lt;&lt;&lt;&lt;&lt;</t>
  </si>
  <si>
    <t>Moderate Positive Relationship</t>
  </si>
  <si>
    <t>Outlier close to ( -2000)</t>
  </si>
  <si>
    <t>Mean</t>
  </si>
  <si>
    <t>Median</t>
  </si>
  <si>
    <r>
      <rPr>
        <b/>
        <sz val="11"/>
        <color theme="1"/>
        <rFont val="Calibri"/>
        <family val="2"/>
        <scheme val="minor"/>
      </rPr>
      <t>Electronics</t>
    </r>
    <r>
      <rPr>
        <sz val="11"/>
        <color theme="1"/>
        <rFont val="Calibri"/>
        <family val="2"/>
        <scheme val="minor"/>
      </rPr>
      <t xml:space="preserve"> Orders has higher profit than typical Furniture order</t>
    </r>
  </si>
  <si>
    <t>Q1</t>
  </si>
  <si>
    <t>Q3</t>
  </si>
  <si>
    <t>IQR</t>
  </si>
  <si>
    <t>Grand Total</t>
  </si>
  <si>
    <t>Count of Order ID</t>
  </si>
  <si>
    <t>Maximum UPI mode use in Madhya Pradesh</t>
  </si>
  <si>
    <t>Minimum UPI mode use in sikkim</t>
  </si>
  <si>
    <t>Correlation Coefficent</t>
  </si>
  <si>
    <t>Moderate Positive Relation</t>
  </si>
  <si>
    <t>Quantity increase than profit also increase</t>
  </si>
  <si>
    <t>Maximum</t>
  </si>
  <si>
    <t>&lt;  outlier</t>
  </si>
  <si>
    <t>Sum of Amount</t>
  </si>
  <si>
    <t>Month</t>
  </si>
  <si>
    <t>Year</t>
  </si>
  <si>
    <t>Lowest no of order (Aug)</t>
  </si>
  <si>
    <t>Lowest no of order (june)</t>
  </si>
  <si>
    <t>Highest no of Orders (Jan)</t>
  </si>
  <si>
    <t>Order decreased (Jan to June)</t>
  </si>
  <si>
    <t>Order stable (June to Sept)</t>
  </si>
  <si>
    <t>Order increase (Oct to Dec)</t>
  </si>
  <si>
    <t>Average of Profit</t>
  </si>
  <si>
    <t>Highlighted Low Profit average States</t>
  </si>
  <si>
    <t>Maintain product Quality and Price</t>
  </si>
  <si>
    <t>Correlation  Coefficent</t>
  </si>
  <si>
    <t>Moderate Positve Correlation</t>
  </si>
  <si>
    <t>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</si>
</sst>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/>
    <xf numFmtId="0" fontId="0" fillId="2" borderId="0" xfId="0" applyFill="1"/>
    <xf numFmtId="0" fontId="0" fillId="0" borderId="0" xfId="0"/>
    <xf numFmtId="0" fontId="0" fillId="3" borderId="0" xfId="0" applyFill="1"/>
    <xf numFmtId="0" fontId="0" fillId="0" borderId="1" xfId="0" applyBorder="1"/>
    <xf numFmtId="0" fontId="0" fillId="4" borderId="2" xfId="0" applyFill="1" applyBorder="1"/>
    <xf numFmtId="0" fontId="0" fillId="0" borderId="0" xfId="0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6" borderId="0" xfId="0" applyFill="1"/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3" borderId="0" xfId="0" applyFont="1" applyFill="1"/>
    <xf numFmtId="0" fontId="0" fillId="7" borderId="0" xfId="0" applyNumberFormat="1" applyFill="1"/>
    <xf numFmtId="0" fontId="3" fillId="8" borderId="0" xfId="0" applyNumberFormat="1" applyFont="1" applyFill="1"/>
    <xf numFmtId="0" fontId="2" fillId="8" borderId="0" xfId="0" applyNumberFormat="1" applyFont="1" applyFill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3" xfId="0" applyNumberFormat="1" applyBorder="1"/>
    <xf numFmtId="0" fontId="0" fillId="4" borderId="3" xfId="0" applyNumberFormat="1" applyFill="1" applyBorder="1"/>
    <xf numFmtId="0" fontId="0" fillId="0" borderId="3" xfId="0" pivotButton="1" applyBorder="1"/>
    <xf numFmtId="0" fontId="0" fillId="0" borderId="3" xfId="0" applyBorder="1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5" borderId="0" xfId="0" applyFont="1" applyFill="1"/>
    <xf numFmtId="0" fontId="0" fillId="5" borderId="0" xfId="0" applyFill="1" applyAlignment="1">
      <alignment horizontal="left" vertical="center"/>
    </xf>
  </cellXfs>
  <cellStyles count="1">
    <cellStyle name="Normal" xfId="0" builtinId="0"/>
  </cellStyles>
  <dxfs count="2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theme="0"/>
        </patternFill>
      </fill>
    </dxf>
    <dxf>
      <font>
        <b/>
      </font>
    </dxf>
    <dxf>
      <font>
        <color theme="0"/>
      </font>
    </dxf>
    <dxf>
      <fill>
        <patternFill>
          <bgColor theme="4" tint="-0.249977111117893"/>
        </patternFill>
      </fill>
    </dxf>
    <dxf>
      <font>
        <color theme="0"/>
      </font>
    </dxf>
    <dxf>
      <fill>
        <patternFill>
          <bgColor theme="4" tint="-0.249977111117893"/>
        </patternFill>
      </fill>
    </dxf>
    <dxf>
      <fill>
        <patternFill>
          <bgColor theme="4" tint="-0.249977111117893"/>
        </patternFill>
      </fill>
    </dxf>
    <dxf>
      <font>
        <color theme="0"/>
      </font>
    </dxf>
    <dxf>
      <fill>
        <patternFill patternType="solid"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'Task-1'!$B$1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'Task-1'!$A$2:$A$1501</c:f>
              <c:numCache>
                <c:formatCode>General</c:formatCode>
                <c:ptCount val="1500"/>
                <c:pt idx="0">
                  <c:v>1096</c:v>
                </c:pt>
                <c:pt idx="1">
                  <c:v>5729</c:v>
                </c:pt>
                <c:pt idx="2">
                  <c:v>2927</c:v>
                </c:pt>
                <c:pt idx="3">
                  <c:v>2847</c:v>
                </c:pt>
                <c:pt idx="4">
                  <c:v>2617</c:v>
                </c:pt>
                <c:pt idx="5">
                  <c:v>2244</c:v>
                </c:pt>
                <c:pt idx="6">
                  <c:v>275</c:v>
                </c:pt>
                <c:pt idx="7">
                  <c:v>387</c:v>
                </c:pt>
                <c:pt idx="8">
                  <c:v>50</c:v>
                </c:pt>
                <c:pt idx="9">
                  <c:v>135</c:v>
                </c:pt>
                <c:pt idx="10">
                  <c:v>231</c:v>
                </c:pt>
                <c:pt idx="11">
                  <c:v>2125</c:v>
                </c:pt>
                <c:pt idx="12">
                  <c:v>3873</c:v>
                </c:pt>
                <c:pt idx="13">
                  <c:v>729</c:v>
                </c:pt>
                <c:pt idx="14">
                  <c:v>2188</c:v>
                </c:pt>
                <c:pt idx="15">
                  <c:v>6</c:v>
                </c:pt>
                <c:pt idx="16">
                  <c:v>1854</c:v>
                </c:pt>
                <c:pt idx="17">
                  <c:v>6</c:v>
                </c:pt>
                <c:pt idx="18">
                  <c:v>2093</c:v>
                </c:pt>
                <c:pt idx="19">
                  <c:v>7</c:v>
                </c:pt>
                <c:pt idx="20">
                  <c:v>1622</c:v>
                </c:pt>
                <c:pt idx="21">
                  <c:v>1622</c:v>
                </c:pt>
                <c:pt idx="22">
                  <c:v>373</c:v>
                </c:pt>
                <c:pt idx="23">
                  <c:v>82</c:v>
                </c:pt>
                <c:pt idx="24">
                  <c:v>8</c:v>
                </c:pt>
                <c:pt idx="25">
                  <c:v>1954</c:v>
                </c:pt>
                <c:pt idx="26">
                  <c:v>1543</c:v>
                </c:pt>
                <c:pt idx="27">
                  <c:v>1506</c:v>
                </c:pt>
                <c:pt idx="28">
                  <c:v>1829</c:v>
                </c:pt>
                <c:pt idx="29">
                  <c:v>9</c:v>
                </c:pt>
                <c:pt idx="30">
                  <c:v>1461</c:v>
                </c:pt>
                <c:pt idx="31">
                  <c:v>391</c:v>
                </c:pt>
                <c:pt idx="32">
                  <c:v>1824</c:v>
                </c:pt>
                <c:pt idx="33">
                  <c:v>16</c:v>
                </c:pt>
                <c:pt idx="34">
                  <c:v>1745</c:v>
                </c:pt>
                <c:pt idx="35">
                  <c:v>663</c:v>
                </c:pt>
                <c:pt idx="36">
                  <c:v>10</c:v>
                </c:pt>
                <c:pt idx="37">
                  <c:v>1630</c:v>
                </c:pt>
                <c:pt idx="38">
                  <c:v>12</c:v>
                </c:pt>
                <c:pt idx="39">
                  <c:v>12</c:v>
                </c:pt>
                <c:pt idx="40">
                  <c:v>1709</c:v>
                </c:pt>
                <c:pt idx="41">
                  <c:v>12</c:v>
                </c:pt>
                <c:pt idx="42">
                  <c:v>1625</c:v>
                </c:pt>
                <c:pt idx="43">
                  <c:v>13</c:v>
                </c:pt>
                <c:pt idx="44">
                  <c:v>1361</c:v>
                </c:pt>
                <c:pt idx="45">
                  <c:v>1622</c:v>
                </c:pt>
                <c:pt idx="46">
                  <c:v>1547</c:v>
                </c:pt>
                <c:pt idx="47">
                  <c:v>1657</c:v>
                </c:pt>
                <c:pt idx="48">
                  <c:v>1603</c:v>
                </c:pt>
                <c:pt idx="49">
                  <c:v>1549</c:v>
                </c:pt>
                <c:pt idx="50">
                  <c:v>1183</c:v>
                </c:pt>
                <c:pt idx="51">
                  <c:v>74</c:v>
                </c:pt>
                <c:pt idx="52">
                  <c:v>1499</c:v>
                </c:pt>
                <c:pt idx="53">
                  <c:v>1120</c:v>
                </c:pt>
                <c:pt idx="54">
                  <c:v>15</c:v>
                </c:pt>
                <c:pt idx="55">
                  <c:v>1487</c:v>
                </c:pt>
                <c:pt idx="56">
                  <c:v>1118</c:v>
                </c:pt>
                <c:pt idx="57">
                  <c:v>11</c:v>
                </c:pt>
                <c:pt idx="58">
                  <c:v>15</c:v>
                </c:pt>
                <c:pt idx="59">
                  <c:v>1364</c:v>
                </c:pt>
                <c:pt idx="60">
                  <c:v>1337</c:v>
                </c:pt>
                <c:pt idx="61">
                  <c:v>15</c:v>
                </c:pt>
                <c:pt idx="62">
                  <c:v>322</c:v>
                </c:pt>
                <c:pt idx="63">
                  <c:v>1316</c:v>
                </c:pt>
                <c:pt idx="64">
                  <c:v>1314</c:v>
                </c:pt>
                <c:pt idx="65">
                  <c:v>17</c:v>
                </c:pt>
                <c:pt idx="66">
                  <c:v>17</c:v>
                </c:pt>
                <c:pt idx="67">
                  <c:v>17</c:v>
                </c:pt>
                <c:pt idx="68">
                  <c:v>1308</c:v>
                </c:pt>
                <c:pt idx="69">
                  <c:v>1076</c:v>
                </c:pt>
                <c:pt idx="70">
                  <c:v>1301</c:v>
                </c:pt>
                <c:pt idx="71">
                  <c:v>1300</c:v>
                </c:pt>
                <c:pt idx="72">
                  <c:v>11</c:v>
                </c:pt>
                <c:pt idx="73">
                  <c:v>1298</c:v>
                </c:pt>
                <c:pt idx="74">
                  <c:v>304</c:v>
                </c:pt>
                <c:pt idx="75">
                  <c:v>1055</c:v>
                </c:pt>
                <c:pt idx="76">
                  <c:v>17</c:v>
                </c:pt>
                <c:pt idx="77">
                  <c:v>147</c:v>
                </c:pt>
                <c:pt idx="78">
                  <c:v>965</c:v>
                </c:pt>
                <c:pt idx="79">
                  <c:v>12</c:v>
                </c:pt>
                <c:pt idx="80">
                  <c:v>14</c:v>
                </c:pt>
                <c:pt idx="81">
                  <c:v>934</c:v>
                </c:pt>
                <c:pt idx="82">
                  <c:v>929</c:v>
                </c:pt>
                <c:pt idx="83">
                  <c:v>18</c:v>
                </c:pt>
                <c:pt idx="84">
                  <c:v>916</c:v>
                </c:pt>
                <c:pt idx="85">
                  <c:v>76</c:v>
                </c:pt>
                <c:pt idx="86">
                  <c:v>869</c:v>
                </c:pt>
                <c:pt idx="87">
                  <c:v>112</c:v>
                </c:pt>
                <c:pt idx="88">
                  <c:v>39</c:v>
                </c:pt>
                <c:pt idx="89">
                  <c:v>857</c:v>
                </c:pt>
                <c:pt idx="90">
                  <c:v>828</c:v>
                </c:pt>
                <c:pt idx="91">
                  <c:v>1279</c:v>
                </c:pt>
                <c:pt idx="92">
                  <c:v>1250</c:v>
                </c:pt>
                <c:pt idx="93">
                  <c:v>823</c:v>
                </c:pt>
                <c:pt idx="94">
                  <c:v>1157</c:v>
                </c:pt>
                <c:pt idx="95">
                  <c:v>126</c:v>
                </c:pt>
                <c:pt idx="96">
                  <c:v>1145</c:v>
                </c:pt>
                <c:pt idx="97">
                  <c:v>774</c:v>
                </c:pt>
                <c:pt idx="98">
                  <c:v>24</c:v>
                </c:pt>
                <c:pt idx="99">
                  <c:v>774</c:v>
                </c:pt>
                <c:pt idx="100">
                  <c:v>93</c:v>
                </c:pt>
                <c:pt idx="101">
                  <c:v>765</c:v>
                </c:pt>
                <c:pt idx="102">
                  <c:v>762</c:v>
                </c:pt>
                <c:pt idx="103">
                  <c:v>761</c:v>
                </c:pt>
                <c:pt idx="104">
                  <c:v>96</c:v>
                </c:pt>
                <c:pt idx="105">
                  <c:v>1137</c:v>
                </c:pt>
                <c:pt idx="106">
                  <c:v>18</c:v>
                </c:pt>
                <c:pt idx="107">
                  <c:v>749</c:v>
                </c:pt>
                <c:pt idx="108">
                  <c:v>1120</c:v>
                </c:pt>
                <c:pt idx="109">
                  <c:v>744</c:v>
                </c:pt>
                <c:pt idx="110">
                  <c:v>14</c:v>
                </c:pt>
                <c:pt idx="111">
                  <c:v>19</c:v>
                </c:pt>
                <c:pt idx="112">
                  <c:v>512</c:v>
                </c:pt>
                <c:pt idx="113">
                  <c:v>742</c:v>
                </c:pt>
                <c:pt idx="114">
                  <c:v>44</c:v>
                </c:pt>
                <c:pt idx="115">
                  <c:v>1061</c:v>
                </c:pt>
                <c:pt idx="116">
                  <c:v>19</c:v>
                </c:pt>
                <c:pt idx="117">
                  <c:v>17</c:v>
                </c:pt>
                <c:pt idx="118">
                  <c:v>741</c:v>
                </c:pt>
                <c:pt idx="119">
                  <c:v>735</c:v>
                </c:pt>
                <c:pt idx="120">
                  <c:v>19</c:v>
                </c:pt>
                <c:pt idx="121">
                  <c:v>1021</c:v>
                </c:pt>
                <c:pt idx="122">
                  <c:v>556</c:v>
                </c:pt>
                <c:pt idx="123">
                  <c:v>63</c:v>
                </c:pt>
                <c:pt idx="124">
                  <c:v>734</c:v>
                </c:pt>
                <c:pt idx="125">
                  <c:v>933</c:v>
                </c:pt>
                <c:pt idx="126">
                  <c:v>20</c:v>
                </c:pt>
                <c:pt idx="127">
                  <c:v>877</c:v>
                </c:pt>
                <c:pt idx="128">
                  <c:v>719</c:v>
                </c:pt>
                <c:pt idx="129">
                  <c:v>12</c:v>
                </c:pt>
                <c:pt idx="130">
                  <c:v>714</c:v>
                </c:pt>
                <c:pt idx="131">
                  <c:v>50</c:v>
                </c:pt>
                <c:pt idx="132">
                  <c:v>709</c:v>
                </c:pt>
                <c:pt idx="133">
                  <c:v>21</c:v>
                </c:pt>
                <c:pt idx="134">
                  <c:v>693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21</c:v>
                </c:pt>
                <c:pt idx="139">
                  <c:v>681</c:v>
                </c:pt>
                <c:pt idx="140">
                  <c:v>674</c:v>
                </c:pt>
                <c:pt idx="141">
                  <c:v>671</c:v>
                </c:pt>
                <c:pt idx="142">
                  <c:v>646</c:v>
                </c:pt>
                <c:pt idx="143">
                  <c:v>40</c:v>
                </c:pt>
                <c:pt idx="144">
                  <c:v>24</c:v>
                </c:pt>
                <c:pt idx="145">
                  <c:v>644</c:v>
                </c:pt>
                <c:pt idx="146">
                  <c:v>643</c:v>
                </c:pt>
                <c:pt idx="147">
                  <c:v>632</c:v>
                </c:pt>
                <c:pt idx="148">
                  <c:v>632</c:v>
                </c:pt>
                <c:pt idx="149">
                  <c:v>610</c:v>
                </c:pt>
                <c:pt idx="150">
                  <c:v>78</c:v>
                </c:pt>
                <c:pt idx="151">
                  <c:v>595</c:v>
                </c:pt>
                <c:pt idx="152">
                  <c:v>595</c:v>
                </c:pt>
                <c:pt idx="153">
                  <c:v>852</c:v>
                </c:pt>
                <c:pt idx="154">
                  <c:v>594</c:v>
                </c:pt>
                <c:pt idx="155">
                  <c:v>585</c:v>
                </c:pt>
                <c:pt idx="156">
                  <c:v>582</c:v>
                </c:pt>
                <c:pt idx="157">
                  <c:v>845</c:v>
                </c:pt>
                <c:pt idx="158">
                  <c:v>829</c:v>
                </c:pt>
                <c:pt idx="159">
                  <c:v>561</c:v>
                </c:pt>
                <c:pt idx="160">
                  <c:v>771</c:v>
                </c:pt>
                <c:pt idx="161">
                  <c:v>765</c:v>
                </c:pt>
                <c:pt idx="162">
                  <c:v>31</c:v>
                </c:pt>
                <c:pt idx="163">
                  <c:v>557</c:v>
                </c:pt>
                <c:pt idx="164">
                  <c:v>757</c:v>
                </c:pt>
                <c:pt idx="165">
                  <c:v>545</c:v>
                </c:pt>
                <c:pt idx="166">
                  <c:v>1052</c:v>
                </c:pt>
                <c:pt idx="167">
                  <c:v>544</c:v>
                </c:pt>
                <c:pt idx="168">
                  <c:v>22</c:v>
                </c:pt>
                <c:pt idx="169">
                  <c:v>757</c:v>
                </c:pt>
                <c:pt idx="170">
                  <c:v>742</c:v>
                </c:pt>
                <c:pt idx="171">
                  <c:v>537</c:v>
                </c:pt>
                <c:pt idx="172">
                  <c:v>536</c:v>
                </c:pt>
                <c:pt idx="173">
                  <c:v>6</c:v>
                </c:pt>
                <c:pt idx="174">
                  <c:v>523</c:v>
                </c:pt>
                <c:pt idx="175">
                  <c:v>27</c:v>
                </c:pt>
                <c:pt idx="176">
                  <c:v>516</c:v>
                </c:pt>
                <c:pt idx="177">
                  <c:v>504</c:v>
                </c:pt>
                <c:pt idx="178">
                  <c:v>502</c:v>
                </c:pt>
                <c:pt idx="179">
                  <c:v>734</c:v>
                </c:pt>
                <c:pt idx="180">
                  <c:v>42</c:v>
                </c:pt>
                <c:pt idx="181">
                  <c:v>29</c:v>
                </c:pt>
                <c:pt idx="182">
                  <c:v>240</c:v>
                </c:pt>
                <c:pt idx="183">
                  <c:v>496</c:v>
                </c:pt>
                <c:pt idx="184">
                  <c:v>485</c:v>
                </c:pt>
                <c:pt idx="185">
                  <c:v>31</c:v>
                </c:pt>
                <c:pt idx="186">
                  <c:v>676</c:v>
                </c:pt>
                <c:pt idx="187">
                  <c:v>23</c:v>
                </c:pt>
                <c:pt idx="188">
                  <c:v>13</c:v>
                </c:pt>
                <c:pt idx="189">
                  <c:v>180</c:v>
                </c:pt>
                <c:pt idx="190">
                  <c:v>671</c:v>
                </c:pt>
                <c:pt idx="191">
                  <c:v>22</c:v>
                </c:pt>
                <c:pt idx="192">
                  <c:v>668</c:v>
                </c:pt>
                <c:pt idx="193">
                  <c:v>145</c:v>
                </c:pt>
                <c:pt idx="194">
                  <c:v>24</c:v>
                </c:pt>
                <c:pt idx="195">
                  <c:v>476</c:v>
                </c:pt>
                <c:pt idx="196">
                  <c:v>24</c:v>
                </c:pt>
                <c:pt idx="197">
                  <c:v>37</c:v>
                </c:pt>
                <c:pt idx="198">
                  <c:v>152</c:v>
                </c:pt>
                <c:pt idx="199">
                  <c:v>32</c:v>
                </c:pt>
                <c:pt idx="200">
                  <c:v>52</c:v>
                </c:pt>
                <c:pt idx="201">
                  <c:v>24</c:v>
                </c:pt>
                <c:pt idx="202">
                  <c:v>473</c:v>
                </c:pt>
                <c:pt idx="203">
                  <c:v>263</c:v>
                </c:pt>
                <c:pt idx="204">
                  <c:v>61</c:v>
                </c:pt>
                <c:pt idx="205">
                  <c:v>469</c:v>
                </c:pt>
                <c:pt idx="206">
                  <c:v>1272</c:v>
                </c:pt>
                <c:pt idx="207">
                  <c:v>169</c:v>
                </c:pt>
                <c:pt idx="208">
                  <c:v>25</c:v>
                </c:pt>
                <c:pt idx="209">
                  <c:v>457</c:v>
                </c:pt>
                <c:pt idx="210">
                  <c:v>455</c:v>
                </c:pt>
                <c:pt idx="211">
                  <c:v>25</c:v>
                </c:pt>
                <c:pt idx="212">
                  <c:v>450</c:v>
                </c:pt>
                <c:pt idx="213">
                  <c:v>30</c:v>
                </c:pt>
                <c:pt idx="214">
                  <c:v>659</c:v>
                </c:pt>
                <c:pt idx="215">
                  <c:v>448</c:v>
                </c:pt>
                <c:pt idx="216">
                  <c:v>446</c:v>
                </c:pt>
                <c:pt idx="217">
                  <c:v>98</c:v>
                </c:pt>
                <c:pt idx="218">
                  <c:v>443</c:v>
                </c:pt>
                <c:pt idx="219">
                  <c:v>427</c:v>
                </c:pt>
                <c:pt idx="220">
                  <c:v>656</c:v>
                </c:pt>
                <c:pt idx="221">
                  <c:v>424</c:v>
                </c:pt>
                <c:pt idx="222">
                  <c:v>27</c:v>
                </c:pt>
                <c:pt idx="223">
                  <c:v>424</c:v>
                </c:pt>
                <c:pt idx="224">
                  <c:v>202</c:v>
                </c:pt>
                <c:pt idx="225">
                  <c:v>1275</c:v>
                </c:pt>
                <c:pt idx="226">
                  <c:v>418</c:v>
                </c:pt>
                <c:pt idx="227">
                  <c:v>417</c:v>
                </c:pt>
                <c:pt idx="228">
                  <c:v>199</c:v>
                </c:pt>
                <c:pt idx="229">
                  <c:v>385</c:v>
                </c:pt>
                <c:pt idx="230">
                  <c:v>414</c:v>
                </c:pt>
                <c:pt idx="231">
                  <c:v>97</c:v>
                </c:pt>
                <c:pt idx="232">
                  <c:v>648</c:v>
                </c:pt>
                <c:pt idx="233">
                  <c:v>27</c:v>
                </c:pt>
                <c:pt idx="234">
                  <c:v>27</c:v>
                </c:pt>
                <c:pt idx="235">
                  <c:v>27</c:v>
                </c:pt>
                <c:pt idx="236">
                  <c:v>413</c:v>
                </c:pt>
                <c:pt idx="237">
                  <c:v>53</c:v>
                </c:pt>
                <c:pt idx="238">
                  <c:v>29</c:v>
                </c:pt>
                <c:pt idx="239">
                  <c:v>30</c:v>
                </c:pt>
                <c:pt idx="240">
                  <c:v>412</c:v>
                </c:pt>
                <c:pt idx="241">
                  <c:v>646</c:v>
                </c:pt>
                <c:pt idx="242">
                  <c:v>30</c:v>
                </c:pt>
                <c:pt idx="243">
                  <c:v>618</c:v>
                </c:pt>
                <c:pt idx="244">
                  <c:v>143</c:v>
                </c:pt>
                <c:pt idx="245">
                  <c:v>31</c:v>
                </c:pt>
                <c:pt idx="246">
                  <c:v>409</c:v>
                </c:pt>
                <c:pt idx="247">
                  <c:v>406</c:v>
                </c:pt>
                <c:pt idx="248">
                  <c:v>565</c:v>
                </c:pt>
                <c:pt idx="249">
                  <c:v>85</c:v>
                </c:pt>
                <c:pt idx="250">
                  <c:v>561</c:v>
                </c:pt>
                <c:pt idx="251">
                  <c:v>503</c:v>
                </c:pt>
                <c:pt idx="252">
                  <c:v>31</c:v>
                </c:pt>
                <c:pt idx="253">
                  <c:v>398</c:v>
                </c:pt>
                <c:pt idx="254">
                  <c:v>388</c:v>
                </c:pt>
                <c:pt idx="255">
                  <c:v>498</c:v>
                </c:pt>
                <c:pt idx="256">
                  <c:v>561</c:v>
                </c:pt>
                <c:pt idx="257">
                  <c:v>61</c:v>
                </c:pt>
                <c:pt idx="258">
                  <c:v>34</c:v>
                </c:pt>
                <c:pt idx="259">
                  <c:v>32</c:v>
                </c:pt>
                <c:pt idx="260">
                  <c:v>623</c:v>
                </c:pt>
                <c:pt idx="261">
                  <c:v>520</c:v>
                </c:pt>
                <c:pt idx="262">
                  <c:v>32</c:v>
                </c:pt>
                <c:pt idx="263">
                  <c:v>32</c:v>
                </c:pt>
                <c:pt idx="264">
                  <c:v>510</c:v>
                </c:pt>
                <c:pt idx="265">
                  <c:v>382</c:v>
                </c:pt>
                <c:pt idx="266">
                  <c:v>33</c:v>
                </c:pt>
                <c:pt idx="267">
                  <c:v>381</c:v>
                </c:pt>
                <c:pt idx="268">
                  <c:v>490</c:v>
                </c:pt>
                <c:pt idx="269">
                  <c:v>381</c:v>
                </c:pt>
                <c:pt idx="270">
                  <c:v>487</c:v>
                </c:pt>
                <c:pt idx="271">
                  <c:v>366</c:v>
                </c:pt>
                <c:pt idx="272">
                  <c:v>33</c:v>
                </c:pt>
                <c:pt idx="273">
                  <c:v>365</c:v>
                </c:pt>
                <c:pt idx="274">
                  <c:v>207</c:v>
                </c:pt>
                <c:pt idx="275">
                  <c:v>359</c:v>
                </c:pt>
                <c:pt idx="276">
                  <c:v>351</c:v>
                </c:pt>
                <c:pt idx="277">
                  <c:v>485</c:v>
                </c:pt>
                <c:pt idx="278">
                  <c:v>37</c:v>
                </c:pt>
                <c:pt idx="279">
                  <c:v>34</c:v>
                </c:pt>
                <c:pt idx="280">
                  <c:v>346</c:v>
                </c:pt>
                <c:pt idx="281">
                  <c:v>342</c:v>
                </c:pt>
                <c:pt idx="282">
                  <c:v>35</c:v>
                </c:pt>
                <c:pt idx="283">
                  <c:v>121</c:v>
                </c:pt>
                <c:pt idx="284">
                  <c:v>336</c:v>
                </c:pt>
                <c:pt idx="285">
                  <c:v>336</c:v>
                </c:pt>
                <c:pt idx="286">
                  <c:v>27</c:v>
                </c:pt>
                <c:pt idx="287">
                  <c:v>333</c:v>
                </c:pt>
                <c:pt idx="288">
                  <c:v>36</c:v>
                </c:pt>
                <c:pt idx="289">
                  <c:v>333</c:v>
                </c:pt>
                <c:pt idx="290">
                  <c:v>327</c:v>
                </c:pt>
                <c:pt idx="291">
                  <c:v>18</c:v>
                </c:pt>
                <c:pt idx="292">
                  <c:v>325</c:v>
                </c:pt>
                <c:pt idx="293">
                  <c:v>482</c:v>
                </c:pt>
                <c:pt idx="294">
                  <c:v>465</c:v>
                </c:pt>
                <c:pt idx="295">
                  <c:v>40</c:v>
                </c:pt>
                <c:pt idx="296">
                  <c:v>107</c:v>
                </c:pt>
                <c:pt idx="297">
                  <c:v>312</c:v>
                </c:pt>
                <c:pt idx="298">
                  <c:v>451</c:v>
                </c:pt>
                <c:pt idx="299">
                  <c:v>312</c:v>
                </c:pt>
                <c:pt idx="300">
                  <c:v>311</c:v>
                </c:pt>
                <c:pt idx="301">
                  <c:v>11</c:v>
                </c:pt>
                <c:pt idx="302">
                  <c:v>37</c:v>
                </c:pt>
                <c:pt idx="303">
                  <c:v>444</c:v>
                </c:pt>
                <c:pt idx="304">
                  <c:v>434</c:v>
                </c:pt>
                <c:pt idx="305">
                  <c:v>299</c:v>
                </c:pt>
                <c:pt idx="306">
                  <c:v>37</c:v>
                </c:pt>
                <c:pt idx="307">
                  <c:v>299</c:v>
                </c:pt>
                <c:pt idx="308">
                  <c:v>298</c:v>
                </c:pt>
                <c:pt idx="309">
                  <c:v>94</c:v>
                </c:pt>
                <c:pt idx="310">
                  <c:v>296</c:v>
                </c:pt>
                <c:pt idx="311">
                  <c:v>37</c:v>
                </c:pt>
                <c:pt idx="312">
                  <c:v>291</c:v>
                </c:pt>
                <c:pt idx="313">
                  <c:v>327</c:v>
                </c:pt>
                <c:pt idx="314">
                  <c:v>291</c:v>
                </c:pt>
                <c:pt idx="315">
                  <c:v>287</c:v>
                </c:pt>
                <c:pt idx="316">
                  <c:v>42</c:v>
                </c:pt>
                <c:pt idx="317">
                  <c:v>429</c:v>
                </c:pt>
                <c:pt idx="318">
                  <c:v>285</c:v>
                </c:pt>
                <c:pt idx="319">
                  <c:v>277</c:v>
                </c:pt>
                <c:pt idx="320">
                  <c:v>274</c:v>
                </c:pt>
                <c:pt idx="321">
                  <c:v>273</c:v>
                </c:pt>
                <c:pt idx="322">
                  <c:v>269</c:v>
                </c:pt>
                <c:pt idx="323">
                  <c:v>11</c:v>
                </c:pt>
                <c:pt idx="324">
                  <c:v>39</c:v>
                </c:pt>
                <c:pt idx="325">
                  <c:v>264</c:v>
                </c:pt>
                <c:pt idx="326">
                  <c:v>40</c:v>
                </c:pt>
                <c:pt idx="327">
                  <c:v>41</c:v>
                </c:pt>
                <c:pt idx="328">
                  <c:v>253</c:v>
                </c:pt>
                <c:pt idx="329">
                  <c:v>406</c:v>
                </c:pt>
                <c:pt idx="330">
                  <c:v>32</c:v>
                </c:pt>
                <c:pt idx="331">
                  <c:v>260</c:v>
                </c:pt>
                <c:pt idx="332">
                  <c:v>41</c:v>
                </c:pt>
                <c:pt idx="333">
                  <c:v>401</c:v>
                </c:pt>
                <c:pt idx="334">
                  <c:v>382</c:v>
                </c:pt>
                <c:pt idx="335">
                  <c:v>867</c:v>
                </c:pt>
                <c:pt idx="336">
                  <c:v>43</c:v>
                </c:pt>
                <c:pt idx="337">
                  <c:v>43</c:v>
                </c:pt>
                <c:pt idx="338">
                  <c:v>74</c:v>
                </c:pt>
                <c:pt idx="339">
                  <c:v>44</c:v>
                </c:pt>
                <c:pt idx="340">
                  <c:v>259</c:v>
                </c:pt>
                <c:pt idx="341">
                  <c:v>257</c:v>
                </c:pt>
                <c:pt idx="342">
                  <c:v>76</c:v>
                </c:pt>
                <c:pt idx="343">
                  <c:v>44</c:v>
                </c:pt>
                <c:pt idx="344">
                  <c:v>257</c:v>
                </c:pt>
                <c:pt idx="345">
                  <c:v>255</c:v>
                </c:pt>
                <c:pt idx="346">
                  <c:v>44</c:v>
                </c:pt>
                <c:pt idx="347">
                  <c:v>45</c:v>
                </c:pt>
                <c:pt idx="348">
                  <c:v>44</c:v>
                </c:pt>
                <c:pt idx="349">
                  <c:v>382</c:v>
                </c:pt>
                <c:pt idx="350">
                  <c:v>250</c:v>
                </c:pt>
                <c:pt idx="351">
                  <c:v>45</c:v>
                </c:pt>
                <c:pt idx="352">
                  <c:v>246</c:v>
                </c:pt>
                <c:pt idx="353">
                  <c:v>50</c:v>
                </c:pt>
                <c:pt idx="354">
                  <c:v>246</c:v>
                </c:pt>
                <c:pt idx="355">
                  <c:v>44</c:v>
                </c:pt>
                <c:pt idx="356">
                  <c:v>245</c:v>
                </c:pt>
                <c:pt idx="357">
                  <c:v>245</c:v>
                </c:pt>
                <c:pt idx="358">
                  <c:v>376</c:v>
                </c:pt>
                <c:pt idx="359">
                  <c:v>45</c:v>
                </c:pt>
                <c:pt idx="360">
                  <c:v>45</c:v>
                </c:pt>
                <c:pt idx="361">
                  <c:v>244</c:v>
                </c:pt>
                <c:pt idx="362">
                  <c:v>244</c:v>
                </c:pt>
                <c:pt idx="363">
                  <c:v>10</c:v>
                </c:pt>
                <c:pt idx="364">
                  <c:v>375</c:v>
                </c:pt>
                <c:pt idx="365">
                  <c:v>46</c:v>
                </c:pt>
                <c:pt idx="366">
                  <c:v>49</c:v>
                </c:pt>
                <c:pt idx="367">
                  <c:v>47</c:v>
                </c:pt>
                <c:pt idx="368">
                  <c:v>355</c:v>
                </c:pt>
                <c:pt idx="369">
                  <c:v>32</c:v>
                </c:pt>
                <c:pt idx="370">
                  <c:v>243</c:v>
                </c:pt>
                <c:pt idx="371">
                  <c:v>241</c:v>
                </c:pt>
                <c:pt idx="372">
                  <c:v>47</c:v>
                </c:pt>
                <c:pt idx="373">
                  <c:v>50</c:v>
                </c:pt>
                <c:pt idx="374">
                  <c:v>15</c:v>
                </c:pt>
                <c:pt idx="375">
                  <c:v>148</c:v>
                </c:pt>
                <c:pt idx="376">
                  <c:v>299</c:v>
                </c:pt>
                <c:pt idx="377">
                  <c:v>68</c:v>
                </c:pt>
                <c:pt idx="378">
                  <c:v>52</c:v>
                </c:pt>
                <c:pt idx="379">
                  <c:v>239</c:v>
                </c:pt>
                <c:pt idx="380">
                  <c:v>27</c:v>
                </c:pt>
                <c:pt idx="381">
                  <c:v>238</c:v>
                </c:pt>
                <c:pt idx="382">
                  <c:v>48</c:v>
                </c:pt>
                <c:pt idx="383">
                  <c:v>66</c:v>
                </c:pt>
                <c:pt idx="384">
                  <c:v>53</c:v>
                </c:pt>
                <c:pt idx="385">
                  <c:v>233</c:v>
                </c:pt>
                <c:pt idx="386">
                  <c:v>53</c:v>
                </c:pt>
                <c:pt idx="387">
                  <c:v>54</c:v>
                </c:pt>
                <c:pt idx="388">
                  <c:v>352</c:v>
                </c:pt>
                <c:pt idx="389">
                  <c:v>349</c:v>
                </c:pt>
                <c:pt idx="390">
                  <c:v>341</c:v>
                </c:pt>
                <c:pt idx="391">
                  <c:v>54</c:v>
                </c:pt>
                <c:pt idx="392">
                  <c:v>57</c:v>
                </c:pt>
                <c:pt idx="393">
                  <c:v>340</c:v>
                </c:pt>
                <c:pt idx="394">
                  <c:v>227</c:v>
                </c:pt>
                <c:pt idx="395">
                  <c:v>330</c:v>
                </c:pt>
                <c:pt idx="396">
                  <c:v>216</c:v>
                </c:pt>
                <c:pt idx="397">
                  <c:v>224</c:v>
                </c:pt>
                <c:pt idx="398">
                  <c:v>55</c:v>
                </c:pt>
                <c:pt idx="399">
                  <c:v>49</c:v>
                </c:pt>
                <c:pt idx="400">
                  <c:v>224</c:v>
                </c:pt>
                <c:pt idx="401">
                  <c:v>223</c:v>
                </c:pt>
                <c:pt idx="402">
                  <c:v>324</c:v>
                </c:pt>
                <c:pt idx="403">
                  <c:v>56</c:v>
                </c:pt>
                <c:pt idx="404">
                  <c:v>223</c:v>
                </c:pt>
                <c:pt idx="405">
                  <c:v>10</c:v>
                </c:pt>
                <c:pt idx="406">
                  <c:v>57</c:v>
                </c:pt>
                <c:pt idx="407">
                  <c:v>322</c:v>
                </c:pt>
                <c:pt idx="408">
                  <c:v>219</c:v>
                </c:pt>
                <c:pt idx="409">
                  <c:v>103</c:v>
                </c:pt>
                <c:pt idx="410">
                  <c:v>47</c:v>
                </c:pt>
                <c:pt idx="411">
                  <c:v>219</c:v>
                </c:pt>
                <c:pt idx="412">
                  <c:v>57</c:v>
                </c:pt>
                <c:pt idx="413">
                  <c:v>319</c:v>
                </c:pt>
                <c:pt idx="414">
                  <c:v>315</c:v>
                </c:pt>
                <c:pt idx="415">
                  <c:v>314</c:v>
                </c:pt>
                <c:pt idx="416">
                  <c:v>311</c:v>
                </c:pt>
                <c:pt idx="417">
                  <c:v>307</c:v>
                </c:pt>
                <c:pt idx="418">
                  <c:v>294</c:v>
                </c:pt>
                <c:pt idx="419">
                  <c:v>216</c:v>
                </c:pt>
                <c:pt idx="420">
                  <c:v>58</c:v>
                </c:pt>
                <c:pt idx="421">
                  <c:v>48</c:v>
                </c:pt>
                <c:pt idx="422">
                  <c:v>54</c:v>
                </c:pt>
                <c:pt idx="423">
                  <c:v>216</c:v>
                </c:pt>
                <c:pt idx="424">
                  <c:v>215</c:v>
                </c:pt>
                <c:pt idx="425">
                  <c:v>43</c:v>
                </c:pt>
                <c:pt idx="426">
                  <c:v>136</c:v>
                </c:pt>
                <c:pt idx="427">
                  <c:v>59</c:v>
                </c:pt>
                <c:pt idx="428">
                  <c:v>213</c:v>
                </c:pt>
                <c:pt idx="429">
                  <c:v>59</c:v>
                </c:pt>
                <c:pt idx="430">
                  <c:v>55</c:v>
                </c:pt>
                <c:pt idx="431">
                  <c:v>294</c:v>
                </c:pt>
                <c:pt idx="432">
                  <c:v>210</c:v>
                </c:pt>
                <c:pt idx="433">
                  <c:v>59</c:v>
                </c:pt>
                <c:pt idx="434">
                  <c:v>396</c:v>
                </c:pt>
                <c:pt idx="435">
                  <c:v>284</c:v>
                </c:pt>
                <c:pt idx="436">
                  <c:v>276</c:v>
                </c:pt>
                <c:pt idx="437">
                  <c:v>23</c:v>
                </c:pt>
                <c:pt idx="438">
                  <c:v>209</c:v>
                </c:pt>
                <c:pt idx="439">
                  <c:v>50</c:v>
                </c:pt>
                <c:pt idx="440">
                  <c:v>57</c:v>
                </c:pt>
                <c:pt idx="441">
                  <c:v>276</c:v>
                </c:pt>
                <c:pt idx="442">
                  <c:v>268</c:v>
                </c:pt>
                <c:pt idx="443">
                  <c:v>269</c:v>
                </c:pt>
                <c:pt idx="444">
                  <c:v>209</c:v>
                </c:pt>
                <c:pt idx="445">
                  <c:v>60</c:v>
                </c:pt>
                <c:pt idx="446">
                  <c:v>269</c:v>
                </c:pt>
                <c:pt idx="447">
                  <c:v>208</c:v>
                </c:pt>
                <c:pt idx="448">
                  <c:v>27</c:v>
                </c:pt>
                <c:pt idx="449">
                  <c:v>206</c:v>
                </c:pt>
                <c:pt idx="450">
                  <c:v>61</c:v>
                </c:pt>
                <c:pt idx="451">
                  <c:v>212</c:v>
                </c:pt>
                <c:pt idx="452">
                  <c:v>262</c:v>
                </c:pt>
                <c:pt idx="453">
                  <c:v>204</c:v>
                </c:pt>
                <c:pt idx="454">
                  <c:v>59</c:v>
                </c:pt>
                <c:pt idx="455">
                  <c:v>199</c:v>
                </c:pt>
                <c:pt idx="456">
                  <c:v>59</c:v>
                </c:pt>
                <c:pt idx="457">
                  <c:v>45</c:v>
                </c:pt>
                <c:pt idx="458">
                  <c:v>211</c:v>
                </c:pt>
                <c:pt idx="459">
                  <c:v>65</c:v>
                </c:pt>
                <c:pt idx="460">
                  <c:v>25</c:v>
                </c:pt>
                <c:pt idx="461">
                  <c:v>196</c:v>
                </c:pt>
                <c:pt idx="462">
                  <c:v>261</c:v>
                </c:pt>
                <c:pt idx="463">
                  <c:v>195</c:v>
                </c:pt>
                <c:pt idx="464">
                  <c:v>192</c:v>
                </c:pt>
                <c:pt idx="465">
                  <c:v>189</c:v>
                </c:pt>
                <c:pt idx="466">
                  <c:v>32</c:v>
                </c:pt>
                <c:pt idx="467">
                  <c:v>188</c:v>
                </c:pt>
                <c:pt idx="468">
                  <c:v>73</c:v>
                </c:pt>
                <c:pt idx="469">
                  <c:v>259</c:v>
                </c:pt>
                <c:pt idx="470">
                  <c:v>187</c:v>
                </c:pt>
                <c:pt idx="471">
                  <c:v>26</c:v>
                </c:pt>
                <c:pt idx="472">
                  <c:v>185</c:v>
                </c:pt>
                <c:pt idx="473">
                  <c:v>248</c:v>
                </c:pt>
                <c:pt idx="474">
                  <c:v>67</c:v>
                </c:pt>
                <c:pt idx="475">
                  <c:v>248</c:v>
                </c:pt>
                <c:pt idx="476">
                  <c:v>246</c:v>
                </c:pt>
                <c:pt idx="477">
                  <c:v>179</c:v>
                </c:pt>
                <c:pt idx="478">
                  <c:v>176</c:v>
                </c:pt>
                <c:pt idx="479">
                  <c:v>176</c:v>
                </c:pt>
                <c:pt idx="480">
                  <c:v>68</c:v>
                </c:pt>
                <c:pt idx="481">
                  <c:v>176</c:v>
                </c:pt>
                <c:pt idx="482">
                  <c:v>88</c:v>
                </c:pt>
                <c:pt idx="483">
                  <c:v>68</c:v>
                </c:pt>
                <c:pt idx="484">
                  <c:v>231</c:v>
                </c:pt>
                <c:pt idx="485">
                  <c:v>62</c:v>
                </c:pt>
                <c:pt idx="486">
                  <c:v>175</c:v>
                </c:pt>
                <c:pt idx="487">
                  <c:v>71</c:v>
                </c:pt>
                <c:pt idx="488">
                  <c:v>174</c:v>
                </c:pt>
                <c:pt idx="489">
                  <c:v>173</c:v>
                </c:pt>
                <c:pt idx="490">
                  <c:v>171</c:v>
                </c:pt>
                <c:pt idx="491">
                  <c:v>268</c:v>
                </c:pt>
                <c:pt idx="492">
                  <c:v>71</c:v>
                </c:pt>
                <c:pt idx="493">
                  <c:v>29</c:v>
                </c:pt>
                <c:pt idx="494">
                  <c:v>65</c:v>
                </c:pt>
                <c:pt idx="495">
                  <c:v>72</c:v>
                </c:pt>
                <c:pt idx="496">
                  <c:v>168</c:v>
                </c:pt>
                <c:pt idx="497">
                  <c:v>165</c:v>
                </c:pt>
                <c:pt idx="498">
                  <c:v>74</c:v>
                </c:pt>
                <c:pt idx="499">
                  <c:v>89</c:v>
                </c:pt>
                <c:pt idx="500">
                  <c:v>228</c:v>
                </c:pt>
                <c:pt idx="501">
                  <c:v>119</c:v>
                </c:pt>
                <c:pt idx="502">
                  <c:v>75</c:v>
                </c:pt>
                <c:pt idx="503">
                  <c:v>67</c:v>
                </c:pt>
                <c:pt idx="504">
                  <c:v>7</c:v>
                </c:pt>
                <c:pt idx="505">
                  <c:v>222</c:v>
                </c:pt>
                <c:pt idx="506">
                  <c:v>219</c:v>
                </c:pt>
                <c:pt idx="507">
                  <c:v>42</c:v>
                </c:pt>
                <c:pt idx="508">
                  <c:v>216</c:v>
                </c:pt>
                <c:pt idx="509">
                  <c:v>47</c:v>
                </c:pt>
                <c:pt idx="510">
                  <c:v>68</c:v>
                </c:pt>
                <c:pt idx="511">
                  <c:v>74</c:v>
                </c:pt>
                <c:pt idx="512">
                  <c:v>165</c:v>
                </c:pt>
                <c:pt idx="513">
                  <c:v>101</c:v>
                </c:pt>
                <c:pt idx="514">
                  <c:v>162</c:v>
                </c:pt>
                <c:pt idx="515">
                  <c:v>20</c:v>
                </c:pt>
                <c:pt idx="516">
                  <c:v>162</c:v>
                </c:pt>
                <c:pt idx="517">
                  <c:v>229</c:v>
                </c:pt>
                <c:pt idx="518">
                  <c:v>27</c:v>
                </c:pt>
                <c:pt idx="519">
                  <c:v>685</c:v>
                </c:pt>
                <c:pt idx="520">
                  <c:v>75</c:v>
                </c:pt>
                <c:pt idx="521">
                  <c:v>161</c:v>
                </c:pt>
                <c:pt idx="522">
                  <c:v>71</c:v>
                </c:pt>
                <c:pt idx="523">
                  <c:v>211</c:v>
                </c:pt>
                <c:pt idx="524">
                  <c:v>79</c:v>
                </c:pt>
                <c:pt idx="525">
                  <c:v>32</c:v>
                </c:pt>
                <c:pt idx="526">
                  <c:v>161</c:v>
                </c:pt>
                <c:pt idx="527">
                  <c:v>159</c:v>
                </c:pt>
                <c:pt idx="528">
                  <c:v>210</c:v>
                </c:pt>
                <c:pt idx="529">
                  <c:v>79</c:v>
                </c:pt>
                <c:pt idx="530">
                  <c:v>207</c:v>
                </c:pt>
                <c:pt idx="531">
                  <c:v>36</c:v>
                </c:pt>
                <c:pt idx="532">
                  <c:v>206</c:v>
                </c:pt>
                <c:pt idx="533">
                  <c:v>46</c:v>
                </c:pt>
                <c:pt idx="534">
                  <c:v>156</c:v>
                </c:pt>
                <c:pt idx="535">
                  <c:v>154</c:v>
                </c:pt>
                <c:pt idx="536">
                  <c:v>36</c:v>
                </c:pt>
                <c:pt idx="537">
                  <c:v>206</c:v>
                </c:pt>
                <c:pt idx="538">
                  <c:v>200</c:v>
                </c:pt>
                <c:pt idx="539">
                  <c:v>199</c:v>
                </c:pt>
                <c:pt idx="540">
                  <c:v>154</c:v>
                </c:pt>
                <c:pt idx="541">
                  <c:v>152</c:v>
                </c:pt>
                <c:pt idx="542">
                  <c:v>152</c:v>
                </c:pt>
                <c:pt idx="543">
                  <c:v>122</c:v>
                </c:pt>
                <c:pt idx="544">
                  <c:v>149</c:v>
                </c:pt>
                <c:pt idx="545">
                  <c:v>149</c:v>
                </c:pt>
                <c:pt idx="546">
                  <c:v>197</c:v>
                </c:pt>
                <c:pt idx="547">
                  <c:v>76</c:v>
                </c:pt>
                <c:pt idx="548">
                  <c:v>221</c:v>
                </c:pt>
                <c:pt idx="549">
                  <c:v>79</c:v>
                </c:pt>
                <c:pt idx="550">
                  <c:v>45</c:v>
                </c:pt>
                <c:pt idx="551">
                  <c:v>149</c:v>
                </c:pt>
                <c:pt idx="552">
                  <c:v>80</c:v>
                </c:pt>
                <c:pt idx="553">
                  <c:v>195</c:v>
                </c:pt>
                <c:pt idx="554">
                  <c:v>19</c:v>
                </c:pt>
                <c:pt idx="555">
                  <c:v>81</c:v>
                </c:pt>
                <c:pt idx="556">
                  <c:v>83</c:v>
                </c:pt>
                <c:pt idx="557">
                  <c:v>149</c:v>
                </c:pt>
                <c:pt idx="558">
                  <c:v>193</c:v>
                </c:pt>
                <c:pt idx="559">
                  <c:v>85</c:v>
                </c:pt>
                <c:pt idx="560">
                  <c:v>44</c:v>
                </c:pt>
                <c:pt idx="561">
                  <c:v>149</c:v>
                </c:pt>
                <c:pt idx="562">
                  <c:v>26</c:v>
                </c:pt>
                <c:pt idx="563">
                  <c:v>86</c:v>
                </c:pt>
                <c:pt idx="564">
                  <c:v>86</c:v>
                </c:pt>
                <c:pt idx="565">
                  <c:v>79</c:v>
                </c:pt>
                <c:pt idx="566">
                  <c:v>193</c:v>
                </c:pt>
                <c:pt idx="567">
                  <c:v>148</c:v>
                </c:pt>
                <c:pt idx="568">
                  <c:v>70</c:v>
                </c:pt>
                <c:pt idx="569">
                  <c:v>148</c:v>
                </c:pt>
                <c:pt idx="570">
                  <c:v>190</c:v>
                </c:pt>
                <c:pt idx="571">
                  <c:v>52</c:v>
                </c:pt>
                <c:pt idx="572">
                  <c:v>147</c:v>
                </c:pt>
                <c:pt idx="573">
                  <c:v>190</c:v>
                </c:pt>
                <c:pt idx="574">
                  <c:v>80</c:v>
                </c:pt>
                <c:pt idx="575">
                  <c:v>147</c:v>
                </c:pt>
                <c:pt idx="576">
                  <c:v>66</c:v>
                </c:pt>
                <c:pt idx="577">
                  <c:v>86</c:v>
                </c:pt>
                <c:pt idx="578">
                  <c:v>88</c:v>
                </c:pt>
                <c:pt idx="579">
                  <c:v>188</c:v>
                </c:pt>
                <c:pt idx="580">
                  <c:v>89</c:v>
                </c:pt>
                <c:pt idx="581">
                  <c:v>146</c:v>
                </c:pt>
                <c:pt idx="582">
                  <c:v>143</c:v>
                </c:pt>
                <c:pt idx="583">
                  <c:v>25</c:v>
                </c:pt>
                <c:pt idx="584">
                  <c:v>30</c:v>
                </c:pt>
                <c:pt idx="585">
                  <c:v>140</c:v>
                </c:pt>
                <c:pt idx="586">
                  <c:v>83</c:v>
                </c:pt>
                <c:pt idx="587">
                  <c:v>140</c:v>
                </c:pt>
                <c:pt idx="588">
                  <c:v>28</c:v>
                </c:pt>
                <c:pt idx="589">
                  <c:v>139</c:v>
                </c:pt>
                <c:pt idx="590">
                  <c:v>30</c:v>
                </c:pt>
                <c:pt idx="591">
                  <c:v>89</c:v>
                </c:pt>
                <c:pt idx="592">
                  <c:v>187</c:v>
                </c:pt>
                <c:pt idx="593">
                  <c:v>139</c:v>
                </c:pt>
                <c:pt idx="594">
                  <c:v>437</c:v>
                </c:pt>
                <c:pt idx="595">
                  <c:v>138</c:v>
                </c:pt>
                <c:pt idx="596">
                  <c:v>85</c:v>
                </c:pt>
                <c:pt idx="597">
                  <c:v>83</c:v>
                </c:pt>
                <c:pt idx="598">
                  <c:v>91</c:v>
                </c:pt>
                <c:pt idx="599">
                  <c:v>137</c:v>
                </c:pt>
                <c:pt idx="600">
                  <c:v>33</c:v>
                </c:pt>
                <c:pt idx="601">
                  <c:v>134</c:v>
                </c:pt>
                <c:pt idx="602">
                  <c:v>134</c:v>
                </c:pt>
                <c:pt idx="603">
                  <c:v>133</c:v>
                </c:pt>
                <c:pt idx="604">
                  <c:v>93</c:v>
                </c:pt>
                <c:pt idx="605">
                  <c:v>86</c:v>
                </c:pt>
                <c:pt idx="606">
                  <c:v>132</c:v>
                </c:pt>
                <c:pt idx="607">
                  <c:v>132</c:v>
                </c:pt>
                <c:pt idx="608">
                  <c:v>132</c:v>
                </c:pt>
                <c:pt idx="609">
                  <c:v>93</c:v>
                </c:pt>
                <c:pt idx="610">
                  <c:v>95</c:v>
                </c:pt>
                <c:pt idx="611">
                  <c:v>97</c:v>
                </c:pt>
                <c:pt idx="612">
                  <c:v>131</c:v>
                </c:pt>
                <c:pt idx="613">
                  <c:v>97</c:v>
                </c:pt>
                <c:pt idx="614">
                  <c:v>128</c:v>
                </c:pt>
                <c:pt idx="615">
                  <c:v>186</c:v>
                </c:pt>
                <c:pt idx="616">
                  <c:v>128</c:v>
                </c:pt>
                <c:pt idx="617">
                  <c:v>185</c:v>
                </c:pt>
                <c:pt idx="618">
                  <c:v>29</c:v>
                </c:pt>
                <c:pt idx="619">
                  <c:v>127</c:v>
                </c:pt>
                <c:pt idx="620">
                  <c:v>97</c:v>
                </c:pt>
                <c:pt idx="621">
                  <c:v>125</c:v>
                </c:pt>
                <c:pt idx="622">
                  <c:v>299</c:v>
                </c:pt>
                <c:pt idx="623">
                  <c:v>124</c:v>
                </c:pt>
                <c:pt idx="624">
                  <c:v>90</c:v>
                </c:pt>
                <c:pt idx="625">
                  <c:v>122</c:v>
                </c:pt>
                <c:pt idx="626">
                  <c:v>122</c:v>
                </c:pt>
                <c:pt idx="627">
                  <c:v>90</c:v>
                </c:pt>
                <c:pt idx="628">
                  <c:v>182</c:v>
                </c:pt>
                <c:pt idx="629">
                  <c:v>122</c:v>
                </c:pt>
                <c:pt idx="630">
                  <c:v>121</c:v>
                </c:pt>
                <c:pt idx="631">
                  <c:v>120</c:v>
                </c:pt>
                <c:pt idx="632">
                  <c:v>120</c:v>
                </c:pt>
                <c:pt idx="633">
                  <c:v>34</c:v>
                </c:pt>
                <c:pt idx="634">
                  <c:v>117</c:v>
                </c:pt>
                <c:pt idx="635">
                  <c:v>38</c:v>
                </c:pt>
                <c:pt idx="636">
                  <c:v>117</c:v>
                </c:pt>
                <c:pt idx="637">
                  <c:v>180</c:v>
                </c:pt>
                <c:pt idx="638">
                  <c:v>99</c:v>
                </c:pt>
                <c:pt idx="639">
                  <c:v>172</c:v>
                </c:pt>
                <c:pt idx="640">
                  <c:v>116</c:v>
                </c:pt>
                <c:pt idx="641">
                  <c:v>116</c:v>
                </c:pt>
                <c:pt idx="642">
                  <c:v>171</c:v>
                </c:pt>
                <c:pt idx="643">
                  <c:v>46</c:v>
                </c:pt>
                <c:pt idx="644">
                  <c:v>115</c:v>
                </c:pt>
                <c:pt idx="645">
                  <c:v>100</c:v>
                </c:pt>
                <c:pt idx="646">
                  <c:v>44</c:v>
                </c:pt>
                <c:pt idx="647">
                  <c:v>139</c:v>
                </c:pt>
                <c:pt idx="648">
                  <c:v>171</c:v>
                </c:pt>
                <c:pt idx="649">
                  <c:v>100</c:v>
                </c:pt>
                <c:pt idx="650">
                  <c:v>115</c:v>
                </c:pt>
                <c:pt idx="651">
                  <c:v>168</c:v>
                </c:pt>
                <c:pt idx="652">
                  <c:v>115</c:v>
                </c:pt>
                <c:pt idx="653">
                  <c:v>168</c:v>
                </c:pt>
                <c:pt idx="654">
                  <c:v>31</c:v>
                </c:pt>
                <c:pt idx="655">
                  <c:v>114</c:v>
                </c:pt>
                <c:pt idx="656">
                  <c:v>111</c:v>
                </c:pt>
                <c:pt idx="657">
                  <c:v>11</c:v>
                </c:pt>
                <c:pt idx="658">
                  <c:v>110</c:v>
                </c:pt>
                <c:pt idx="659">
                  <c:v>59</c:v>
                </c:pt>
                <c:pt idx="660">
                  <c:v>166</c:v>
                </c:pt>
                <c:pt idx="661">
                  <c:v>109</c:v>
                </c:pt>
                <c:pt idx="662">
                  <c:v>34</c:v>
                </c:pt>
                <c:pt idx="663">
                  <c:v>109</c:v>
                </c:pt>
                <c:pt idx="664">
                  <c:v>108</c:v>
                </c:pt>
                <c:pt idx="665">
                  <c:v>103</c:v>
                </c:pt>
                <c:pt idx="666">
                  <c:v>10</c:v>
                </c:pt>
                <c:pt idx="667">
                  <c:v>90</c:v>
                </c:pt>
                <c:pt idx="668">
                  <c:v>105</c:v>
                </c:pt>
                <c:pt idx="669">
                  <c:v>105</c:v>
                </c:pt>
                <c:pt idx="670">
                  <c:v>22</c:v>
                </c:pt>
                <c:pt idx="671">
                  <c:v>105</c:v>
                </c:pt>
                <c:pt idx="672">
                  <c:v>105</c:v>
                </c:pt>
                <c:pt idx="673">
                  <c:v>25</c:v>
                </c:pt>
                <c:pt idx="674">
                  <c:v>104</c:v>
                </c:pt>
                <c:pt idx="675">
                  <c:v>16</c:v>
                </c:pt>
                <c:pt idx="676">
                  <c:v>64</c:v>
                </c:pt>
                <c:pt idx="677">
                  <c:v>38</c:v>
                </c:pt>
                <c:pt idx="678">
                  <c:v>83</c:v>
                </c:pt>
                <c:pt idx="679">
                  <c:v>103</c:v>
                </c:pt>
                <c:pt idx="680">
                  <c:v>37</c:v>
                </c:pt>
                <c:pt idx="681">
                  <c:v>105</c:v>
                </c:pt>
                <c:pt idx="682">
                  <c:v>78</c:v>
                </c:pt>
                <c:pt idx="683">
                  <c:v>102</c:v>
                </c:pt>
                <c:pt idx="684">
                  <c:v>102</c:v>
                </c:pt>
                <c:pt idx="685">
                  <c:v>10</c:v>
                </c:pt>
                <c:pt idx="686">
                  <c:v>101</c:v>
                </c:pt>
                <c:pt idx="687">
                  <c:v>42</c:v>
                </c:pt>
                <c:pt idx="688">
                  <c:v>56</c:v>
                </c:pt>
                <c:pt idx="689">
                  <c:v>95</c:v>
                </c:pt>
                <c:pt idx="690">
                  <c:v>159</c:v>
                </c:pt>
                <c:pt idx="691">
                  <c:v>158</c:v>
                </c:pt>
                <c:pt idx="692">
                  <c:v>106</c:v>
                </c:pt>
                <c:pt idx="693">
                  <c:v>101</c:v>
                </c:pt>
                <c:pt idx="694">
                  <c:v>107</c:v>
                </c:pt>
                <c:pt idx="695">
                  <c:v>156</c:v>
                </c:pt>
                <c:pt idx="696">
                  <c:v>108</c:v>
                </c:pt>
                <c:pt idx="697">
                  <c:v>107</c:v>
                </c:pt>
                <c:pt idx="698">
                  <c:v>100</c:v>
                </c:pt>
                <c:pt idx="699">
                  <c:v>108</c:v>
                </c:pt>
                <c:pt idx="700">
                  <c:v>100</c:v>
                </c:pt>
                <c:pt idx="701">
                  <c:v>100</c:v>
                </c:pt>
                <c:pt idx="702">
                  <c:v>43</c:v>
                </c:pt>
                <c:pt idx="703">
                  <c:v>155</c:v>
                </c:pt>
                <c:pt idx="704">
                  <c:v>151</c:v>
                </c:pt>
                <c:pt idx="705">
                  <c:v>151</c:v>
                </c:pt>
                <c:pt idx="706">
                  <c:v>110</c:v>
                </c:pt>
                <c:pt idx="707">
                  <c:v>98</c:v>
                </c:pt>
                <c:pt idx="708">
                  <c:v>97</c:v>
                </c:pt>
                <c:pt idx="709">
                  <c:v>111</c:v>
                </c:pt>
                <c:pt idx="710">
                  <c:v>45</c:v>
                </c:pt>
                <c:pt idx="711">
                  <c:v>112</c:v>
                </c:pt>
                <c:pt idx="712">
                  <c:v>110</c:v>
                </c:pt>
                <c:pt idx="713">
                  <c:v>98</c:v>
                </c:pt>
                <c:pt idx="714">
                  <c:v>110</c:v>
                </c:pt>
                <c:pt idx="715">
                  <c:v>95</c:v>
                </c:pt>
                <c:pt idx="716">
                  <c:v>1228</c:v>
                </c:pt>
                <c:pt idx="717">
                  <c:v>29</c:v>
                </c:pt>
                <c:pt idx="718">
                  <c:v>94</c:v>
                </c:pt>
                <c:pt idx="719">
                  <c:v>115</c:v>
                </c:pt>
                <c:pt idx="720">
                  <c:v>149</c:v>
                </c:pt>
                <c:pt idx="721">
                  <c:v>148</c:v>
                </c:pt>
                <c:pt idx="722">
                  <c:v>93</c:v>
                </c:pt>
                <c:pt idx="723">
                  <c:v>113</c:v>
                </c:pt>
                <c:pt idx="724">
                  <c:v>48</c:v>
                </c:pt>
                <c:pt idx="725">
                  <c:v>148</c:v>
                </c:pt>
                <c:pt idx="726">
                  <c:v>114</c:v>
                </c:pt>
                <c:pt idx="727">
                  <c:v>92</c:v>
                </c:pt>
                <c:pt idx="728">
                  <c:v>117</c:v>
                </c:pt>
                <c:pt idx="729">
                  <c:v>21</c:v>
                </c:pt>
                <c:pt idx="730">
                  <c:v>33</c:v>
                </c:pt>
                <c:pt idx="731">
                  <c:v>114</c:v>
                </c:pt>
                <c:pt idx="732">
                  <c:v>115</c:v>
                </c:pt>
                <c:pt idx="733">
                  <c:v>90</c:v>
                </c:pt>
                <c:pt idx="734">
                  <c:v>61</c:v>
                </c:pt>
                <c:pt idx="735">
                  <c:v>119</c:v>
                </c:pt>
                <c:pt idx="736">
                  <c:v>117</c:v>
                </c:pt>
                <c:pt idx="737">
                  <c:v>148</c:v>
                </c:pt>
                <c:pt idx="738">
                  <c:v>249</c:v>
                </c:pt>
                <c:pt idx="739">
                  <c:v>147</c:v>
                </c:pt>
                <c:pt idx="740">
                  <c:v>118</c:v>
                </c:pt>
                <c:pt idx="741">
                  <c:v>119</c:v>
                </c:pt>
                <c:pt idx="742">
                  <c:v>90</c:v>
                </c:pt>
                <c:pt idx="743">
                  <c:v>32</c:v>
                </c:pt>
                <c:pt idx="744">
                  <c:v>89</c:v>
                </c:pt>
                <c:pt idx="745">
                  <c:v>146</c:v>
                </c:pt>
                <c:pt idx="746">
                  <c:v>89</c:v>
                </c:pt>
                <c:pt idx="747">
                  <c:v>88</c:v>
                </c:pt>
                <c:pt idx="748">
                  <c:v>121</c:v>
                </c:pt>
                <c:pt idx="749">
                  <c:v>88</c:v>
                </c:pt>
                <c:pt idx="750">
                  <c:v>87</c:v>
                </c:pt>
                <c:pt idx="751">
                  <c:v>87</c:v>
                </c:pt>
                <c:pt idx="752">
                  <c:v>122</c:v>
                </c:pt>
                <c:pt idx="753">
                  <c:v>87</c:v>
                </c:pt>
                <c:pt idx="754">
                  <c:v>53</c:v>
                </c:pt>
                <c:pt idx="755">
                  <c:v>87</c:v>
                </c:pt>
                <c:pt idx="756">
                  <c:v>86</c:v>
                </c:pt>
                <c:pt idx="757">
                  <c:v>125</c:v>
                </c:pt>
                <c:pt idx="758">
                  <c:v>128</c:v>
                </c:pt>
                <c:pt idx="759">
                  <c:v>143</c:v>
                </c:pt>
                <c:pt idx="760">
                  <c:v>86</c:v>
                </c:pt>
                <c:pt idx="761">
                  <c:v>86</c:v>
                </c:pt>
                <c:pt idx="762">
                  <c:v>85</c:v>
                </c:pt>
                <c:pt idx="763">
                  <c:v>129</c:v>
                </c:pt>
                <c:pt idx="764">
                  <c:v>84</c:v>
                </c:pt>
                <c:pt idx="765">
                  <c:v>83</c:v>
                </c:pt>
                <c:pt idx="766">
                  <c:v>143</c:v>
                </c:pt>
                <c:pt idx="767">
                  <c:v>336</c:v>
                </c:pt>
                <c:pt idx="768">
                  <c:v>323</c:v>
                </c:pt>
                <c:pt idx="769">
                  <c:v>130</c:v>
                </c:pt>
                <c:pt idx="770">
                  <c:v>152</c:v>
                </c:pt>
                <c:pt idx="771">
                  <c:v>25</c:v>
                </c:pt>
                <c:pt idx="772">
                  <c:v>140</c:v>
                </c:pt>
                <c:pt idx="773">
                  <c:v>45</c:v>
                </c:pt>
                <c:pt idx="774">
                  <c:v>132</c:v>
                </c:pt>
                <c:pt idx="775">
                  <c:v>133</c:v>
                </c:pt>
                <c:pt idx="776">
                  <c:v>82</c:v>
                </c:pt>
                <c:pt idx="777">
                  <c:v>140</c:v>
                </c:pt>
                <c:pt idx="778">
                  <c:v>81</c:v>
                </c:pt>
                <c:pt idx="779">
                  <c:v>137</c:v>
                </c:pt>
                <c:pt idx="780">
                  <c:v>137</c:v>
                </c:pt>
                <c:pt idx="781">
                  <c:v>140</c:v>
                </c:pt>
                <c:pt idx="782">
                  <c:v>139</c:v>
                </c:pt>
                <c:pt idx="783">
                  <c:v>138</c:v>
                </c:pt>
                <c:pt idx="784">
                  <c:v>79</c:v>
                </c:pt>
                <c:pt idx="785">
                  <c:v>136</c:v>
                </c:pt>
                <c:pt idx="786">
                  <c:v>145</c:v>
                </c:pt>
                <c:pt idx="787">
                  <c:v>44</c:v>
                </c:pt>
                <c:pt idx="788">
                  <c:v>79</c:v>
                </c:pt>
                <c:pt idx="789">
                  <c:v>79</c:v>
                </c:pt>
                <c:pt idx="790">
                  <c:v>134</c:v>
                </c:pt>
                <c:pt idx="791">
                  <c:v>133</c:v>
                </c:pt>
                <c:pt idx="792">
                  <c:v>47</c:v>
                </c:pt>
                <c:pt idx="793">
                  <c:v>133</c:v>
                </c:pt>
                <c:pt idx="794">
                  <c:v>78</c:v>
                </c:pt>
                <c:pt idx="795">
                  <c:v>78</c:v>
                </c:pt>
                <c:pt idx="796">
                  <c:v>76</c:v>
                </c:pt>
                <c:pt idx="797">
                  <c:v>76</c:v>
                </c:pt>
                <c:pt idx="798">
                  <c:v>76</c:v>
                </c:pt>
                <c:pt idx="799">
                  <c:v>74</c:v>
                </c:pt>
                <c:pt idx="800">
                  <c:v>74</c:v>
                </c:pt>
                <c:pt idx="801">
                  <c:v>146</c:v>
                </c:pt>
                <c:pt idx="802">
                  <c:v>73</c:v>
                </c:pt>
                <c:pt idx="803">
                  <c:v>80</c:v>
                </c:pt>
                <c:pt idx="804">
                  <c:v>133</c:v>
                </c:pt>
                <c:pt idx="805">
                  <c:v>146</c:v>
                </c:pt>
                <c:pt idx="806">
                  <c:v>130</c:v>
                </c:pt>
                <c:pt idx="807">
                  <c:v>141</c:v>
                </c:pt>
                <c:pt idx="808">
                  <c:v>147</c:v>
                </c:pt>
                <c:pt idx="809">
                  <c:v>73</c:v>
                </c:pt>
                <c:pt idx="810">
                  <c:v>148</c:v>
                </c:pt>
                <c:pt idx="811">
                  <c:v>58</c:v>
                </c:pt>
                <c:pt idx="812">
                  <c:v>21</c:v>
                </c:pt>
                <c:pt idx="813">
                  <c:v>148</c:v>
                </c:pt>
                <c:pt idx="814">
                  <c:v>144</c:v>
                </c:pt>
                <c:pt idx="815">
                  <c:v>145</c:v>
                </c:pt>
                <c:pt idx="816">
                  <c:v>72</c:v>
                </c:pt>
                <c:pt idx="817">
                  <c:v>125</c:v>
                </c:pt>
                <c:pt idx="818">
                  <c:v>149</c:v>
                </c:pt>
                <c:pt idx="819">
                  <c:v>72</c:v>
                </c:pt>
                <c:pt idx="820">
                  <c:v>71</c:v>
                </c:pt>
                <c:pt idx="821">
                  <c:v>71</c:v>
                </c:pt>
                <c:pt idx="822">
                  <c:v>154</c:v>
                </c:pt>
                <c:pt idx="823">
                  <c:v>191</c:v>
                </c:pt>
                <c:pt idx="824">
                  <c:v>170</c:v>
                </c:pt>
                <c:pt idx="825">
                  <c:v>47</c:v>
                </c:pt>
                <c:pt idx="826">
                  <c:v>122</c:v>
                </c:pt>
                <c:pt idx="827">
                  <c:v>70</c:v>
                </c:pt>
                <c:pt idx="828">
                  <c:v>155</c:v>
                </c:pt>
                <c:pt idx="829">
                  <c:v>67</c:v>
                </c:pt>
                <c:pt idx="830">
                  <c:v>67</c:v>
                </c:pt>
                <c:pt idx="831">
                  <c:v>148</c:v>
                </c:pt>
                <c:pt idx="832">
                  <c:v>122</c:v>
                </c:pt>
                <c:pt idx="833">
                  <c:v>16</c:v>
                </c:pt>
                <c:pt idx="834">
                  <c:v>121</c:v>
                </c:pt>
                <c:pt idx="835">
                  <c:v>42</c:v>
                </c:pt>
                <c:pt idx="836">
                  <c:v>65</c:v>
                </c:pt>
                <c:pt idx="837">
                  <c:v>119</c:v>
                </c:pt>
                <c:pt idx="838">
                  <c:v>155</c:v>
                </c:pt>
                <c:pt idx="839">
                  <c:v>119</c:v>
                </c:pt>
                <c:pt idx="840">
                  <c:v>118</c:v>
                </c:pt>
                <c:pt idx="841">
                  <c:v>116</c:v>
                </c:pt>
                <c:pt idx="842">
                  <c:v>158</c:v>
                </c:pt>
                <c:pt idx="843">
                  <c:v>158</c:v>
                </c:pt>
                <c:pt idx="844">
                  <c:v>65</c:v>
                </c:pt>
                <c:pt idx="845">
                  <c:v>160</c:v>
                </c:pt>
                <c:pt idx="846">
                  <c:v>162</c:v>
                </c:pt>
                <c:pt idx="847">
                  <c:v>63</c:v>
                </c:pt>
                <c:pt idx="848">
                  <c:v>64</c:v>
                </c:pt>
                <c:pt idx="849">
                  <c:v>166</c:v>
                </c:pt>
                <c:pt idx="850">
                  <c:v>167</c:v>
                </c:pt>
                <c:pt idx="851">
                  <c:v>123</c:v>
                </c:pt>
                <c:pt idx="852">
                  <c:v>63</c:v>
                </c:pt>
                <c:pt idx="853">
                  <c:v>891</c:v>
                </c:pt>
                <c:pt idx="854">
                  <c:v>75</c:v>
                </c:pt>
                <c:pt idx="855">
                  <c:v>62</c:v>
                </c:pt>
                <c:pt idx="856">
                  <c:v>29</c:v>
                </c:pt>
                <c:pt idx="857">
                  <c:v>168</c:v>
                </c:pt>
                <c:pt idx="858">
                  <c:v>70</c:v>
                </c:pt>
                <c:pt idx="859">
                  <c:v>169</c:v>
                </c:pt>
                <c:pt idx="860">
                  <c:v>32</c:v>
                </c:pt>
                <c:pt idx="861">
                  <c:v>44</c:v>
                </c:pt>
                <c:pt idx="862">
                  <c:v>116</c:v>
                </c:pt>
                <c:pt idx="863">
                  <c:v>156</c:v>
                </c:pt>
                <c:pt idx="864">
                  <c:v>62</c:v>
                </c:pt>
                <c:pt idx="865">
                  <c:v>54</c:v>
                </c:pt>
                <c:pt idx="866">
                  <c:v>111</c:v>
                </c:pt>
                <c:pt idx="867">
                  <c:v>158</c:v>
                </c:pt>
                <c:pt idx="868">
                  <c:v>7</c:v>
                </c:pt>
                <c:pt idx="869">
                  <c:v>61</c:v>
                </c:pt>
                <c:pt idx="870">
                  <c:v>61</c:v>
                </c:pt>
                <c:pt idx="871">
                  <c:v>154</c:v>
                </c:pt>
                <c:pt idx="872">
                  <c:v>62</c:v>
                </c:pt>
                <c:pt idx="873">
                  <c:v>169</c:v>
                </c:pt>
                <c:pt idx="874">
                  <c:v>61</c:v>
                </c:pt>
                <c:pt idx="875">
                  <c:v>61</c:v>
                </c:pt>
                <c:pt idx="876">
                  <c:v>171</c:v>
                </c:pt>
                <c:pt idx="877">
                  <c:v>60</c:v>
                </c:pt>
                <c:pt idx="878">
                  <c:v>25</c:v>
                </c:pt>
                <c:pt idx="879">
                  <c:v>163</c:v>
                </c:pt>
                <c:pt idx="880">
                  <c:v>173</c:v>
                </c:pt>
                <c:pt idx="881">
                  <c:v>257</c:v>
                </c:pt>
                <c:pt idx="882">
                  <c:v>108</c:v>
                </c:pt>
                <c:pt idx="883">
                  <c:v>177</c:v>
                </c:pt>
                <c:pt idx="884">
                  <c:v>106</c:v>
                </c:pt>
                <c:pt idx="885">
                  <c:v>41</c:v>
                </c:pt>
                <c:pt idx="886">
                  <c:v>168</c:v>
                </c:pt>
                <c:pt idx="887">
                  <c:v>60</c:v>
                </c:pt>
                <c:pt idx="888">
                  <c:v>31</c:v>
                </c:pt>
                <c:pt idx="889">
                  <c:v>179</c:v>
                </c:pt>
                <c:pt idx="890">
                  <c:v>106</c:v>
                </c:pt>
                <c:pt idx="891">
                  <c:v>60</c:v>
                </c:pt>
                <c:pt idx="892">
                  <c:v>180</c:v>
                </c:pt>
                <c:pt idx="893">
                  <c:v>60</c:v>
                </c:pt>
                <c:pt idx="894">
                  <c:v>59</c:v>
                </c:pt>
                <c:pt idx="895">
                  <c:v>170</c:v>
                </c:pt>
                <c:pt idx="896">
                  <c:v>59</c:v>
                </c:pt>
                <c:pt idx="897">
                  <c:v>24</c:v>
                </c:pt>
                <c:pt idx="898">
                  <c:v>105</c:v>
                </c:pt>
                <c:pt idx="899">
                  <c:v>103</c:v>
                </c:pt>
                <c:pt idx="900">
                  <c:v>171</c:v>
                </c:pt>
                <c:pt idx="901">
                  <c:v>102</c:v>
                </c:pt>
                <c:pt idx="902">
                  <c:v>98</c:v>
                </c:pt>
                <c:pt idx="903">
                  <c:v>59</c:v>
                </c:pt>
                <c:pt idx="904">
                  <c:v>189</c:v>
                </c:pt>
                <c:pt idx="905">
                  <c:v>58</c:v>
                </c:pt>
                <c:pt idx="906">
                  <c:v>60</c:v>
                </c:pt>
                <c:pt idx="907">
                  <c:v>58</c:v>
                </c:pt>
                <c:pt idx="908">
                  <c:v>94</c:v>
                </c:pt>
                <c:pt idx="909">
                  <c:v>193</c:v>
                </c:pt>
                <c:pt idx="910">
                  <c:v>199</c:v>
                </c:pt>
                <c:pt idx="911">
                  <c:v>202</c:v>
                </c:pt>
                <c:pt idx="912">
                  <c:v>58</c:v>
                </c:pt>
                <c:pt idx="913">
                  <c:v>57</c:v>
                </c:pt>
                <c:pt idx="914">
                  <c:v>204</c:v>
                </c:pt>
                <c:pt idx="915">
                  <c:v>98</c:v>
                </c:pt>
                <c:pt idx="916">
                  <c:v>22</c:v>
                </c:pt>
                <c:pt idx="917">
                  <c:v>97</c:v>
                </c:pt>
                <c:pt idx="918">
                  <c:v>57</c:v>
                </c:pt>
                <c:pt idx="919">
                  <c:v>97</c:v>
                </c:pt>
                <c:pt idx="920">
                  <c:v>97</c:v>
                </c:pt>
                <c:pt idx="921">
                  <c:v>96</c:v>
                </c:pt>
                <c:pt idx="922">
                  <c:v>94</c:v>
                </c:pt>
                <c:pt idx="923">
                  <c:v>26</c:v>
                </c:pt>
                <c:pt idx="924">
                  <c:v>93</c:v>
                </c:pt>
                <c:pt idx="925">
                  <c:v>93</c:v>
                </c:pt>
                <c:pt idx="926">
                  <c:v>92</c:v>
                </c:pt>
                <c:pt idx="927">
                  <c:v>57</c:v>
                </c:pt>
                <c:pt idx="928">
                  <c:v>57</c:v>
                </c:pt>
                <c:pt idx="929">
                  <c:v>57</c:v>
                </c:pt>
                <c:pt idx="930">
                  <c:v>128</c:v>
                </c:pt>
                <c:pt idx="931">
                  <c:v>89</c:v>
                </c:pt>
                <c:pt idx="932">
                  <c:v>221</c:v>
                </c:pt>
                <c:pt idx="933">
                  <c:v>205</c:v>
                </c:pt>
                <c:pt idx="934">
                  <c:v>191</c:v>
                </c:pt>
                <c:pt idx="935">
                  <c:v>206</c:v>
                </c:pt>
                <c:pt idx="936">
                  <c:v>56</c:v>
                </c:pt>
                <c:pt idx="937">
                  <c:v>88</c:v>
                </c:pt>
                <c:pt idx="938">
                  <c:v>224</c:v>
                </c:pt>
                <c:pt idx="939">
                  <c:v>193</c:v>
                </c:pt>
                <c:pt idx="940">
                  <c:v>87</c:v>
                </c:pt>
                <c:pt idx="941">
                  <c:v>189</c:v>
                </c:pt>
                <c:pt idx="942">
                  <c:v>55</c:v>
                </c:pt>
                <c:pt idx="943">
                  <c:v>85</c:v>
                </c:pt>
                <c:pt idx="944">
                  <c:v>252</c:v>
                </c:pt>
                <c:pt idx="945">
                  <c:v>197</c:v>
                </c:pt>
                <c:pt idx="946">
                  <c:v>17</c:v>
                </c:pt>
                <c:pt idx="947">
                  <c:v>100</c:v>
                </c:pt>
                <c:pt idx="948">
                  <c:v>80</c:v>
                </c:pt>
                <c:pt idx="949">
                  <c:v>75</c:v>
                </c:pt>
                <c:pt idx="950">
                  <c:v>26</c:v>
                </c:pt>
                <c:pt idx="951">
                  <c:v>55</c:v>
                </c:pt>
                <c:pt idx="952">
                  <c:v>157</c:v>
                </c:pt>
                <c:pt idx="953">
                  <c:v>200</c:v>
                </c:pt>
                <c:pt idx="954">
                  <c:v>230</c:v>
                </c:pt>
                <c:pt idx="955">
                  <c:v>213</c:v>
                </c:pt>
                <c:pt idx="956">
                  <c:v>55</c:v>
                </c:pt>
                <c:pt idx="957">
                  <c:v>220</c:v>
                </c:pt>
                <c:pt idx="958">
                  <c:v>150</c:v>
                </c:pt>
                <c:pt idx="959">
                  <c:v>203</c:v>
                </c:pt>
                <c:pt idx="960">
                  <c:v>93</c:v>
                </c:pt>
                <c:pt idx="961">
                  <c:v>290</c:v>
                </c:pt>
                <c:pt idx="962">
                  <c:v>48</c:v>
                </c:pt>
                <c:pt idx="963">
                  <c:v>221</c:v>
                </c:pt>
                <c:pt idx="964">
                  <c:v>55</c:v>
                </c:pt>
                <c:pt idx="965">
                  <c:v>227</c:v>
                </c:pt>
                <c:pt idx="966">
                  <c:v>55</c:v>
                </c:pt>
                <c:pt idx="967">
                  <c:v>207</c:v>
                </c:pt>
                <c:pt idx="968">
                  <c:v>64</c:v>
                </c:pt>
                <c:pt idx="969">
                  <c:v>89</c:v>
                </c:pt>
                <c:pt idx="970">
                  <c:v>54</c:v>
                </c:pt>
                <c:pt idx="971">
                  <c:v>84</c:v>
                </c:pt>
                <c:pt idx="972">
                  <c:v>209</c:v>
                </c:pt>
                <c:pt idx="973">
                  <c:v>79</c:v>
                </c:pt>
                <c:pt idx="974">
                  <c:v>54</c:v>
                </c:pt>
                <c:pt idx="975">
                  <c:v>229</c:v>
                </c:pt>
                <c:pt idx="976">
                  <c:v>158</c:v>
                </c:pt>
                <c:pt idx="977">
                  <c:v>248</c:v>
                </c:pt>
                <c:pt idx="978">
                  <c:v>199</c:v>
                </c:pt>
                <c:pt idx="979">
                  <c:v>253</c:v>
                </c:pt>
                <c:pt idx="980">
                  <c:v>257</c:v>
                </c:pt>
                <c:pt idx="981">
                  <c:v>193</c:v>
                </c:pt>
                <c:pt idx="982">
                  <c:v>109</c:v>
                </c:pt>
                <c:pt idx="983">
                  <c:v>214</c:v>
                </c:pt>
                <c:pt idx="984">
                  <c:v>141</c:v>
                </c:pt>
                <c:pt idx="985">
                  <c:v>201</c:v>
                </c:pt>
                <c:pt idx="986">
                  <c:v>54</c:v>
                </c:pt>
                <c:pt idx="987">
                  <c:v>83</c:v>
                </c:pt>
                <c:pt idx="988">
                  <c:v>54</c:v>
                </c:pt>
                <c:pt idx="989">
                  <c:v>53</c:v>
                </c:pt>
                <c:pt idx="990">
                  <c:v>258</c:v>
                </c:pt>
                <c:pt idx="991">
                  <c:v>199</c:v>
                </c:pt>
                <c:pt idx="992">
                  <c:v>82</c:v>
                </c:pt>
                <c:pt idx="993">
                  <c:v>139</c:v>
                </c:pt>
                <c:pt idx="994">
                  <c:v>53</c:v>
                </c:pt>
                <c:pt idx="995">
                  <c:v>53</c:v>
                </c:pt>
                <c:pt idx="996">
                  <c:v>101</c:v>
                </c:pt>
                <c:pt idx="997">
                  <c:v>262</c:v>
                </c:pt>
                <c:pt idx="998">
                  <c:v>82</c:v>
                </c:pt>
                <c:pt idx="999">
                  <c:v>154</c:v>
                </c:pt>
                <c:pt idx="1000">
                  <c:v>52</c:v>
                </c:pt>
                <c:pt idx="1001">
                  <c:v>1599</c:v>
                </c:pt>
                <c:pt idx="1002">
                  <c:v>338</c:v>
                </c:pt>
                <c:pt idx="1003">
                  <c:v>51</c:v>
                </c:pt>
                <c:pt idx="1004">
                  <c:v>224</c:v>
                </c:pt>
                <c:pt idx="1005">
                  <c:v>207</c:v>
                </c:pt>
                <c:pt idx="1006">
                  <c:v>51</c:v>
                </c:pt>
                <c:pt idx="1007">
                  <c:v>82</c:v>
                </c:pt>
                <c:pt idx="1008">
                  <c:v>50</c:v>
                </c:pt>
                <c:pt idx="1009">
                  <c:v>263</c:v>
                </c:pt>
                <c:pt idx="1010">
                  <c:v>50</c:v>
                </c:pt>
                <c:pt idx="1011">
                  <c:v>245</c:v>
                </c:pt>
                <c:pt idx="1012">
                  <c:v>82</c:v>
                </c:pt>
                <c:pt idx="1013">
                  <c:v>229</c:v>
                </c:pt>
                <c:pt idx="1014">
                  <c:v>50</c:v>
                </c:pt>
                <c:pt idx="1015">
                  <c:v>220</c:v>
                </c:pt>
                <c:pt idx="1016">
                  <c:v>263</c:v>
                </c:pt>
                <c:pt idx="1017">
                  <c:v>81</c:v>
                </c:pt>
                <c:pt idx="1018">
                  <c:v>50</c:v>
                </c:pt>
                <c:pt idx="1019">
                  <c:v>49</c:v>
                </c:pt>
                <c:pt idx="1020">
                  <c:v>237</c:v>
                </c:pt>
                <c:pt idx="1021">
                  <c:v>264</c:v>
                </c:pt>
                <c:pt idx="1022">
                  <c:v>49</c:v>
                </c:pt>
                <c:pt idx="1023">
                  <c:v>63</c:v>
                </c:pt>
                <c:pt idx="1024">
                  <c:v>81</c:v>
                </c:pt>
                <c:pt idx="1025">
                  <c:v>264</c:v>
                </c:pt>
                <c:pt idx="1026">
                  <c:v>48</c:v>
                </c:pt>
                <c:pt idx="1027">
                  <c:v>48</c:v>
                </c:pt>
                <c:pt idx="1028">
                  <c:v>245</c:v>
                </c:pt>
                <c:pt idx="1029">
                  <c:v>146</c:v>
                </c:pt>
                <c:pt idx="1030">
                  <c:v>245</c:v>
                </c:pt>
                <c:pt idx="1031">
                  <c:v>245</c:v>
                </c:pt>
                <c:pt idx="1032">
                  <c:v>80</c:v>
                </c:pt>
                <c:pt idx="1033">
                  <c:v>269</c:v>
                </c:pt>
                <c:pt idx="1034">
                  <c:v>80</c:v>
                </c:pt>
                <c:pt idx="1035">
                  <c:v>284</c:v>
                </c:pt>
                <c:pt idx="1036">
                  <c:v>313</c:v>
                </c:pt>
                <c:pt idx="1037">
                  <c:v>80</c:v>
                </c:pt>
                <c:pt idx="1038">
                  <c:v>48</c:v>
                </c:pt>
                <c:pt idx="1039">
                  <c:v>87</c:v>
                </c:pt>
                <c:pt idx="1040">
                  <c:v>47</c:v>
                </c:pt>
                <c:pt idx="1041">
                  <c:v>140</c:v>
                </c:pt>
                <c:pt idx="1042">
                  <c:v>47</c:v>
                </c:pt>
                <c:pt idx="1043">
                  <c:v>79</c:v>
                </c:pt>
                <c:pt idx="1044">
                  <c:v>78</c:v>
                </c:pt>
                <c:pt idx="1045">
                  <c:v>47</c:v>
                </c:pt>
                <c:pt idx="1046">
                  <c:v>185</c:v>
                </c:pt>
                <c:pt idx="1047">
                  <c:v>77</c:v>
                </c:pt>
                <c:pt idx="1048">
                  <c:v>259</c:v>
                </c:pt>
                <c:pt idx="1049">
                  <c:v>75</c:v>
                </c:pt>
                <c:pt idx="1050">
                  <c:v>75</c:v>
                </c:pt>
                <c:pt idx="1051">
                  <c:v>46</c:v>
                </c:pt>
                <c:pt idx="1052">
                  <c:v>46</c:v>
                </c:pt>
                <c:pt idx="1053">
                  <c:v>200</c:v>
                </c:pt>
                <c:pt idx="1054">
                  <c:v>46</c:v>
                </c:pt>
                <c:pt idx="1055">
                  <c:v>126</c:v>
                </c:pt>
                <c:pt idx="1056">
                  <c:v>74</c:v>
                </c:pt>
                <c:pt idx="1057">
                  <c:v>45</c:v>
                </c:pt>
                <c:pt idx="1058">
                  <c:v>74</c:v>
                </c:pt>
                <c:pt idx="1059">
                  <c:v>129</c:v>
                </c:pt>
                <c:pt idx="1060">
                  <c:v>122</c:v>
                </c:pt>
                <c:pt idx="1061">
                  <c:v>74</c:v>
                </c:pt>
                <c:pt idx="1062">
                  <c:v>278</c:v>
                </c:pt>
                <c:pt idx="1063">
                  <c:v>282</c:v>
                </c:pt>
                <c:pt idx="1064">
                  <c:v>45</c:v>
                </c:pt>
                <c:pt idx="1065">
                  <c:v>45</c:v>
                </c:pt>
                <c:pt idx="1066">
                  <c:v>45</c:v>
                </c:pt>
                <c:pt idx="1067">
                  <c:v>73</c:v>
                </c:pt>
                <c:pt idx="1068">
                  <c:v>45</c:v>
                </c:pt>
                <c:pt idx="1069">
                  <c:v>72</c:v>
                </c:pt>
                <c:pt idx="1070">
                  <c:v>71</c:v>
                </c:pt>
                <c:pt idx="1071">
                  <c:v>45</c:v>
                </c:pt>
                <c:pt idx="1072">
                  <c:v>286</c:v>
                </c:pt>
                <c:pt idx="1073">
                  <c:v>294</c:v>
                </c:pt>
                <c:pt idx="1074">
                  <c:v>223</c:v>
                </c:pt>
                <c:pt idx="1075">
                  <c:v>20</c:v>
                </c:pt>
                <c:pt idx="1076">
                  <c:v>302</c:v>
                </c:pt>
                <c:pt idx="1077">
                  <c:v>113</c:v>
                </c:pt>
                <c:pt idx="1078">
                  <c:v>44</c:v>
                </c:pt>
                <c:pt idx="1079">
                  <c:v>305</c:v>
                </c:pt>
                <c:pt idx="1080">
                  <c:v>306</c:v>
                </c:pt>
                <c:pt idx="1081">
                  <c:v>70</c:v>
                </c:pt>
                <c:pt idx="1082">
                  <c:v>44</c:v>
                </c:pt>
                <c:pt idx="1083">
                  <c:v>44</c:v>
                </c:pt>
                <c:pt idx="1084">
                  <c:v>319</c:v>
                </c:pt>
                <c:pt idx="1085">
                  <c:v>287</c:v>
                </c:pt>
                <c:pt idx="1086">
                  <c:v>44</c:v>
                </c:pt>
                <c:pt idx="1087">
                  <c:v>288</c:v>
                </c:pt>
                <c:pt idx="1088">
                  <c:v>49</c:v>
                </c:pt>
                <c:pt idx="1089">
                  <c:v>43</c:v>
                </c:pt>
                <c:pt idx="1090">
                  <c:v>43</c:v>
                </c:pt>
                <c:pt idx="1091">
                  <c:v>68</c:v>
                </c:pt>
                <c:pt idx="1092">
                  <c:v>320</c:v>
                </c:pt>
                <c:pt idx="1093">
                  <c:v>67</c:v>
                </c:pt>
                <c:pt idx="1094">
                  <c:v>66</c:v>
                </c:pt>
                <c:pt idx="1095">
                  <c:v>321</c:v>
                </c:pt>
                <c:pt idx="1096">
                  <c:v>43</c:v>
                </c:pt>
                <c:pt idx="1097">
                  <c:v>114</c:v>
                </c:pt>
                <c:pt idx="1098">
                  <c:v>43</c:v>
                </c:pt>
                <c:pt idx="1099">
                  <c:v>43</c:v>
                </c:pt>
                <c:pt idx="1100">
                  <c:v>637</c:v>
                </c:pt>
                <c:pt idx="1101">
                  <c:v>300</c:v>
                </c:pt>
                <c:pt idx="1102">
                  <c:v>341</c:v>
                </c:pt>
                <c:pt idx="1103">
                  <c:v>102</c:v>
                </c:pt>
                <c:pt idx="1104">
                  <c:v>328</c:v>
                </c:pt>
                <c:pt idx="1105">
                  <c:v>341</c:v>
                </c:pt>
                <c:pt idx="1106">
                  <c:v>62</c:v>
                </c:pt>
                <c:pt idx="1107">
                  <c:v>42</c:v>
                </c:pt>
                <c:pt idx="1108">
                  <c:v>62</c:v>
                </c:pt>
                <c:pt idx="1109">
                  <c:v>42</c:v>
                </c:pt>
                <c:pt idx="1110">
                  <c:v>42</c:v>
                </c:pt>
                <c:pt idx="1111">
                  <c:v>313</c:v>
                </c:pt>
                <c:pt idx="1112">
                  <c:v>109</c:v>
                </c:pt>
                <c:pt idx="1113">
                  <c:v>226</c:v>
                </c:pt>
                <c:pt idx="1114">
                  <c:v>62</c:v>
                </c:pt>
                <c:pt idx="1115">
                  <c:v>61</c:v>
                </c:pt>
                <c:pt idx="1116">
                  <c:v>222</c:v>
                </c:pt>
                <c:pt idx="1117">
                  <c:v>342</c:v>
                </c:pt>
                <c:pt idx="1118">
                  <c:v>344</c:v>
                </c:pt>
                <c:pt idx="1119">
                  <c:v>345</c:v>
                </c:pt>
                <c:pt idx="1120">
                  <c:v>46</c:v>
                </c:pt>
                <c:pt idx="1121">
                  <c:v>255</c:v>
                </c:pt>
                <c:pt idx="1122">
                  <c:v>360</c:v>
                </c:pt>
                <c:pt idx="1123">
                  <c:v>372</c:v>
                </c:pt>
                <c:pt idx="1124">
                  <c:v>61</c:v>
                </c:pt>
                <c:pt idx="1125">
                  <c:v>42</c:v>
                </c:pt>
                <c:pt idx="1126">
                  <c:v>42</c:v>
                </c:pt>
                <c:pt idx="1127">
                  <c:v>61</c:v>
                </c:pt>
                <c:pt idx="1128">
                  <c:v>41</c:v>
                </c:pt>
                <c:pt idx="1129">
                  <c:v>40</c:v>
                </c:pt>
                <c:pt idx="1130">
                  <c:v>59</c:v>
                </c:pt>
                <c:pt idx="1131">
                  <c:v>57</c:v>
                </c:pt>
                <c:pt idx="1132">
                  <c:v>17</c:v>
                </c:pt>
                <c:pt idx="1133">
                  <c:v>40</c:v>
                </c:pt>
                <c:pt idx="1134">
                  <c:v>349</c:v>
                </c:pt>
                <c:pt idx="1135">
                  <c:v>335</c:v>
                </c:pt>
                <c:pt idx="1136">
                  <c:v>40</c:v>
                </c:pt>
                <c:pt idx="1137">
                  <c:v>40</c:v>
                </c:pt>
                <c:pt idx="1138">
                  <c:v>40</c:v>
                </c:pt>
                <c:pt idx="1139">
                  <c:v>352</c:v>
                </c:pt>
                <c:pt idx="1140">
                  <c:v>55</c:v>
                </c:pt>
                <c:pt idx="1141">
                  <c:v>352</c:v>
                </c:pt>
                <c:pt idx="1142">
                  <c:v>53</c:v>
                </c:pt>
                <c:pt idx="1143">
                  <c:v>51</c:v>
                </c:pt>
                <c:pt idx="1144">
                  <c:v>40</c:v>
                </c:pt>
                <c:pt idx="1145">
                  <c:v>39</c:v>
                </c:pt>
                <c:pt idx="1146">
                  <c:v>355</c:v>
                </c:pt>
                <c:pt idx="1147">
                  <c:v>357</c:v>
                </c:pt>
                <c:pt idx="1148">
                  <c:v>38</c:v>
                </c:pt>
                <c:pt idx="1149">
                  <c:v>38</c:v>
                </c:pt>
                <c:pt idx="1150">
                  <c:v>141</c:v>
                </c:pt>
                <c:pt idx="1151">
                  <c:v>36</c:v>
                </c:pt>
                <c:pt idx="1152">
                  <c:v>351</c:v>
                </c:pt>
                <c:pt idx="1153">
                  <c:v>369</c:v>
                </c:pt>
                <c:pt idx="1154">
                  <c:v>53</c:v>
                </c:pt>
                <c:pt idx="1155">
                  <c:v>371</c:v>
                </c:pt>
                <c:pt idx="1156">
                  <c:v>499</c:v>
                </c:pt>
                <c:pt idx="1157">
                  <c:v>223</c:v>
                </c:pt>
                <c:pt idx="1158">
                  <c:v>50</c:v>
                </c:pt>
                <c:pt idx="1159">
                  <c:v>391</c:v>
                </c:pt>
                <c:pt idx="1160">
                  <c:v>416</c:v>
                </c:pt>
                <c:pt idx="1161">
                  <c:v>424</c:v>
                </c:pt>
                <c:pt idx="1162">
                  <c:v>362</c:v>
                </c:pt>
                <c:pt idx="1163">
                  <c:v>36</c:v>
                </c:pt>
                <c:pt idx="1164">
                  <c:v>34</c:v>
                </c:pt>
                <c:pt idx="1165">
                  <c:v>367</c:v>
                </c:pt>
                <c:pt idx="1166">
                  <c:v>425</c:v>
                </c:pt>
                <c:pt idx="1167">
                  <c:v>433</c:v>
                </c:pt>
                <c:pt idx="1168">
                  <c:v>460</c:v>
                </c:pt>
                <c:pt idx="1169">
                  <c:v>62</c:v>
                </c:pt>
                <c:pt idx="1170">
                  <c:v>50</c:v>
                </c:pt>
                <c:pt idx="1171">
                  <c:v>460</c:v>
                </c:pt>
                <c:pt idx="1172">
                  <c:v>34</c:v>
                </c:pt>
                <c:pt idx="1173">
                  <c:v>227</c:v>
                </c:pt>
                <c:pt idx="1174">
                  <c:v>469</c:v>
                </c:pt>
                <c:pt idx="1175">
                  <c:v>103</c:v>
                </c:pt>
                <c:pt idx="1176">
                  <c:v>34</c:v>
                </c:pt>
                <c:pt idx="1177">
                  <c:v>137</c:v>
                </c:pt>
                <c:pt idx="1178">
                  <c:v>34</c:v>
                </c:pt>
                <c:pt idx="1179">
                  <c:v>474</c:v>
                </c:pt>
                <c:pt idx="1180">
                  <c:v>50</c:v>
                </c:pt>
                <c:pt idx="1181">
                  <c:v>69</c:v>
                </c:pt>
                <c:pt idx="1182">
                  <c:v>389</c:v>
                </c:pt>
                <c:pt idx="1183">
                  <c:v>77</c:v>
                </c:pt>
                <c:pt idx="1184">
                  <c:v>51</c:v>
                </c:pt>
                <c:pt idx="1185">
                  <c:v>394</c:v>
                </c:pt>
                <c:pt idx="1186">
                  <c:v>48</c:v>
                </c:pt>
                <c:pt idx="1187">
                  <c:v>34</c:v>
                </c:pt>
                <c:pt idx="1188">
                  <c:v>484</c:v>
                </c:pt>
                <c:pt idx="1189">
                  <c:v>47</c:v>
                </c:pt>
                <c:pt idx="1190">
                  <c:v>45</c:v>
                </c:pt>
                <c:pt idx="1191">
                  <c:v>128</c:v>
                </c:pt>
                <c:pt idx="1192">
                  <c:v>669</c:v>
                </c:pt>
                <c:pt idx="1193">
                  <c:v>34</c:v>
                </c:pt>
                <c:pt idx="1194">
                  <c:v>44</c:v>
                </c:pt>
                <c:pt idx="1195">
                  <c:v>33</c:v>
                </c:pt>
                <c:pt idx="1196">
                  <c:v>33</c:v>
                </c:pt>
                <c:pt idx="1197">
                  <c:v>487</c:v>
                </c:pt>
                <c:pt idx="1198">
                  <c:v>497</c:v>
                </c:pt>
                <c:pt idx="1199">
                  <c:v>508</c:v>
                </c:pt>
                <c:pt idx="1200">
                  <c:v>524</c:v>
                </c:pt>
                <c:pt idx="1201">
                  <c:v>425</c:v>
                </c:pt>
                <c:pt idx="1202">
                  <c:v>168</c:v>
                </c:pt>
                <c:pt idx="1203">
                  <c:v>141</c:v>
                </c:pt>
                <c:pt idx="1204">
                  <c:v>429</c:v>
                </c:pt>
                <c:pt idx="1205">
                  <c:v>44</c:v>
                </c:pt>
                <c:pt idx="1206">
                  <c:v>149</c:v>
                </c:pt>
                <c:pt idx="1207">
                  <c:v>44</c:v>
                </c:pt>
                <c:pt idx="1208">
                  <c:v>33</c:v>
                </c:pt>
                <c:pt idx="1209">
                  <c:v>33</c:v>
                </c:pt>
                <c:pt idx="1210">
                  <c:v>442</c:v>
                </c:pt>
                <c:pt idx="1211">
                  <c:v>41</c:v>
                </c:pt>
                <c:pt idx="1212">
                  <c:v>33</c:v>
                </c:pt>
                <c:pt idx="1213">
                  <c:v>32</c:v>
                </c:pt>
                <c:pt idx="1214">
                  <c:v>32</c:v>
                </c:pt>
                <c:pt idx="1215">
                  <c:v>179</c:v>
                </c:pt>
                <c:pt idx="1216">
                  <c:v>31</c:v>
                </c:pt>
                <c:pt idx="1217">
                  <c:v>140</c:v>
                </c:pt>
                <c:pt idx="1218">
                  <c:v>529</c:v>
                </c:pt>
                <c:pt idx="1219">
                  <c:v>534</c:v>
                </c:pt>
                <c:pt idx="1220">
                  <c:v>41</c:v>
                </c:pt>
                <c:pt idx="1221">
                  <c:v>379</c:v>
                </c:pt>
                <c:pt idx="1222">
                  <c:v>81</c:v>
                </c:pt>
                <c:pt idx="1223">
                  <c:v>40</c:v>
                </c:pt>
                <c:pt idx="1224">
                  <c:v>40</c:v>
                </c:pt>
                <c:pt idx="1225">
                  <c:v>534</c:v>
                </c:pt>
                <c:pt idx="1226">
                  <c:v>31</c:v>
                </c:pt>
                <c:pt idx="1227">
                  <c:v>473</c:v>
                </c:pt>
                <c:pt idx="1228">
                  <c:v>31</c:v>
                </c:pt>
                <c:pt idx="1229">
                  <c:v>31</c:v>
                </c:pt>
                <c:pt idx="1230">
                  <c:v>91</c:v>
                </c:pt>
                <c:pt idx="1231">
                  <c:v>30</c:v>
                </c:pt>
                <c:pt idx="1232">
                  <c:v>30</c:v>
                </c:pt>
                <c:pt idx="1233">
                  <c:v>40</c:v>
                </c:pt>
                <c:pt idx="1234">
                  <c:v>534</c:v>
                </c:pt>
                <c:pt idx="1235">
                  <c:v>539</c:v>
                </c:pt>
                <c:pt idx="1236">
                  <c:v>490</c:v>
                </c:pt>
                <c:pt idx="1237">
                  <c:v>163</c:v>
                </c:pt>
                <c:pt idx="1238">
                  <c:v>184</c:v>
                </c:pt>
                <c:pt idx="1239">
                  <c:v>494</c:v>
                </c:pt>
                <c:pt idx="1240">
                  <c:v>30</c:v>
                </c:pt>
                <c:pt idx="1241">
                  <c:v>30</c:v>
                </c:pt>
                <c:pt idx="1242">
                  <c:v>39</c:v>
                </c:pt>
                <c:pt idx="1243">
                  <c:v>1700</c:v>
                </c:pt>
                <c:pt idx="1244">
                  <c:v>332</c:v>
                </c:pt>
                <c:pt idx="1245">
                  <c:v>436</c:v>
                </c:pt>
                <c:pt idx="1246">
                  <c:v>30</c:v>
                </c:pt>
                <c:pt idx="1247">
                  <c:v>30</c:v>
                </c:pt>
                <c:pt idx="1248">
                  <c:v>38</c:v>
                </c:pt>
                <c:pt idx="1249">
                  <c:v>511</c:v>
                </c:pt>
                <c:pt idx="1250">
                  <c:v>37</c:v>
                </c:pt>
                <c:pt idx="1251">
                  <c:v>513</c:v>
                </c:pt>
                <c:pt idx="1252">
                  <c:v>516</c:v>
                </c:pt>
                <c:pt idx="1253">
                  <c:v>559</c:v>
                </c:pt>
                <c:pt idx="1254">
                  <c:v>29</c:v>
                </c:pt>
                <c:pt idx="1255">
                  <c:v>148</c:v>
                </c:pt>
                <c:pt idx="1256">
                  <c:v>559</c:v>
                </c:pt>
                <c:pt idx="1257">
                  <c:v>527</c:v>
                </c:pt>
                <c:pt idx="1258">
                  <c:v>560</c:v>
                </c:pt>
                <c:pt idx="1259">
                  <c:v>571</c:v>
                </c:pt>
                <c:pt idx="1260">
                  <c:v>29</c:v>
                </c:pt>
                <c:pt idx="1261">
                  <c:v>29</c:v>
                </c:pt>
                <c:pt idx="1262">
                  <c:v>29</c:v>
                </c:pt>
                <c:pt idx="1263">
                  <c:v>35</c:v>
                </c:pt>
                <c:pt idx="1264">
                  <c:v>579</c:v>
                </c:pt>
                <c:pt idx="1265">
                  <c:v>29</c:v>
                </c:pt>
                <c:pt idx="1266">
                  <c:v>593</c:v>
                </c:pt>
                <c:pt idx="1267">
                  <c:v>217</c:v>
                </c:pt>
                <c:pt idx="1268">
                  <c:v>353</c:v>
                </c:pt>
                <c:pt idx="1269">
                  <c:v>382</c:v>
                </c:pt>
                <c:pt idx="1270">
                  <c:v>597</c:v>
                </c:pt>
                <c:pt idx="1271">
                  <c:v>212</c:v>
                </c:pt>
                <c:pt idx="1272">
                  <c:v>689</c:v>
                </c:pt>
                <c:pt idx="1273">
                  <c:v>28</c:v>
                </c:pt>
                <c:pt idx="1274">
                  <c:v>34</c:v>
                </c:pt>
                <c:pt idx="1275">
                  <c:v>600</c:v>
                </c:pt>
                <c:pt idx="1276">
                  <c:v>637</c:v>
                </c:pt>
                <c:pt idx="1277">
                  <c:v>616</c:v>
                </c:pt>
                <c:pt idx="1278">
                  <c:v>624</c:v>
                </c:pt>
                <c:pt idx="1279">
                  <c:v>28</c:v>
                </c:pt>
                <c:pt idx="1280">
                  <c:v>584</c:v>
                </c:pt>
                <c:pt idx="1281">
                  <c:v>28</c:v>
                </c:pt>
                <c:pt idx="1282">
                  <c:v>33</c:v>
                </c:pt>
                <c:pt idx="1283">
                  <c:v>27</c:v>
                </c:pt>
                <c:pt idx="1284">
                  <c:v>27</c:v>
                </c:pt>
                <c:pt idx="1285">
                  <c:v>27</c:v>
                </c:pt>
                <c:pt idx="1286">
                  <c:v>635</c:v>
                </c:pt>
                <c:pt idx="1287">
                  <c:v>598</c:v>
                </c:pt>
                <c:pt idx="1288">
                  <c:v>636</c:v>
                </c:pt>
                <c:pt idx="1289">
                  <c:v>27</c:v>
                </c:pt>
                <c:pt idx="1290">
                  <c:v>27</c:v>
                </c:pt>
                <c:pt idx="1291">
                  <c:v>637</c:v>
                </c:pt>
                <c:pt idx="1292">
                  <c:v>290</c:v>
                </c:pt>
                <c:pt idx="1293">
                  <c:v>27</c:v>
                </c:pt>
                <c:pt idx="1294">
                  <c:v>632</c:v>
                </c:pt>
                <c:pt idx="1295">
                  <c:v>643</c:v>
                </c:pt>
                <c:pt idx="1296">
                  <c:v>652</c:v>
                </c:pt>
                <c:pt idx="1297">
                  <c:v>33</c:v>
                </c:pt>
                <c:pt idx="1298">
                  <c:v>26</c:v>
                </c:pt>
                <c:pt idx="1299">
                  <c:v>633</c:v>
                </c:pt>
                <c:pt idx="1300">
                  <c:v>26</c:v>
                </c:pt>
                <c:pt idx="1301">
                  <c:v>191</c:v>
                </c:pt>
                <c:pt idx="1302">
                  <c:v>887</c:v>
                </c:pt>
                <c:pt idx="1303">
                  <c:v>637</c:v>
                </c:pt>
                <c:pt idx="1304">
                  <c:v>670</c:v>
                </c:pt>
                <c:pt idx="1305">
                  <c:v>26</c:v>
                </c:pt>
                <c:pt idx="1306">
                  <c:v>676</c:v>
                </c:pt>
                <c:pt idx="1307">
                  <c:v>26</c:v>
                </c:pt>
                <c:pt idx="1308">
                  <c:v>26</c:v>
                </c:pt>
                <c:pt idx="1309">
                  <c:v>25</c:v>
                </c:pt>
                <c:pt idx="1310">
                  <c:v>24</c:v>
                </c:pt>
                <c:pt idx="1311">
                  <c:v>32</c:v>
                </c:pt>
                <c:pt idx="1312">
                  <c:v>31</c:v>
                </c:pt>
                <c:pt idx="1313">
                  <c:v>651</c:v>
                </c:pt>
                <c:pt idx="1314">
                  <c:v>326</c:v>
                </c:pt>
                <c:pt idx="1315">
                  <c:v>30</c:v>
                </c:pt>
                <c:pt idx="1316">
                  <c:v>30</c:v>
                </c:pt>
                <c:pt idx="1317">
                  <c:v>662</c:v>
                </c:pt>
                <c:pt idx="1318">
                  <c:v>30</c:v>
                </c:pt>
                <c:pt idx="1319">
                  <c:v>29</c:v>
                </c:pt>
                <c:pt idx="1320">
                  <c:v>28</c:v>
                </c:pt>
                <c:pt idx="1321">
                  <c:v>28</c:v>
                </c:pt>
                <c:pt idx="1322">
                  <c:v>24</c:v>
                </c:pt>
                <c:pt idx="1323">
                  <c:v>28</c:v>
                </c:pt>
                <c:pt idx="1324">
                  <c:v>27</c:v>
                </c:pt>
                <c:pt idx="1325">
                  <c:v>27</c:v>
                </c:pt>
                <c:pt idx="1326">
                  <c:v>24</c:v>
                </c:pt>
                <c:pt idx="1327">
                  <c:v>23</c:v>
                </c:pt>
                <c:pt idx="1328">
                  <c:v>322</c:v>
                </c:pt>
                <c:pt idx="1329">
                  <c:v>688</c:v>
                </c:pt>
                <c:pt idx="1330">
                  <c:v>23</c:v>
                </c:pt>
                <c:pt idx="1331">
                  <c:v>26</c:v>
                </c:pt>
                <c:pt idx="1332">
                  <c:v>68</c:v>
                </c:pt>
                <c:pt idx="1333">
                  <c:v>462</c:v>
                </c:pt>
                <c:pt idx="1334">
                  <c:v>941</c:v>
                </c:pt>
                <c:pt idx="1335">
                  <c:v>23</c:v>
                </c:pt>
                <c:pt idx="1336">
                  <c:v>720</c:v>
                </c:pt>
                <c:pt idx="1337">
                  <c:v>724</c:v>
                </c:pt>
                <c:pt idx="1338">
                  <c:v>724</c:v>
                </c:pt>
                <c:pt idx="1339">
                  <c:v>26</c:v>
                </c:pt>
                <c:pt idx="1340">
                  <c:v>22</c:v>
                </c:pt>
                <c:pt idx="1341">
                  <c:v>711</c:v>
                </c:pt>
                <c:pt idx="1342">
                  <c:v>107</c:v>
                </c:pt>
                <c:pt idx="1343">
                  <c:v>765</c:v>
                </c:pt>
                <c:pt idx="1344">
                  <c:v>22</c:v>
                </c:pt>
                <c:pt idx="1345">
                  <c:v>26</c:v>
                </c:pt>
                <c:pt idx="1346">
                  <c:v>22</c:v>
                </c:pt>
                <c:pt idx="1347">
                  <c:v>743</c:v>
                </c:pt>
                <c:pt idx="1348">
                  <c:v>22</c:v>
                </c:pt>
                <c:pt idx="1349">
                  <c:v>781</c:v>
                </c:pt>
                <c:pt idx="1350">
                  <c:v>25</c:v>
                </c:pt>
                <c:pt idx="1351">
                  <c:v>25</c:v>
                </c:pt>
                <c:pt idx="1352">
                  <c:v>119</c:v>
                </c:pt>
                <c:pt idx="1353">
                  <c:v>785</c:v>
                </c:pt>
                <c:pt idx="1354">
                  <c:v>183</c:v>
                </c:pt>
                <c:pt idx="1355">
                  <c:v>22</c:v>
                </c:pt>
                <c:pt idx="1356">
                  <c:v>642</c:v>
                </c:pt>
                <c:pt idx="1357">
                  <c:v>767</c:v>
                </c:pt>
                <c:pt idx="1358">
                  <c:v>770</c:v>
                </c:pt>
                <c:pt idx="1359">
                  <c:v>21</c:v>
                </c:pt>
                <c:pt idx="1360">
                  <c:v>21</c:v>
                </c:pt>
                <c:pt idx="1361">
                  <c:v>492</c:v>
                </c:pt>
                <c:pt idx="1362">
                  <c:v>816</c:v>
                </c:pt>
                <c:pt idx="1363">
                  <c:v>25</c:v>
                </c:pt>
                <c:pt idx="1364">
                  <c:v>802</c:v>
                </c:pt>
                <c:pt idx="1365">
                  <c:v>811</c:v>
                </c:pt>
                <c:pt idx="1366">
                  <c:v>835</c:v>
                </c:pt>
                <c:pt idx="1367">
                  <c:v>21</c:v>
                </c:pt>
                <c:pt idx="1368">
                  <c:v>450</c:v>
                </c:pt>
                <c:pt idx="1369">
                  <c:v>24</c:v>
                </c:pt>
                <c:pt idx="1370">
                  <c:v>832</c:v>
                </c:pt>
                <c:pt idx="1371">
                  <c:v>833</c:v>
                </c:pt>
                <c:pt idx="1372">
                  <c:v>20</c:v>
                </c:pt>
                <c:pt idx="1373">
                  <c:v>23</c:v>
                </c:pt>
                <c:pt idx="1374">
                  <c:v>550</c:v>
                </c:pt>
                <c:pt idx="1375">
                  <c:v>148</c:v>
                </c:pt>
                <c:pt idx="1376">
                  <c:v>846</c:v>
                </c:pt>
                <c:pt idx="1377">
                  <c:v>856</c:v>
                </c:pt>
                <c:pt idx="1378">
                  <c:v>871</c:v>
                </c:pt>
                <c:pt idx="1379">
                  <c:v>19</c:v>
                </c:pt>
                <c:pt idx="1380">
                  <c:v>610</c:v>
                </c:pt>
                <c:pt idx="1381">
                  <c:v>880</c:v>
                </c:pt>
                <c:pt idx="1382">
                  <c:v>22</c:v>
                </c:pt>
                <c:pt idx="1383">
                  <c:v>22</c:v>
                </c:pt>
                <c:pt idx="1384">
                  <c:v>21</c:v>
                </c:pt>
                <c:pt idx="1385">
                  <c:v>18</c:v>
                </c:pt>
                <c:pt idx="1386">
                  <c:v>911</c:v>
                </c:pt>
                <c:pt idx="1387">
                  <c:v>18</c:v>
                </c:pt>
                <c:pt idx="1388">
                  <c:v>911</c:v>
                </c:pt>
                <c:pt idx="1389">
                  <c:v>143</c:v>
                </c:pt>
                <c:pt idx="1390">
                  <c:v>918</c:v>
                </c:pt>
                <c:pt idx="1391">
                  <c:v>925</c:v>
                </c:pt>
                <c:pt idx="1392">
                  <c:v>17</c:v>
                </c:pt>
                <c:pt idx="1393">
                  <c:v>465</c:v>
                </c:pt>
                <c:pt idx="1394">
                  <c:v>17</c:v>
                </c:pt>
                <c:pt idx="1395">
                  <c:v>935</c:v>
                </c:pt>
                <c:pt idx="1396">
                  <c:v>16</c:v>
                </c:pt>
                <c:pt idx="1397">
                  <c:v>954</c:v>
                </c:pt>
                <c:pt idx="1398">
                  <c:v>915</c:v>
                </c:pt>
                <c:pt idx="1399">
                  <c:v>955</c:v>
                </c:pt>
                <c:pt idx="1400">
                  <c:v>976</c:v>
                </c:pt>
                <c:pt idx="1401">
                  <c:v>1069</c:v>
                </c:pt>
                <c:pt idx="1402">
                  <c:v>19</c:v>
                </c:pt>
                <c:pt idx="1403">
                  <c:v>16</c:v>
                </c:pt>
                <c:pt idx="1404">
                  <c:v>1030</c:v>
                </c:pt>
                <c:pt idx="1405">
                  <c:v>620</c:v>
                </c:pt>
                <c:pt idx="1406">
                  <c:v>16</c:v>
                </c:pt>
                <c:pt idx="1407">
                  <c:v>19</c:v>
                </c:pt>
                <c:pt idx="1408">
                  <c:v>249</c:v>
                </c:pt>
                <c:pt idx="1409">
                  <c:v>16</c:v>
                </c:pt>
                <c:pt idx="1410">
                  <c:v>1361</c:v>
                </c:pt>
                <c:pt idx="1411">
                  <c:v>15</c:v>
                </c:pt>
                <c:pt idx="1412">
                  <c:v>1076</c:v>
                </c:pt>
                <c:pt idx="1413">
                  <c:v>18</c:v>
                </c:pt>
                <c:pt idx="1414">
                  <c:v>1101</c:v>
                </c:pt>
                <c:pt idx="1415">
                  <c:v>15</c:v>
                </c:pt>
                <c:pt idx="1416">
                  <c:v>1104</c:v>
                </c:pt>
                <c:pt idx="1417">
                  <c:v>14</c:v>
                </c:pt>
                <c:pt idx="1418">
                  <c:v>14</c:v>
                </c:pt>
                <c:pt idx="1419">
                  <c:v>14</c:v>
                </c:pt>
                <c:pt idx="1420">
                  <c:v>14</c:v>
                </c:pt>
                <c:pt idx="1421">
                  <c:v>13</c:v>
                </c:pt>
                <c:pt idx="1422">
                  <c:v>13</c:v>
                </c:pt>
                <c:pt idx="1423">
                  <c:v>1275</c:v>
                </c:pt>
                <c:pt idx="1424">
                  <c:v>17</c:v>
                </c:pt>
                <c:pt idx="1425">
                  <c:v>13</c:v>
                </c:pt>
                <c:pt idx="1426">
                  <c:v>1270</c:v>
                </c:pt>
                <c:pt idx="1427">
                  <c:v>13</c:v>
                </c:pt>
                <c:pt idx="1428">
                  <c:v>13</c:v>
                </c:pt>
                <c:pt idx="1429">
                  <c:v>17</c:v>
                </c:pt>
                <c:pt idx="1430">
                  <c:v>13</c:v>
                </c:pt>
                <c:pt idx="1431">
                  <c:v>13</c:v>
                </c:pt>
                <c:pt idx="1432">
                  <c:v>1263</c:v>
                </c:pt>
                <c:pt idx="1433">
                  <c:v>1629</c:v>
                </c:pt>
                <c:pt idx="1434">
                  <c:v>17</c:v>
                </c:pt>
                <c:pt idx="1435">
                  <c:v>17</c:v>
                </c:pt>
                <c:pt idx="1436">
                  <c:v>1250</c:v>
                </c:pt>
                <c:pt idx="1437">
                  <c:v>17</c:v>
                </c:pt>
                <c:pt idx="1438">
                  <c:v>977</c:v>
                </c:pt>
                <c:pt idx="1439">
                  <c:v>1246</c:v>
                </c:pt>
                <c:pt idx="1440">
                  <c:v>12</c:v>
                </c:pt>
                <c:pt idx="1441">
                  <c:v>11</c:v>
                </c:pt>
                <c:pt idx="1442">
                  <c:v>1327</c:v>
                </c:pt>
                <c:pt idx="1443">
                  <c:v>1319</c:v>
                </c:pt>
                <c:pt idx="1444">
                  <c:v>1402</c:v>
                </c:pt>
                <c:pt idx="1445">
                  <c:v>1514</c:v>
                </c:pt>
                <c:pt idx="1446">
                  <c:v>1351</c:v>
                </c:pt>
                <c:pt idx="1447">
                  <c:v>1355</c:v>
                </c:pt>
                <c:pt idx="1448">
                  <c:v>10</c:v>
                </c:pt>
                <c:pt idx="1449">
                  <c:v>10</c:v>
                </c:pt>
                <c:pt idx="1450">
                  <c:v>1582</c:v>
                </c:pt>
                <c:pt idx="1451">
                  <c:v>1218</c:v>
                </c:pt>
                <c:pt idx="1452">
                  <c:v>321</c:v>
                </c:pt>
                <c:pt idx="1453">
                  <c:v>736</c:v>
                </c:pt>
                <c:pt idx="1454">
                  <c:v>1218</c:v>
                </c:pt>
                <c:pt idx="1455">
                  <c:v>1027</c:v>
                </c:pt>
                <c:pt idx="1456">
                  <c:v>10</c:v>
                </c:pt>
                <c:pt idx="1457">
                  <c:v>2366</c:v>
                </c:pt>
                <c:pt idx="1458">
                  <c:v>9</c:v>
                </c:pt>
                <c:pt idx="1459">
                  <c:v>16</c:v>
                </c:pt>
                <c:pt idx="1460">
                  <c:v>9</c:v>
                </c:pt>
                <c:pt idx="1461">
                  <c:v>1560</c:v>
                </c:pt>
                <c:pt idx="1462">
                  <c:v>1137</c:v>
                </c:pt>
                <c:pt idx="1463">
                  <c:v>9</c:v>
                </c:pt>
                <c:pt idx="1464">
                  <c:v>15</c:v>
                </c:pt>
                <c:pt idx="1465">
                  <c:v>14</c:v>
                </c:pt>
                <c:pt idx="1466">
                  <c:v>14</c:v>
                </c:pt>
                <c:pt idx="1467">
                  <c:v>8</c:v>
                </c:pt>
                <c:pt idx="1468">
                  <c:v>1389</c:v>
                </c:pt>
                <c:pt idx="1469">
                  <c:v>8</c:v>
                </c:pt>
                <c:pt idx="1470">
                  <c:v>8</c:v>
                </c:pt>
                <c:pt idx="1471">
                  <c:v>13</c:v>
                </c:pt>
                <c:pt idx="1472">
                  <c:v>8</c:v>
                </c:pt>
                <c:pt idx="1473">
                  <c:v>12</c:v>
                </c:pt>
                <c:pt idx="1474">
                  <c:v>1716</c:v>
                </c:pt>
                <c:pt idx="1475">
                  <c:v>1117</c:v>
                </c:pt>
                <c:pt idx="1476">
                  <c:v>9</c:v>
                </c:pt>
                <c:pt idx="1477">
                  <c:v>332</c:v>
                </c:pt>
                <c:pt idx="1478">
                  <c:v>7</c:v>
                </c:pt>
                <c:pt idx="1479">
                  <c:v>8</c:v>
                </c:pt>
                <c:pt idx="1480">
                  <c:v>2061</c:v>
                </c:pt>
                <c:pt idx="1481">
                  <c:v>1103</c:v>
                </c:pt>
                <c:pt idx="1482">
                  <c:v>2103</c:v>
                </c:pt>
                <c:pt idx="1483">
                  <c:v>2115</c:v>
                </c:pt>
                <c:pt idx="1484">
                  <c:v>850</c:v>
                </c:pt>
                <c:pt idx="1485">
                  <c:v>1063</c:v>
                </c:pt>
                <c:pt idx="1486">
                  <c:v>1063</c:v>
                </c:pt>
                <c:pt idx="1487">
                  <c:v>2292</c:v>
                </c:pt>
                <c:pt idx="1488">
                  <c:v>7</c:v>
                </c:pt>
                <c:pt idx="1489">
                  <c:v>2452</c:v>
                </c:pt>
                <c:pt idx="1490">
                  <c:v>2457</c:v>
                </c:pt>
                <c:pt idx="1491">
                  <c:v>4</c:v>
                </c:pt>
                <c:pt idx="1492">
                  <c:v>2830</c:v>
                </c:pt>
                <c:pt idx="1493">
                  <c:v>7</c:v>
                </c:pt>
                <c:pt idx="1494">
                  <c:v>7</c:v>
                </c:pt>
                <c:pt idx="1495">
                  <c:v>7</c:v>
                </c:pt>
                <c:pt idx="1496">
                  <c:v>3151</c:v>
                </c:pt>
                <c:pt idx="1497">
                  <c:v>4141</c:v>
                </c:pt>
                <c:pt idx="1498">
                  <c:v>7</c:v>
                </c:pt>
                <c:pt idx="1499">
                  <c:v>4363</c:v>
                </c:pt>
              </c:numCache>
            </c:numRef>
          </c:xVal>
          <c:yVal>
            <c:numRef>
              <c:f>'Task-1'!$B$2:$B$1501</c:f>
              <c:numCache>
                <c:formatCode>General</c:formatCode>
                <c:ptCount val="1500"/>
                <c:pt idx="0">
                  <c:v>658</c:v>
                </c:pt>
                <c:pt idx="1">
                  <c:v>64</c:v>
                </c:pt>
                <c:pt idx="2">
                  <c:v>146</c:v>
                </c:pt>
                <c:pt idx="3">
                  <c:v>712</c:v>
                </c:pt>
                <c:pt idx="4">
                  <c:v>1151</c:v>
                </c:pt>
                <c:pt idx="5">
                  <c:v>247</c:v>
                </c:pt>
                <c:pt idx="6">
                  <c:v>-275</c:v>
                </c:pt>
                <c:pt idx="7">
                  <c:v>-213</c:v>
                </c:pt>
                <c:pt idx="8">
                  <c:v>-44</c:v>
                </c:pt>
                <c:pt idx="9">
                  <c:v>-54</c:v>
                </c:pt>
                <c:pt idx="10">
                  <c:v>-190</c:v>
                </c:pt>
                <c:pt idx="11">
                  <c:v>-234</c:v>
                </c:pt>
                <c:pt idx="12">
                  <c:v>-891</c:v>
                </c:pt>
                <c:pt idx="13">
                  <c:v>-492</c:v>
                </c:pt>
                <c:pt idx="14">
                  <c:v>1050</c:v>
                </c:pt>
                <c:pt idx="15">
                  <c:v>-3</c:v>
                </c:pt>
                <c:pt idx="16">
                  <c:v>433</c:v>
                </c:pt>
                <c:pt idx="17">
                  <c:v>1</c:v>
                </c:pt>
                <c:pt idx="18">
                  <c:v>721</c:v>
                </c:pt>
                <c:pt idx="19">
                  <c:v>-1</c:v>
                </c:pt>
                <c:pt idx="20">
                  <c:v>-624</c:v>
                </c:pt>
                <c:pt idx="21">
                  <c:v>95</c:v>
                </c:pt>
                <c:pt idx="22">
                  <c:v>254</c:v>
                </c:pt>
                <c:pt idx="23">
                  <c:v>-33</c:v>
                </c:pt>
                <c:pt idx="24">
                  <c:v>2</c:v>
                </c:pt>
                <c:pt idx="25">
                  <c:v>782</c:v>
                </c:pt>
                <c:pt idx="26">
                  <c:v>370</c:v>
                </c:pt>
                <c:pt idx="27">
                  <c:v>-266</c:v>
                </c:pt>
                <c:pt idx="28">
                  <c:v>-56</c:v>
                </c:pt>
                <c:pt idx="29">
                  <c:v>-1</c:v>
                </c:pt>
                <c:pt idx="30">
                  <c:v>202</c:v>
                </c:pt>
                <c:pt idx="31">
                  <c:v>113</c:v>
                </c:pt>
                <c:pt idx="32">
                  <c:v>1303</c:v>
                </c:pt>
                <c:pt idx="33">
                  <c:v>-15</c:v>
                </c:pt>
                <c:pt idx="34">
                  <c:v>122</c:v>
                </c:pt>
                <c:pt idx="35">
                  <c:v>-212</c:v>
                </c:pt>
                <c:pt idx="36">
                  <c:v>-1</c:v>
                </c:pt>
                <c:pt idx="37">
                  <c:v>802</c:v>
                </c:pt>
                <c:pt idx="38">
                  <c:v>0</c:v>
                </c:pt>
                <c:pt idx="39">
                  <c:v>-7</c:v>
                </c:pt>
                <c:pt idx="40">
                  <c:v>564</c:v>
                </c:pt>
                <c:pt idx="41">
                  <c:v>3</c:v>
                </c:pt>
                <c:pt idx="42">
                  <c:v>-77</c:v>
                </c:pt>
                <c:pt idx="43">
                  <c:v>5</c:v>
                </c:pt>
                <c:pt idx="44">
                  <c:v>980</c:v>
                </c:pt>
                <c:pt idx="45">
                  <c:v>-448</c:v>
                </c:pt>
                <c:pt idx="46">
                  <c:v>340</c:v>
                </c:pt>
                <c:pt idx="47">
                  <c:v>460</c:v>
                </c:pt>
                <c:pt idx="48">
                  <c:v>0</c:v>
                </c:pt>
                <c:pt idx="49">
                  <c:v>-439</c:v>
                </c:pt>
                <c:pt idx="50">
                  <c:v>106</c:v>
                </c:pt>
                <c:pt idx="51">
                  <c:v>-123</c:v>
                </c:pt>
                <c:pt idx="52">
                  <c:v>239</c:v>
                </c:pt>
                <c:pt idx="53">
                  <c:v>199</c:v>
                </c:pt>
                <c:pt idx="54">
                  <c:v>-2</c:v>
                </c:pt>
                <c:pt idx="55">
                  <c:v>624</c:v>
                </c:pt>
                <c:pt idx="56">
                  <c:v>206</c:v>
                </c:pt>
                <c:pt idx="57">
                  <c:v>-5</c:v>
                </c:pt>
                <c:pt idx="58">
                  <c:v>4</c:v>
                </c:pt>
                <c:pt idx="59">
                  <c:v>1864</c:v>
                </c:pt>
                <c:pt idx="60">
                  <c:v>147</c:v>
                </c:pt>
                <c:pt idx="61">
                  <c:v>2</c:v>
                </c:pt>
                <c:pt idx="62">
                  <c:v>-193</c:v>
                </c:pt>
                <c:pt idx="63">
                  <c:v>527</c:v>
                </c:pt>
                <c:pt idx="64">
                  <c:v>342</c:v>
                </c:pt>
                <c:pt idx="65">
                  <c:v>7</c:v>
                </c:pt>
                <c:pt idx="66">
                  <c:v>2</c:v>
                </c:pt>
                <c:pt idx="67">
                  <c:v>-12</c:v>
                </c:pt>
                <c:pt idx="68">
                  <c:v>536</c:v>
                </c:pt>
                <c:pt idx="69">
                  <c:v>-38</c:v>
                </c:pt>
                <c:pt idx="70">
                  <c:v>573</c:v>
                </c:pt>
                <c:pt idx="71">
                  <c:v>-16</c:v>
                </c:pt>
                <c:pt idx="72">
                  <c:v>-2</c:v>
                </c:pt>
                <c:pt idx="73">
                  <c:v>65</c:v>
                </c:pt>
                <c:pt idx="74">
                  <c:v>97</c:v>
                </c:pt>
                <c:pt idx="75">
                  <c:v>264</c:v>
                </c:pt>
                <c:pt idx="76">
                  <c:v>-13</c:v>
                </c:pt>
                <c:pt idx="77">
                  <c:v>73</c:v>
                </c:pt>
                <c:pt idx="78">
                  <c:v>-68</c:v>
                </c:pt>
                <c:pt idx="79">
                  <c:v>-2</c:v>
                </c:pt>
                <c:pt idx="80">
                  <c:v>-2</c:v>
                </c:pt>
                <c:pt idx="81">
                  <c:v>-916</c:v>
                </c:pt>
                <c:pt idx="82">
                  <c:v>-93</c:v>
                </c:pt>
                <c:pt idx="83">
                  <c:v>3</c:v>
                </c:pt>
                <c:pt idx="84">
                  <c:v>192</c:v>
                </c:pt>
                <c:pt idx="85">
                  <c:v>-72</c:v>
                </c:pt>
                <c:pt idx="86">
                  <c:v>67</c:v>
                </c:pt>
                <c:pt idx="87">
                  <c:v>24</c:v>
                </c:pt>
                <c:pt idx="88">
                  <c:v>16</c:v>
                </c:pt>
                <c:pt idx="89">
                  <c:v>-274</c:v>
                </c:pt>
                <c:pt idx="90">
                  <c:v>230</c:v>
                </c:pt>
                <c:pt idx="91">
                  <c:v>-640</c:v>
                </c:pt>
                <c:pt idx="92">
                  <c:v>486</c:v>
                </c:pt>
                <c:pt idx="93">
                  <c:v>-18</c:v>
                </c:pt>
                <c:pt idx="94">
                  <c:v>-13</c:v>
                </c:pt>
                <c:pt idx="95">
                  <c:v>-63</c:v>
                </c:pt>
                <c:pt idx="96">
                  <c:v>-706</c:v>
                </c:pt>
                <c:pt idx="97">
                  <c:v>170</c:v>
                </c:pt>
                <c:pt idx="98">
                  <c:v>-1</c:v>
                </c:pt>
                <c:pt idx="99">
                  <c:v>170</c:v>
                </c:pt>
                <c:pt idx="100">
                  <c:v>-1</c:v>
                </c:pt>
                <c:pt idx="101">
                  <c:v>-36</c:v>
                </c:pt>
                <c:pt idx="102">
                  <c:v>101</c:v>
                </c:pt>
                <c:pt idx="103">
                  <c:v>266</c:v>
                </c:pt>
                <c:pt idx="104">
                  <c:v>-48</c:v>
                </c:pt>
                <c:pt idx="105">
                  <c:v>-14</c:v>
                </c:pt>
                <c:pt idx="106">
                  <c:v>8</c:v>
                </c:pt>
                <c:pt idx="107">
                  <c:v>-307</c:v>
                </c:pt>
                <c:pt idx="108">
                  <c:v>199</c:v>
                </c:pt>
                <c:pt idx="109">
                  <c:v>119</c:v>
                </c:pt>
                <c:pt idx="110">
                  <c:v>0</c:v>
                </c:pt>
                <c:pt idx="111">
                  <c:v>8</c:v>
                </c:pt>
                <c:pt idx="112">
                  <c:v>-225</c:v>
                </c:pt>
                <c:pt idx="113">
                  <c:v>198</c:v>
                </c:pt>
                <c:pt idx="114">
                  <c:v>-40</c:v>
                </c:pt>
                <c:pt idx="115">
                  <c:v>-36</c:v>
                </c:pt>
                <c:pt idx="116">
                  <c:v>-2</c:v>
                </c:pt>
                <c:pt idx="117">
                  <c:v>0</c:v>
                </c:pt>
                <c:pt idx="118">
                  <c:v>267</c:v>
                </c:pt>
                <c:pt idx="119">
                  <c:v>-235</c:v>
                </c:pt>
                <c:pt idx="120">
                  <c:v>-1</c:v>
                </c:pt>
                <c:pt idx="121">
                  <c:v>-48</c:v>
                </c:pt>
                <c:pt idx="122">
                  <c:v>-209</c:v>
                </c:pt>
                <c:pt idx="123">
                  <c:v>-17</c:v>
                </c:pt>
                <c:pt idx="124">
                  <c:v>248</c:v>
                </c:pt>
                <c:pt idx="125">
                  <c:v>166</c:v>
                </c:pt>
                <c:pt idx="126">
                  <c:v>-9</c:v>
                </c:pt>
                <c:pt idx="127">
                  <c:v>395</c:v>
                </c:pt>
                <c:pt idx="128">
                  <c:v>303</c:v>
                </c:pt>
                <c:pt idx="129">
                  <c:v>1</c:v>
                </c:pt>
                <c:pt idx="130">
                  <c:v>56</c:v>
                </c:pt>
                <c:pt idx="131">
                  <c:v>-15</c:v>
                </c:pt>
                <c:pt idx="132">
                  <c:v>-100</c:v>
                </c:pt>
                <c:pt idx="133">
                  <c:v>-12</c:v>
                </c:pt>
                <c:pt idx="134">
                  <c:v>254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10</c:v>
                </c:pt>
                <c:pt idx="139">
                  <c:v>259</c:v>
                </c:pt>
                <c:pt idx="140">
                  <c:v>-187</c:v>
                </c:pt>
                <c:pt idx="141">
                  <c:v>-309</c:v>
                </c:pt>
                <c:pt idx="142">
                  <c:v>-213</c:v>
                </c:pt>
                <c:pt idx="143">
                  <c:v>15</c:v>
                </c:pt>
                <c:pt idx="144">
                  <c:v>-2</c:v>
                </c:pt>
                <c:pt idx="145">
                  <c:v>167</c:v>
                </c:pt>
                <c:pt idx="146">
                  <c:v>225</c:v>
                </c:pt>
                <c:pt idx="147">
                  <c:v>-316</c:v>
                </c:pt>
                <c:pt idx="148">
                  <c:v>316</c:v>
                </c:pt>
                <c:pt idx="149">
                  <c:v>208</c:v>
                </c:pt>
                <c:pt idx="150">
                  <c:v>-28</c:v>
                </c:pt>
                <c:pt idx="151">
                  <c:v>119</c:v>
                </c:pt>
                <c:pt idx="152">
                  <c:v>292</c:v>
                </c:pt>
                <c:pt idx="153">
                  <c:v>51</c:v>
                </c:pt>
                <c:pt idx="154">
                  <c:v>89</c:v>
                </c:pt>
                <c:pt idx="155">
                  <c:v>175</c:v>
                </c:pt>
                <c:pt idx="156">
                  <c:v>262</c:v>
                </c:pt>
                <c:pt idx="157">
                  <c:v>84</c:v>
                </c:pt>
                <c:pt idx="158">
                  <c:v>19</c:v>
                </c:pt>
                <c:pt idx="159">
                  <c:v>212</c:v>
                </c:pt>
                <c:pt idx="160">
                  <c:v>-424</c:v>
                </c:pt>
                <c:pt idx="161">
                  <c:v>8</c:v>
                </c:pt>
                <c:pt idx="162">
                  <c:v>2</c:v>
                </c:pt>
                <c:pt idx="163">
                  <c:v>-111</c:v>
                </c:pt>
                <c:pt idx="164">
                  <c:v>371</c:v>
                </c:pt>
                <c:pt idx="165">
                  <c:v>-73</c:v>
                </c:pt>
                <c:pt idx="166">
                  <c:v>-82</c:v>
                </c:pt>
                <c:pt idx="167">
                  <c:v>-152</c:v>
                </c:pt>
                <c:pt idx="168">
                  <c:v>9</c:v>
                </c:pt>
                <c:pt idx="169">
                  <c:v>371</c:v>
                </c:pt>
                <c:pt idx="170">
                  <c:v>198</c:v>
                </c:pt>
                <c:pt idx="171">
                  <c:v>107</c:v>
                </c:pt>
                <c:pt idx="172">
                  <c:v>91</c:v>
                </c:pt>
                <c:pt idx="173">
                  <c:v>3</c:v>
                </c:pt>
                <c:pt idx="174">
                  <c:v>204</c:v>
                </c:pt>
                <c:pt idx="175">
                  <c:v>9</c:v>
                </c:pt>
                <c:pt idx="176">
                  <c:v>392</c:v>
                </c:pt>
                <c:pt idx="177">
                  <c:v>116</c:v>
                </c:pt>
                <c:pt idx="178">
                  <c:v>84</c:v>
                </c:pt>
                <c:pt idx="179">
                  <c:v>213</c:v>
                </c:pt>
                <c:pt idx="180">
                  <c:v>12</c:v>
                </c:pt>
                <c:pt idx="181">
                  <c:v>11</c:v>
                </c:pt>
                <c:pt idx="182">
                  <c:v>12</c:v>
                </c:pt>
                <c:pt idx="183">
                  <c:v>-79</c:v>
                </c:pt>
                <c:pt idx="184">
                  <c:v>29</c:v>
                </c:pt>
                <c:pt idx="185">
                  <c:v>-11</c:v>
                </c:pt>
                <c:pt idx="186">
                  <c:v>151</c:v>
                </c:pt>
                <c:pt idx="187">
                  <c:v>8</c:v>
                </c:pt>
                <c:pt idx="188">
                  <c:v>3</c:v>
                </c:pt>
                <c:pt idx="189">
                  <c:v>0</c:v>
                </c:pt>
                <c:pt idx="190">
                  <c:v>114</c:v>
                </c:pt>
                <c:pt idx="191">
                  <c:v>11</c:v>
                </c:pt>
                <c:pt idx="192">
                  <c:v>-31</c:v>
                </c:pt>
                <c:pt idx="193">
                  <c:v>0</c:v>
                </c:pt>
                <c:pt idx="194">
                  <c:v>8</c:v>
                </c:pt>
                <c:pt idx="195">
                  <c:v>0</c:v>
                </c:pt>
                <c:pt idx="196">
                  <c:v>11</c:v>
                </c:pt>
                <c:pt idx="197">
                  <c:v>3</c:v>
                </c:pt>
                <c:pt idx="198">
                  <c:v>50</c:v>
                </c:pt>
                <c:pt idx="199">
                  <c:v>11</c:v>
                </c:pt>
                <c:pt idx="200">
                  <c:v>11</c:v>
                </c:pt>
                <c:pt idx="201">
                  <c:v>11</c:v>
                </c:pt>
                <c:pt idx="202">
                  <c:v>42</c:v>
                </c:pt>
                <c:pt idx="203">
                  <c:v>50</c:v>
                </c:pt>
                <c:pt idx="204">
                  <c:v>11</c:v>
                </c:pt>
                <c:pt idx="205">
                  <c:v>-459</c:v>
                </c:pt>
                <c:pt idx="206">
                  <c:v>547</c:v>
                </c:pt>
                <c:pt idx="207">
                  <c:v>0</c:v>
                </c:pt>
                <c:pt idx="208">
                  <c:v>11</c:v>
                </c:pt>
                <c:pt idx="209">
                  <c:v>-41</c:v>
                </c:pt>
                <c:pt idx="210">
                  <c:v>77</c:v>
                </c:pt>
                <c:pt idx="211">
                  <c:v>2</c:v>
                </c:pt>
                <c:pt idx="212">
                  <c:v>-90</c:v>
                </c:pt>
                <c:pt idx="213">
                  <c:v>-35</c:v>
                </c:pt>
                <c:pt idx="214">
                  <c:v>-37</c:v>
                </c:pt>
                <c:pt idx="215">
                  <c:v>148</c:v>
                </c:pt>
                <c:pt idx="216">
                  <c:v>53</c:v>
                </c:pt>
                <c:pt idx="217">
                  <c:v>-45</c:v>
                </c:pt>
                <c:pt idx="218">
                  <c:v>11</c:v>
                </c:pt>
                <c:pt idx="219">
                  <c:v>-50</c:v>
                </c:pt>
                <c:pt idx="220">
                  <c:v>-36</c:v>
                </c:pt>
                <c:pt idx="221">
                  <c:v>161</c:v>
                </c:pt>
                <c:pt idx="222">
                  <c:v>8</c:v>
                </c:pt>
                <c:pt idx="223">
                  <c:v>-272</c:v>
                </c:pt>
                <c:pt idx="224">
                  <c:v>4</c:v>
                </c:pt>
                <c:pt idx="225">
                  <c:v>357</c:v>
                </c:pt>
                <c:pt idx="226">
                  <c:v>70</c:v>
                </c:pt>
                <c:pt idx="227">
                  <c:v>49</c:v>
                </c:pt>
                <c:pt idx="228">
                  <c:v>48</c:v>
                </c:pt>
                <c:pt idx="229">
                  <c:v>-77</c:v>
                </c:pt>
                <c:pt idx="230">
                  <c:v>199</c:v>
                </c:pt>
                <c:pt idx="231">
                  <c:v>-45</c:v>
                </c:pt>
                <c:pt idx="232">
                  <c:v>50</c:v>
                </c:pt>
                <c:pt idx="233">
                  <c:v>-25</c:v>
                </c:pt>
                <c:pt idx="234">
                  <c:v>12</c:v>
                </c:pt>
                <c:pt idx="235">
                  <c:v>1</c:v>
                </c:pt>
                <c:pt idx="236">
                  <c:v>-314</c:v>
                </c:pt>
                <c:pt idx="237">
                  <c:v>2</c:v>
                </c:pt>
                <c:pt idx="238">
                  <c:v>8</c:v>
                </c:pt>
                <c:pt idx="239">
                  <c:v>13</c:v>
                </c:pt>
                <c:pt idx="240">
                  <c:v>412</c:v>
                </c:pt>
                <c:pt idx="241">
                  <c:v>-23</c:v>
                </c:pt>
                <c:pt idx="242">
                  <c:v>-5</c:v>
                </c:pt>
                <c:pt idx="243">
                  <c:v>27</c:v>
                </c:pt>
                <c:pt idx="244">
                  <c:v>-124</c:v>
                </c:pt>
                <c:pt idx="245">
                  <c:v>1</c:v>
                </c:pt>
                <c:pt idx="246">
                  <c:v>86</c:v>
                </c:pt>
                <c:pt idx="247">
                  <c:v>126</c:v>
                </c:pt>
                <c:pt idx="248">
                  <c:v>66</c:v>
                </c:pt>
                <c:pt idx="249">
                  <c:v>2</c:v>
                </c:pt>
                <c:pt idx="250">
                  <c:v>118</c:v>
                </c:pt>
                <c:pt idx="251">
                  <c:v>-56</c:v>
                </c:pt>
                <c:pt idx="252">
                  <c:v>14</c:v>
                </c:pt>
                <c:pt idx="253">
                  <c:v>111</c:v>
                </c:pt>
                <c:pt idx="254">
                  <c:v>93</c:v>
                </c:pt>
                <c:pt idx="255">
                  <c:v>-116</c:v>
                </c:pt>
                <c:pt idx="256">
                  <c:v>212</c:v>
                </c:pt>
                <c:pt idx="257">
                  <c:v>3</c:v>
                </c:pt>
                <c:pt idx="258">
                  <c:v>-22</c:v>
                </c:pt>
                <c:pt idx="259">
                  <c:v>6</c:v>
                </c:pt>
                <c:pt idx="260">
                  <c:v>-192</c:v>
                </c:pt>
                <c:pt idx="261">
                  <c:v>151</c:v>
                </c:pt>
                <c:pt idx="262">
                  <c:v>-16</c:v>
                </c:pt>
                <c:pt idx="263">
                  <c:v>-5</c:v>
                </c:pt>
                <c:pt idx="264">
                  <c:v>234</c:v>
                </c:pt>
                <c:pt idx="265">
                  <c:v>68</c:v>
                </c:pt>
                <c:pt idx="266">
                  <c:v>13</c:v>
                </c:pt>
                <c:pt idx="267">
                  <c:v>-13</c:v>
                </c:pt>
                <c:pt idx="268">
                  <c:v>88</c:v>
                </c:pt>
                <c:pt idx="269">
                  <c:v>144</c:v>
                </c:pt>
                <c:pt idx="270">
                  <c:v>143</c:v>
                </c:pt>
                <c:pt idx="271">
                  <c:v>84</c:v>
                </c:pt>
                <c:pt idx="272">
                  <c:v>-29</c:v>
                </c:pt>
                <c:pt idx="273">
                  <c:v>107</c:v>
                </c:pt>
                <c:pt idx="274">
                  <c:v>-100</c:v>
                </c:pt>
                <c:pt idx="275">
                  <c:v>-338</c:v>
                </c:pt>
                <c:pt idx="276">
                  <c:v>-47</c:v>
                </c:pt>
                <c:pt idx="277">
                  <c:v>199</c:v>
                </c:pt>
                <c:pt idx="278">
                  <c:v>-23</c:v>
                </c:pt>
                <c:pt idx="279">
                  <c:v>10</c:v>
                </c:pt>
                <c:pt idx="280">
                  <c:v>108</c:v>
                </c:pt>
                <c:pt idx="281">
                  <c:v>-103</c:v>
                </c:pt>
                <c:pt idx="282">
                  <c:v>-8</c:v>
                </c:pt>
                <c:pt idx="283">
                  <c:v>41</c:v>
                </c:pt>
                <c:pt idx="284">
                  <c:v>57</c:v>
                </c:pt>
                <c:pt idx="285">
                  <c:v>71</c:v>
                </c:pt>
                <c:pt idx="286">
                  <c:v>4</c:v>
                </c:pt>
                <c:pt idx="287">
                  <c:v>50</c:v>
                </c:pt>
                <c:pt idx="288">
                  <c:v>7</c:v>
                </c:pt>
                <c:pt idx="289">
                  <c:v>-15</c:v>
                </c:pt>
                <c:pt idx="290">
                  <c:v>114</c:v>
                </c:pt>
                <c:pt idx="291">
                  <c:v>6</c:v>
                </c:pt>
                <c:pt idx="292">
                  <c:v>32</c:v>
                </c:pt>
                <c:pt idx="293">
                  <c:v>-6</c:v>
                </c:pt>
                <c:pt idx="294">
                  <c:v>-33</c:v>
                </c:pt>
                <c:pt idx="295">
                  <c:v>-12</c:v>
                </c:pt>
                <c:pt idx="296">
                  <c:v>36</c:v>
                </c:pt>
                <c:pt idx="297">
                  <c:v>-312</c:v>
                </c:pt>
                <c:pt idx="298">
                  <c:v>25</c:v>
                </c:pt>
                <c:pt idx="299">
                  <c:v>62</c:v>
                </c:pt>
                <c:pt idx="300">
                  <c:v>72</c:v>
                </c:pt>
                <c:pt idx="301">
                  <c:v>5</c:v>
                </c:pt>
                <c:pt idx="302">
                  <c:v>-5</c:v>
                </c:pt>
                <c:pt idx="303">
                  <c:v>-200</c:v>
                </c:pt>
                <c:pt idx="304">
                  <c:v>26</c:v>
                </c:pt>
                <c:pt idx="305">
                  <c:v>0</c:v>
                </c:pt>
                <c:pt idx="306">
                  <c:v>17</c:v>
                </c:pt>
                <c:pt idx="307">
                  <c:v>113</c:v>
                </c:pt>
                <c:pt idx="308">
                  <c:v>74</c:v>
                </c:pt>
                <c:pt idx="309">
                  <c:v>7</c:v>
                </c:pt>
                <c:pt idx="310">
                  <c:v>225</c:v>
                </c:pt>
                <c:pt idx="311">
                  <c:v>17</c:v>
                </c:pt>
                <c:pt idx="312">
                  <c:v>93</c:v>
                </c:pt>
                <c:pt idx="313">
                  <c:v>-39</c:v>
                </c:pt>
                <c:pt idx="314">
                  <c:v>119</c:v>
                </c:pt>
                <c:pt idx="315">
                  <c:v>-66</c:v>
                </c:pt>
                <c:pt idx="316">
                  <c:v>15</c:v>
                </c:pt>
                <c:pt idx="317">
                  <c:v>61</c:v>
                </c:pt>
                <c:pt idx="318">
                  <c:v>128</c:v>
                </c:pt>
                <c:pt idx="319">
                  <c:v>3</c:v>
                </c:pt>
                <c:pt idx="320">
                  <c:v>-7</c:v>
                </c:pt>
                <c:pt idx="321">
                  <c:v>-87</c:v>
                </c:pt>
                <c:pt idx="322">
                  <c:v>91</c:v>
                </c:pt>
                <c:pt idx="323">
                  <c:v>5</c:v>
                </c:pt>
                <c:pt idx="324">
                  <c:v>2</c:v>
                </c:pt>
                <c:pt idx="325">
                  <c:v>-26</c:v>
                </c:pt>
                <c:pt idx="326">
                  <c:v>16</c:v>
                </c:pt>
                <c:pt idx="327">
                  <c:v>19</c:v>
                </c:pt>
                <c:pt idx="328">
                  <c:v>-63</c:v>
                </c:pt>
                <c:pt idx="329">
                  <c:v>97</c:v>
                </c:pt>
                <c:pt idx="330">
                  <c:v>7</c:v>
                </c:pt>
                <c:pt idx="331">
                  <c:v>68</c:v>
                </c:pt>
                <c:pt idx="332">
                  <c:v>19</c:v>
                </c:pt>
                <c:pt idx="333">
                  <c:v>13</c:v>
                </c:pt>
                <c:pt idx="334">
                  <c:v>30</c:v>
                </c:pt>
                <c:pt idx="335">
                  <c:v>251</c:v>
                </c:pt>
                <c:pt idx="336">
                  <c:v>0</c:v>
                </c:pt>
                <c:pt idx="337">
                  <c:v>-43</c:v>
                </c:pt>
                <c:pt idx="338">
                  <c:v>29</c:v>
                </c:pt>
                <c:pt idx="339">
                  <c:v>-26</c:v>
                </c:pt>
                <c:pt idx="340">
                  <c:v>-55</c:v>
                </c:pt>
                <c:pt idx="341">
                  <c:v>23</c:v>
                </c:pt>
                <c:pt idx="342">
                  <c:v>27</c:v>
                </c:pt>
                <c:pt idx="343">
                  <c:v>-32</c:v>
                </c:pt>
                <c:pt idx="344">
                  <c:v>3</c:v>
                </c:pt>
                <c:pt idx="345">
                  <c:v>76</c:v>
                </c:pt>
                <c:pt idx="346">
                  <c:v>14</c:v>
                </c:pt>
                <c:pt idx="347">
                  <c:v>-2</c:v>
                </c:pt>
                <c:pt idx="348">
                  <c:v>-3</c:v>
                </c:pt>
                <c:pt idx="349">
                  <c:v>119</c:v>
                </c:pt>
                <c:pt idx="350">
                  <c:v>100</c:v>
                </c:pt>
                <c:pt idx="351">
                  <c:v>-15</c:v>
                </c:pt>
                <c:pt idx="352">
                  <c:v>61</c:v>
                </c:pt>
                <c:pt idx="353">
                  <c:v>25</c:v>
                </c:pt>
                <c:pt idx="354">
                  <c:v>98</c:v>
                </c:pt>
                <c:pt idx="355">
                  <c:v>99</c:v>
                </c:pt>
                <c:pt idx="356">
                  <c:v>-78</c:v>
                </c:pt>
                <c:pt idx="357">
                  <c:v>30</c:v>
                </c:pt>
                <c:pt idx="358">
                  <c:v>0</c:v>
                </c:pt>
                <c:pt idx="359">
                  <c:v>1</c:v>
                </c:pt>
                <c:pt idx="360">
                  <c:v>-28</c:v>
                </c:pt>
                <c:pt idx="361">
                  <c:v>-122</c:v>
                </c:pt>
                <c:pt idx="362">
                  <c:v>83</c:v>
                </c:pt>
                <c:pt idx="363">
                  <c:v>4</c:v>
                </c:pt>
                <c:pt idx="364">
                  <c:v>180</c:v>
                </c:pt>
                <c:pt idx="365">
                  <c:v>14</c:v>
                </c:pt>
                <c:pt idx="366">
                  <c:v>-31</c:v>
                </c:pt>
                <c:pt idx="367">
                  <c:v>-20</c:v>
                </c:pt>
                <c:pt idx="368">
                  <c:v>-114</c:v>
                </c:pt>
                <c:pt idx="369">
                  <c:v>8</c:v>
                </c:pt>
                <c:pt idx="370">
                  <c:v>-14</c:v>
                </c:pt>
                <c:pt idx="371">
                  <c:v>-77</c:v>
                </c:pt>
                <c:pt idx="372">
                  <c:v>15</c:v>
                </c:pt>
                <c:pt idx="373">
                  <c:v>-10</c:v>
                </c:pt>
                <c:pt idx="374">
                  <c:v>6</c:v>
                </c:pt>
                <c:pt idx="375">
                  <c:v>24</c:v>
                </c:pt>
                <c:pt idx="376">
                  <c:v>-28</c:v>
                </c:pt>
                <c:pt idx="377">
                  <c:v>-30</c:v>
                </c:pt>
                <c:pt idx="378">
                  <c:v>18</c:v>
                </c:pt>
                <c:pt idx="379">
                  <c:v>-162</c:v>
                </c:pt>
                <c:pt idx="380">
                  <c:v>6</c:v>
                </c:pt>
                <c:pt idx="381">
                  <c:v>20</c:v>
                </c:pt>
                <c:pt idx="382">
                  <c:v>16</c:v>
                </c:pt>
                <c:pt idx="383">
                  <c:v>22</c:v>
                </c:pt>
                <c:pt idx="384">
                  <c:v>24</c:v>
                </c:pt>
                <c:pt idx="385">
                  <c:v>-10</c:v>
                </c:pt>
                <c:pt idx="386">
                  <c:v>-2</c:v>
                </c:pt>
                <c:pt idx="387">
                  <c:v>8</c:v>
                </c:pt>
                <c:pt idx="388">
                  <c:v>-345</c:v>
                </c:pt>
                <c:pt idx="389">
                  <c:v>0</c:v>
                </c:pt>
                <c:pt idx="390">
                  <c:v>-85</c:v>
                </c:pt>
                <c:pt idx="391">
                  <c:v>12</c:v>
                </c:pt>
                <c:pt idx="392">
                  <c:v>7</c:v>
                </c:pt>
                <c:pt idx="393">
                  <c:v>20</c:v>
                </c:pt>
                <c:pt idx="394">
                  <c:v>48</c:v>
                </c:pt>
                <c:pt idx="395">
                  <c:v>81</c:v>
                </c:pt>
                <c:pt idx="396">
                  <c:v>-38</c:v>
                </c:pt>
                <c:pt idx="397">
                  <c:v>-143</c:v>
                </c:pt>
                <c:pt idx="398">
                  <c:v>-33</c:v>
                </c:pt>
                <c:pt idx="399">
                  <c:v>21</c:v>
                </c:pt>
                <c:pt idx="400">
                  <c:v>87</c:v>
                </c:pt>
                <c:pt idx="401">
                  <c:v>27</c:v>
                </c:pt>
                <c:pt idx="402">
                  <c:v>39</c:v>
                </c:pt>
                <c:pt idx="403">
                  <c:v>18</c:v>
                </c:pt>
                <c:pt idx="404">
                  <c:v>62</c:v>
                </c:pt>
                <c:pt idx="405">
                  <c:v>2</c:v>
                </c:pt>
                <c:pt idx="406">
                  <c:v>6</c:v>
                </c:pt>
                <c:pt idx="407">
                  <c:v>-113</c:v>
                </c:pt>
                <c:pt idx="408">
                  <c:v>4</c:v>
                </c:pt>
                <c:pt idx="409">
                  <c:v>21</c:v>
                </c:pt>
                <c:pt idx="410">
                  <c:v>-27</c:v>
                </c:pt>
                <c:pt idx="411">
                  <c:v>0</c:v>
                </c:pt>
                <c:pt idx="412">
                  <c:v>-48</c:v>
                </c:pt>
                <c:pt idx="413">
                  <c:v>102</c:v>
                </c:pt>
                <c:pt idx="414">
                  <c:v>-8</c:v>
                </c:pt>
                <c:pt idx="415">
                  <c:v>-41</c:v>
                </c:pt>
                <c:pt idx="416">
                  <c:v>40</c:v>
                </c:pt>
                <c:pt idx="417">
                  <c:v>74</c:v>
                </c:pt>
                <c:pt idx="418">
                  <c:v>109</c:v>
                </c:pt>
                <c:pt idx="419">
                  <c:v>-83</c:v>
                </c:pt>
                <c:pt idx="420">
                  <c:v>-42</c:v>
                </c:pt>
                <c:pt idx="421">
                  <c:v>20</c:v>
                </c:pt>
                <c:pt idx="422">
                  <c:v>14</c:v>
                </c:pt>
                <c:pt idx="423">
                  <c:v>50</c:v>
                </c:pt>
                <c:pt idx="424">
                  <c:v>-30</c:v>
                </c:pt>
                <c:pt idx="425">
                  <c:v>8</c:v>
                </c:pt>
                <c:pt idx="426">
                  <c:v>-33</c:v>
                </c:pt>
                <c:pt idx="427">
                  <c:v>-30</c:v>
                </c:pt>
                <c:pt idx="428">
                  <c:v>4</c:v>
                </c:pt>
                <c:pt idx="429">
                  <c:v>21</c:v>
                </c:pt>
                <c:pt idx="430">
                  <c:v>3</c:v>
                </c:pt>
                <c:pt idx="431">
                  <c:v>62</c:v>
                </c:pt>
                <c:pt idx="432">
                  <c:v>62</c:v>
                </c:pt>
                <c:pt idx="433">
                  <c:v>24</c:v>
                </c:pt>
                <c:pt idx="434">
                  <c:v>-31</c:v>
                </c:pt>
                <c:pt idx="435">
                  <c:v>45</c:v>
                </c:pt>
                <c:pt idx="436">
                  <c:v>52</c:v>
                </c:pt>
                <c:pt idx="437">
                  <c:v>2</c:v>
                </c:pt>
                <c:pt idx="438">
                  <c:v>-63</c:v>
                </c:pt>
                <c:pt idx="439">
                  <c:v>-28</c:v>
                </c:pt>
                <c:pt idx="440">
                  <c:v>27</c:v>
                </c:pt>
                <c:pt idx="441">
                  <c:v>-21</c:v>
                </c:pt>
                <c:pt idx="442">
                  <c:v>6</c:v>
                </c:pt>
                <c:pt idx="443">
                  <c:v>111</c:v>
                </c:pt>
                <c:pt idx="444">
                  <c:v>2</c:v>
                </c:pt>
                <c:pt idx="445">
                  <c:v>-12</c:v>
                </c:pt>
                <c:pt idx="446">
                  <c:v>-86</c:v>
                </c:pt>
                <c:pt idx="447">
                  <c:v>-25</c:v>
                </c:pt>
                <c:pt idx="448">
                  <c:v>2</c:v>
                </c:pt>
                <c:pt idx="449">
                  <c:v>-206</c:v>
                </c:pt>
                <c:pt idx="450">
                  <c:v>8</c:v>
                </c:pt>
                <c:pt idx="451">
                  <c:v>-24</c:v>
                </c:pt>
                <c:pt idx="452">
                  <c:v>64</c:v>
                </c:pt>
                <c:pt idx="453">
                  <c:v>276</c:v>
                </c:pt>
                <c:pt idx="454">
                  <c:v>-46</c:v>
                </c:pt>
                <c:pt idx="455">
                  <c:v>-18</c:v>
                </c:pt>
                <c:pt idx="456">
                  <c:v>6</c:v>
                </c:pt>
                <c:pt idx="457">
                  <c:v>9</c:v>
                </c:pt>
                <c:pt idx="458">
                  <c:v>19</c:v>
                </c:pt>
                <c:pt idx="459">
                  <c:v>-16</c:v>
                </c:pt>
                <c:pt idx="460">
                  <c:v>0</c:v>
                </c:pt>
                <c:pt idx="461">
                  <c:v>-7</c:v>
                </c:pt>
                <c:pt idx="462">
                  <c:v>13</c:v>
                </c:pt>
                <c:pt idx="463">
                  <c:v>-117</c:v>
                </c:pt>
                <c:pt idx="464">
                  <c:v>-146</c:v>
                </c:pt>
                <c:pt idx="465">
                  <c:v>87</c:v>
                </c:pt>
                <c:pt idx="466">
                  <c:v>2</c:v>
                </c:pt>
                <c:pt idx="467">
                  <c:v>13</c:v>
                </c:pt>
                <c:pt idx="468">
                  <c:v>-25</c:v>
                </c:pt>
                <c:pt idx="469">
                  <c:v>47</c:v>
                </c:pt>
                <c:pt idx="470">
                  <c:v>-15</c:v>
                </c:pt>
                <c:pt idx="471">
                  <c:v>11</c:v>
                </c:pt>
                <c:pt idx="472">
                  <c:v>-26</c:v>
                </c:pt>
                <c:pt idx="473">
                  <c:v>8</c:v>
                </c:pt>
                <c:pt idx="474">
                  <c:v>9</c:v>
                </c:pt>
                <c:pt idx="475">
                  <c:v>-70</c:v>
                </c:pt>
                <c:pt idx="476">
                  <c:v>61</c:v>
                </c:pt>
                <c:pt idx="477">
                  <c:v>-25</c:v>
                </c:pt>
                <c:pt idx="478">
                  <c:v>-28</c:v>
                </c:pt>
                <c:pt idx="479">
                  <c:v>-13</c:v>
                </c:pt>
                <c:pt idx="480">
                  <c:v>-62</c:v>
                </c:pt>
                <c:pt idx="481">
                  <c:v>37</c:v>
                </c:pt>
                <c:pt idx="482">
                  <c:v>11</c:v>
                </c:pt>
                <c:pt idx="483">
                  <c:v>20</c:v>
                </c:pt>
                <c:pt idx="484">
                  <c:v>99</c:v>
                </c:pt>
                <c:pt idx="485">
                  <c:v>8</c:v>
                </c:pt>
                <c:pt idx="486">
                  <c:v>77</c:v>
                </c:pt>
                <c:pt idx="487">
                  <c:v>4</c:v>
                </c:pt>
                <c:pt idx="488">
                  <c:v>-70</c:v>
                </c:pt>
                <c:pt idx="489">
                  <c:v>69</c:v>
                </c:pt>
                <c:pt idx="490">
                  <c:v>2</c:v>
                </c:pt>
                <c:pt idx="491">
                  <c:v>-25</c:v>
                </c:pt>
                <c:pt idx="492">
                  <c:v>32</c:v>
                </c:pt>
                <c:pt idx="493">
                  <c:v>10</c:v>
                </c:pt>
                <c:pt idx="494">
                  <c:v>17</c:v>
                </c:pt>
                <c:pt idx="495">
                  <c:v>-46</c:v>
                </c:pt>
                <c:pt idx="496">
                  <c:v>-51</c:v>
                </c:pt>
                <c:pt idx="497">
                  <c:v>30</c:v>
                </c:pt>
                <c:pt idx="498">
                  <c:v>-59</c:v>
                </c:pt>
                <c:pt idx="499">
                  <c:v>17</c:v>
                </c:pt>
                <c:pt idx="500">
                  <c:v>63</c:v>
                </c:pt>
                <c:pt idx="501">
                  <c:v>-24</c:v>
                </c:pt>
                <c:pt idx="502">
                  <c:v>-25</c:v>
                </c:pt>
                <c:pt idx="503">
                  <c:v>20</c:v>
                </c:pt>
                <c:pt idx="504">
                  <c:v>0</c:v>
                </c:pt>
                <c:pt idx="505">
                  <c:v>35</c:v>
                </c:pt>
                <c:pt idx="506">
                  <c:v>-9</c:v>
                </c:pt>
                <c:pt idx="507">
                  <c:v>-23</c:v>
                </c:pt>
                <c:pt idx="508">
                  <c:v>-135</c:v>
                </c:pt>
                <c:pt idx="509">
                  <c:v>-21</c:v>
                </c:pt>
                <c:pt idx="510">
                  <c:v>-55</c:v>
                </c:pt>
                <c:pt idx="511">
                  <c:v>33</c:v>
                </c:pt>
                <c:pt idx="512">
                  <c:v>46</c:v>
                </c:pt>
                <c:pt idx="513">
                  <c:v>11</c:v>
                </c:pt>
                <c:pt idx="514">
                  <c:v>73</c:v>
                </c:pt>
                <c:pt idx="515">
                  <c:v>-22</c:v>
                </c:pt>
                <c:pt idx="516">
                  <c:v>55</c:v>
                </c:pt>
                <c:pt idx="517">
                  <c:v>-23</c:v>
                </c:pt>
                <c:pt idx="518">
                  <c:v>0</c:v>
                </c:pt>
                <c:pt idx="519">
                  <c:v>7</c:v>
                </c:pt>
                <c:pt idx="520">
                  <c:v>2</c:v>
                </c:pt>
                <c:pt idx="521">
                  <c:v>-229</c:v>
                </c:pt>
                <c:pt idx="522">
                  <c:v>19</c:v>
                </c:pt>
                <c:pt idx="523">
                  <c:v>-105</c:v>
                </c:pt>
                <c:pt idx="524">
                  <c:v>5</c:v>
                </c:pt>
                <c:pt idx="525">
                  <c:v>-22</c:v>
                </c:pt>
                <c:pt idx="526">
                  <c:v>40</c:v>
                </c:pt>
                <c:pt idx="527">
                  <c:v>4</c:v>
                </c:pt>
                <c:pt idx="528">
                  <c:v>-50</c:v>
                </c:pt>
                <c:pt idx="529">
                  <c:v>39</c:v>
                </c:pt>
                <c:pt idx="530">
                  <c:v>153</c:v>
                </c:pt>
                <c:pt idx="531">
                  <c:v>0</c:v>
                </c:pt>
                <c:pt idx="532">
                  <c:v>12</c:v>
                </c:pt>
                <c:pt idx="533">
                  <c:v>0</c:v>
                </c:pt>
                <c:pt idx="534">
                  <c:v>23</c:v>
                </c:pt>
                <c:pt idx="535">
                  <c:v>54</c:v>
                </c:pt>
                <c:pt idx="536">
                  <c:v>15</c:v>
                </c:pt>
                <c:pt idx="537">
                  <c:v>51</c:v>
                </c:pt>
                <c:pt idx="538">
                  <c:v>7</c:v>
                </c:pt>
                <c:pt idx="539">
                  <c:v>-1</c:v>
                </c:pt>
                <c:pt idx="540">
                  <c:v>22</c:v>
                </c:pt>
                <c:pt idx="541">
                  <c:v>23</c:v>
                </c:pt>
                <c:pt idx="542">
                  <c:v>50</c:v>
                </c:pt>
                <c:pt idx="543">
                  <c:v>-21</c:v>
                </c:pt>
                <c:pt idx="544">
                  <c:v>48</c:v>
                </c:pt>
                <c:pt idx="545">
                  <c:v>-87</c:v>
                </c:pt>
                <c:pt idx="546">
                  <c:v>20</c:v>
                </c:pt>
                <c:pt idx="547">
                  <c:v>-54</c:v>
                </c:pt>
                <c:pt idx="548">
                  <c:v>-15</c:v>
                </c:pt>
                <c:pt idx="549">
                  <c:v>32</c:v>
                </c:pt>
                <c:pt idx="550">
                  <c:v>12</c:v>
                </c:pt>
                <c:pt idx="551">
                  <c:v>-1</c:v>
                </c:pt>
                <c:pt idx="552">
                  <c:v>22</c:v>
                </c:pt>
                <c:pt idx="553">
                  <c:v>12</c:v>
                </c:pt>
                <c:pt idx="554">
                  <c:v>0</c:v>
                </c:pt>
                <c:pt idx="555">
                  <c:v>41</c:v>
                </c:pt>
                <c:pt idx="556">
                  <c:v>34</c:v>
                </c:pt>
                <c:pt idx="557">
                  <c:v>17</c:v>
                </c:pt>
                <c:pt idx="558">
                  <c:v>46</c:v>
                </c:pt>
                <c:pt idx="559">
                  <c:v>24</c:v>
                </c:pt>
                <c:pt idx="560">
                  <c:v>-17</c:v>
                </c:pt>
                <c:pt idx="561">
                  <c:v>-40</c:v>
                </c:pt>
                <c:pt idx="562">
                  <c:v>0</c:v>
                </c:pt>
                <c:pt idx="563">
                  <c:v>0</c:v>
                </c:pt>
                <c:pt idx="564">
                  <c:v>22</c:v>
                </c:pt>
                <c:pt idx="565">
                  <c:v>16</c:v>
                </c:pt>
                <c:pt idx="566">
                  <c:v>-275</c:v>
                </c:pt>
                <c:pt idx="567">
                  <c:v>0</c:v>
                </c:pt>
                <c:pt idx="568">
                  <c:v>-14</c:v>
                </c:pt>
                <c:pt idx="569">
                  <c:v>59</c:v>
                </c:pt>
                <c:pt idx="570">
                  <c:v>19</c:v>
                </c:pt>
                <c:pt idx="571">
                  <c:v>14</c:v>
                </c:pt>
                <c:pt idx="572">
                  <c:v>44</c:v>
                </c:pt>
                <c:pt idx="573">
                  <c:v>68</c:v>
                </c:pt>
                <c:pt idx="574">
                  <c:v>-56</c:v>
                </c:pt>
                <c:pt idx="575">
                  <c:v>48</c:v>
                </c:pt>
                <c:pt idx="576">
                  <c:v>12</c:v>
                </c:pt>
                <c:pt idx="577">
                  <c:v>8</c:v>
                </c:pt>
                <c:pt idx="578">
                  <c:v>19</c:v>
                </c:pt>
                <c:pt idx="579">
                  <c:v>-193</c:v>
                </c:pt>
                <c:pt idx="580">
                  <c:v>29</c:v>
                </c:pt>
                <c:pt idx="581">
                  <c:v>19</c:v>
                </c:pt>
                <c:pt idx="582">
                  <c:v>32</c:v>
                </c:pt>
                <c:pt idx="583">
                  <c:v>-1</c:v>
                </c:pt>
                <c:pt idx="584">
                  <c:v>12</c:v>
                </c:pt>
                <c:pt idx="585">
                  <c:v>-58</c:v>
                </c:pt>
                <c:pt idx="586">
                  <c:v>-48</c:v>
                </c:pt>
                <c:pt idx="587">
                  <c:v>6</c:v>
                </c:pt>
                <c:pt idx="588">
                  <c:v>14</c:v>
                </c:pt>
                <c:pt idx="589">
                  <c:v>14</c:v>
                </c:pt>
                <c:pt idx="590">
                  <c:v>14</c:v>
                </c:pt>
                <c:pt idx="591">
                  <c:v>36</c:v>
                </c:pt>
                <c:pt idx="592">
                  <c:v>30</c:v>
                </c:pt>
                <c:pt idx="593">
                  <c:v>21</c:v>
                </c:pt>
                <c:pt idx="594">
                  <c:v>-14</c:v>
                </c:pt>
                <c:pt idx="595">
                  <c:v>-3</c:v>
                </c:pt>
                <c:pt idx="596">
                  <c:v>13</c:v>
                </c:pt>
                <c:pt idx="597">
                  <c:v>12</c:v>
                </c:pt>
                <c:pt idx="598">
                  <c:v>22</c:v>
                </c:pt>
                <c:pt idx="599">
                  <c:v>5</c:v>
                </c:pt>
                <c:pt idx="600">
                  <c:v>-12</c:v>
                </c:pt>
                <c:pt idx="601">
                  <c:v>-34</c:v>
                </c:pt>
                <c:pt idx="602">
                  <c:v>42</c:v>
                </c:pt>
                <c:pt idx="603">
                  <c:v>-56</c:v>
                </c:pt>
                <c:pt idx="604">
                  <c:v>-84</c:v>
                </c:pt>
                <c:pt idx="605">
                  <c:v>-21</c:v>
                </c:pt>
                <c:pt idx="606">
                  <c:v>54</c:v>
                </c:pt>
                <c:pt idx="607">
                  <c:v>-10</c:v>
                </c:pt>
                <c:pt idx="608">
                  <c:v>-79</c:v>
                </c:pt>
                <c:pt idx="609">
                  <c:v>-65</c:v>
                </c:pt>
                <c:pt idx="610">
                  <c:v>5</c:v>
                </c:pt>
                <c:pt idx="611">
                  <c:v>12</c:v>
                </c:pt>
                <c:pt idx="612">
                  <c:v>-154</c:v>
                </c:pt>
                <c:pt idx="613">
                  <c:v>29</c:v>
                </c:pt>
                <c:pt idx="614">
                  <c:v>4</c:v>
                </c:pt>
                <c:pt idx="615">
                  <c:v>241</c:v>
                </c:pt>
                <c:pt idx="616">
                  <c:v>47</c:v>
                </c:pt>
                <c:pt idx="617">
                  <c:v>48</c:v>
                </c:pt>
                <c:pt idx="618">
                  <c:v>10</c:v>
                </c:pt>
                <c:pt idx="619">
                  <c:v>29</c:v>
                </c:pt>
                <c:pt idx="620">
                  <c:v>36</c:v>
                </c:pt>
                <c:pt idx="621">
                  <c:v>0</c:v>
                </c:pt>
                <c:pt idx="622">
                  <c:v>-8</c:v>
                </c:pt>
                <c:pt idx="623">
                  <c:v>54</c:v>
                </c:pt>
                <c:pt idx="624">
                  <c:v>17</c:v>
                </c:pt>
                <c:pt idx="625">
                  <c:v>11</c:v>
                </c:pt>
                <c:pt idx="626">
                  <c:v>-66</c:v>
                </c:pt>
                <c:pt idx="627">
                  <c:v>30</c:v>
                </c:pt>
                <c:pt idx="628">
                  <c:v>-11</c:v>
                </c:pt>
                <c:pt idx="629">
                  <c:v>59</c:v>
                </c:pt>
                <c:pt idx="630">
                  <c:v>19</c:v>
                </c:pt>
                <c:pt idx="631">
                  <c:v>1</c:v>
                </c:pt>
                <c:pt idx="632">
                  <c:v>23</c:v>
                </c:pt>
                <c:pt idx="633">
                  <c:v>-11</c:v>
                </c:pt>
                <c:pt idx="634">
                  <c:v>17</c:v>
                </c:pt>
                <c:pt idx="635">
                  <c:v>9</c:v>
                </c:pt>
                <c:pt idx="636">
                  <c:v>-6</c:v>
                </c:pt>
                <c:pt idx="637">
                  <c:v>54</c:v>
                </c:pt>
                <c:pt idx="638">
                  <c:v>-5</c:v>
                </c:pt>
                <c:pt idx="639">
                  <c:v>-103</c:v>
                </c:pt>
                <c:pt idx="640">
                  <c:v>16</c:v>
                </c:pt>
                <c:pt idx="641">
                  <c:v>-4</c:v>
                </c:pt>
                <c:pt idx="642">
                  <c:v>68</c:v>
                </c:pt>
                <c:pt idx="643">
                  <c:v>14</c:v>
                </c:pt>
                <c:pt idx="644">
                  <c:v>-39</c:v>
                </c:pt>
                <c:pt idx="645">
                  <c:v>7</c:v>
                </c:pt>
                <c:pt idx="646">
                  <c:v>8</c:v>
                </c:pt>
                <c:pt idx="647">
                  <c:v>14</c:v>
                </c:pt>
                <c:pt idx="648">
                  <c:v>-140</c:v>
                </c:pt>
                <c:pt idx="649">
                  <c:v>12</c:v>
                </c:pt>
                <c:pt idx="650">
                  <c:v>25</c:v>
                </c:pt>
                <c:pt idx="651">
                  <c:v>-9</c:v>
                </c:pt>
                <c:pt idx="652">
                  <c:v>47</c:v>
                </c:pt>
                <c:pt idx="653">
                  <c:v>-111</c:v>
                </c:pt>
                <c:pt idx="654">
                  <c:v>-7</c:v>
                </c:pt>
                <c:pt idx="655">
                  <c:v>41</c:v>
                </c:pt>
                <c:pt idx="656">
                  <c:v>9</c:v>
                </c:pt>
                <c:pt idx="657">
                  <c:v>-8</c:v>
                </c:pt>
                <c:pt idx="658">
                  <c:v>35</c:v>
                </c:pt>
                <c:pt idx="659">
                  <c:v>15</c:v>
                </c:pt>
                <c:pt idx="660">
                  <c:v>27</c:v>
                </c:pt>
                <c:pt idx="661">
                  <c:v>-6</c:v>
                </c:pt>
                <c:pt idx="662">
                  <c:v>-6</c:v>
                </c:pt>
                <c:pt idx="663">
                  <c:v>40</c:v>
                </c:pt>
                <c:pt idx="664">
                  <c:v>22</c:v>
                </c:pt>
                <c:pt idx="665">
                  <c:v>50</c:v>
                </c:pt>
                <c:pt idx="666">
                  <c:v>-8</c:v>
                </c:pt>
                <c:pt idx="667">
                  <c:v>17</c:v>
                </c:pt>
                <c:pt idx="668">
                  <c:v>46</c:v>
                </c:pt>
                <c:pt idx="669">
                  <c:v>20</c:v>
                </c:pt>
                <c:pt idx="670">
                  <c:v>-6</c:v>
                </c:pt>
                <c:pt idx="671">
                  <c:v>-33</c:v>
                </c:pt>
                <c:pt idx="672">
                  <c:v>25</c:v>
                </c:pt>
                <c:pt idx="673">
                  <c:v>-7</c:v>
                </c:pt>
                <c:pt idx="674">
                  <c:v>2</c:v>
                </c:pt>
                <c:pt idx="675">
                  <c:v>5</c:v>
                </c:pt>
                <c:pt idx="676">
                  <c:v>-7</c:v>
                </c:pt>
                <c:pt idx="677">
                  <c:v>-6</c:v>
                </c:pt>
                <c:pt idx="678">
                  <c:v>12</c:v>
                </c:pt>
                <c:pt idx="679">
                  <c:v>36</c:v>
                </c:pt>
                <c:pt idx="680">
                  <c:v>-6</c:v>
                </c:pt>
                <c:pt idx="681">
                  <c:v>33</c:v>
                </c:pt>
                <c:pt idx="682">
                  <c:v>-6</c:v>
                </c:pt>
                <c:pt idx="683">
                  <c:v>-90</c:v>
                </c:pt>
                <c:pt idx="684">
                  <c:v>11</c:v>
                </c:pt>
                <c:pt idx="685">
                  <c:v>-8</c:v>
                </c:pt>
                <c:pt idx="686">
                  <c:v>18</c:v>
                </c:pt>
                <c:pt idx="687">
                  <c:v>-6</c:v>
                </c:pt>
                <c:pt idx="688">
                  <c:v>18</c:v>
                </c:pt>
                <c:pt idx="689">
                  <c:v>5</c:v>
                </c:pt>
                <c:pt idx="690">
                  <c:v>2</c:v>
                </c:pt>
                <c:pt idx="691">
                  <c:v>69</c:v>
                </c:pt>
                <c:pt idx="692">
                  <c:v>0</c:v>
                </c:pt>
                <c:pt idx="693">
                  <c:v>16</c:v>
                </c:pt>
                <c:pt idx="694">
                  <c:v>37</c:v>
                </c:pt>
                <c:pt idx="695">
                  <c:v>36</c:v>
                </c:pt>
                <c:pt idx="696">
                  <c:v>-19</c:v>
                </c:pt>
                <c:pt idx="697">
                  <c:v>-54</c:v>
                </c:pt>
                <c:pt idx="698">
                  <c:v>-58</c:v>
                </c:pt>
                <c:pt idx="699">
                  <c:v>26</c:v>
                </c:pt>
                <c:pt idx="700">
                  <c:v>6</c:v>
                </c:pt>
                <c:pt idx="701">
                  <c:v>-23</c:v>
                </c:pt>
                <c:pt idx="702">
                  <c:v>17</c:v>
                </c:pt>
                <c:pt idx="703">
                  <c:v>26</c:v>
                </c:pt>
                <c:pt idx="704">
                  <c:v>9</c:v>
                </c:pt>
                <c:pt idx="705">
                  <c:v>29</c:v>
                </c:pt>
                <c:pt idx="706">
                  <c:v>-68</c:v>
                </c:pt>
                <c:pt idx="707">
                  <c:v>9</c:v>
                </c:pt>
                <c:pt idx="708">
                  <c:v>-62</c:v>
                </c:pt>
                <c:pt idx="709">
                  <c:v>35</c:v>
                </c:pt>
                <c:pt idx="710">
                  <c:v>17</c:v>
                </c:pt>
                <c:pt idx="711">
                  <c:v>15</c:v>
                </c:pt>
                <c:pt idx="712">
                  <c:v>20</c:v>
                </c:pt>
                <c:pt idx="713">
                  <c:v>-5</c:v>
                </c:pt>
                <c:pt idx="714">
                  <c:v>12</c:v>
                </c:pt>
                <c:pt idx="715">
                  <c:v>11</c:v>
                </c:pt>
                <c:pt idx="716">
                  <c:v>14</c:v>
                </c:pt>
                <c:pt idx="717">
                  <c:v>0</c:v>
                </c:pt>
                <c:pt idx="718">
                  <c:v>27</c:v>
                </c:pt>
                <c:pt idx="719">
                  <c:v>25</c:v>
                </c:pt>
                <c:pt idx="720">
                  <c:v>15</c:v>
                </c:pt>
                <c:pt idx="721">
                  <c:v>23</c:v>
                </c:pt>
                <c:pt idx="722">
                  <c:v>15</c:v>
                </c:pt>
                <c:pt idx="723">
                  <c:v>24</c:v>
                </c:pt>
                <c:pt idx="724">
                  <c:v>2</c:v>
                </c:pt>
                <c:pt idx="725">
                  <c:v>9</c:v>
                </c:pt>
                <c:pt idx="726">
                  <c:v>11</c:v>
                </c:pt>
                <c:pt idx="727">
                  <c:v>42</c:v>
                </c:pt>
                <c:pt idx="728">
                  <c:v>14</c:v>
                </c:pt>
                <c:pt idx="729">
                  <c:v>-10</c:v>
                </c:pt>
                <c:pt idx="730">
                  <c:v>-10</c:v>
                </c:pt>
                <c:pt idx="731">
                  <c:v>8</c:v>
                </c:pt>
                <c:pt idx="732">
                  <c:v>0</c:v>
                </c:pt>
                <c:pt idx="733">
                  <c:v>29</c:v>
                </c:pt>
                <c:pt idx="734">
                  <c:v>1</c:v>
                </c:pt>
                <c:pt idx="735">
                  <c:v>1</c:v>
                </c:pt>
                <c:pt idx="736">
                  <c:v>36</c:v>
                </c:pt>
                <c:pt idx="737">
                  <c:v>54</c:v>
                </c:pt>
                <c:pt idx="738">
                  <c:v>-5</c:v>
                </c:pt>
                <c:pt idx="739">
                  <c:v>73</c:v>
                </c:pt>
                <c:pt idx="740">
                  <c:v>35</c:v>
                </c:pt>
                <c:pt idx="741">
                  <c:v>56</c:v>
                </c:pt>
                <c:pt idx="742">
                  <c:v>27</c:v>
                </c:pt>
                <c:pt idx="743">
                  <c:v>1</c:v>
                </c:pt>
                <c:pt idx="744">
                  <c:v>-89</c:v>
                </c:pt>
                <c:pt idx="745">
                  <c:v>66</c:v>
                </c:pt>
                <c:pt idx="746">
                  <c:v>-37</c:v>
                </c:pt>
                <c:pt idx="747">
                  <c:v>11</c:v>
                </c:pt>
                <c:pt idx="748">
                  <c:v>41</c:v>
                </c:pt>
                <c:pt idx="749">
                  <c:v>20</c:v>
                </c:pt>
                <c:pt idx="750">
                  <c:v>-83</c:v>
                </c:pt>
                <c:pt idx="751">
                  <c:v>4</c:v>
                </c:pt>
                <c:pt idx="752">
                  <c:v>15</c:v>
                </c:pt>
                <c:pt idx="753">
                  <c:v>10</c:v>
                </c:pt>
                <c:pt idx="754">
                  <c:v>8</c:v>
                </c:pt>
                <c:pt idx="755">
                  <c:v>-32</c:v>
                </c:pt>
                <c:pt idx="756">
                  <c:v>-55</c:v>
                </c:pt>
                <c:pt idx="757">
                  <c:v>22</c:v>
                </c:pt>
                <c:pt idx="758">
                  <c:v>-3</c:v>
                </c:pt>
                <c:pt idx="759">
                  <c:v>-124</c:v>
                </c:pt>
                <c:pt idx="760">
                  <c:v>22</c:v>
                </c:pt>
                <c:pt idx="761">
                  <c:v>9</c:v>
                </c:pt>
                <c:pt idx="762">
                  <c:v>-9</c:v>
                </c:pt>
                <c:pt idx="763">
                  <c:v>-75</c:v>
                </c:pt>
                <c:pt idx="764">
                  <c:v>-42</c:v>
                </c:pt>
                <c:pt idx="765">
                  <c:v>-81</c:v>
                </c:pt>
                <c:pt idx="766">
                  <c:v>6</c:v>
                </c:pt>
                <c:pt idx="767">
                  <c:v>123</c:v>
                </c:pt>
                <c:pt idx="768">
                  <c:v>122</c:v>
                </c:pt>
                <c:pt idx="769">
                  <c:v>61</c:v>
                </c:pt>
                <c:pt idx="770">
                  <c:v>-3</c:v>
                </c:pt>
                <c:pt idx="771">
                  <c:v>10</c:v>
                </c:pt>
                <c:pt idx="772">
                  <c:v>15</c:v>
                </c:pt>
                <c:pt idx="773">
                  <c:v>0</c:v>
                </c:pt>
                <c:pt idx="774">
                  <c:v>49</c:v>
                </c:pt>
                <c:pt idx="775">
                  <c:v>12</c:v>
                </c:pt>
                <c:pt idx="776">
                  <c:v>13</c:v>
                </c:pt>
                <c:pt idx="777">
                  <c:v>56</c:v>
                </c:pt>
                <c:pt idx="778">
                  <c:v>19</c:v>
                </c:pt>
                <c:pt idx="779">
                  <c:v>38</c:v>
                </c:pt>
                <c:pt idx="780">
                  <c:v>-41</c:v>
                </c:pt>
                <c:pt idx="781">
                  <c:v>57</c:v>
                </c:pt>
                <c:pt idx="782">
                  <c:v>30</c:v>
                </c:pt>
                <c:pt idx="783">
                  <c:v>11</c:v>
                </c:pt>
                <c:pt idx="784">
                  <c:v>-124</c:v>
                </c:pt>
                <c:pt idx="785">
                  <c:v>41</c:v>
                </c:pt>
                <c:pt idx="786">
                  <c:v>16</c:v>
                </c:pt>
                <c:pt idx="787">
                  <c:v>20</c:v>
                </c:pt>
                <c:pt idx="788">
                  <c:v>6</c:v>
                </c:pt>
                <c:pt idx="789">
                  <c:v>36</c:v>
                </c:pt>
                <c:pt idx="790">
                  <c:v>-13</c:v>
                </c:pt>
                <c:pt idx="791">
                  <c:v>5</c:v>
                </c:pt>
                <c:pt idx="792">
                  <c:v>20</c:v>
                </c:pt>
                <c:pt idx="793">
                  <c:v>-42</c:v>
                </c:pt>
                <c:pt idx="794">
                  <c:v>27</c:v>
                </c:pt>
                <c:pt idx="795">
                  <c:v>7</c:v>
                </c:pt>
                <c:pt idx="796">
                  <c:v>-92</c:v>
                </c:pt>
                <c:pt idx="797">
                  <c:v>-50</c:v>
                </c:pt>
                <c:pt idx="798">
                  <c:v>19</c:v>
                </c:pt>
                <c:pt idx="799">
                  <c:v>29</c:v>
                </c:pt>
                <c:pt idx="800">
                  <c:v>-25</c:v>
                </c:pt>
                <c:pt idx="801">
                  <c:v>-63</c:v>
                </c:pt>
                <c:pt idx="802">
                  <c:v>-31</c:v>
                </c:pt>
                <c:pt idx="803">
                  <c:v>22</c:v>
                </c:pt>
                <c:pt idx="804">
                  <c:v>46</c:v>
                </c:pt>
                <c:pt idx="805">
                  <c:v>7</c:v>
                </c:pt>
                <c:pt idx="806">
                  <c:v>-41</c:v>
                </c:pt>
                <c:pt idx="807">
                  <c:v>41</c:v>
                </c:pt>
                <c:pt idx="808">
                  <c:v>21</c:v>
                </c:pt>
                <c:pt idx="809">
                  <c:v>-7</c:v>
                </c:pt>
                <c:pt idx="810">
                  <c:v>72</c:v>
                </c:pt>
                <c:pt idx="811">
                  <c:v>0</c:v>
                </c:pt>
                <c:pt idx="812">
                  <c:v>-13</c:v>
                </c:pt>
                <c:pt idx="813">
                  <c:v>25</c:v>
                </c:pt>
                <c:pt idx="814">
                  <c:v>-7</c:v>
                </c:pt>
                <c:pt idx="815">
                  <c:v>-104</c:v>
                </c:pt>
                <c:pt idx="816">
                  <c:v>-49</c:v>
                </c:pt>
                <c:pt idx="817">
                  <c:v>15</c:v>
                </c:pt>
                <c:pt idx="818">
                  <c:v>15</c:v>
                </c:pt>
                <c:pt idx="819">
                  <c:v>16</c:v>
                </c:pt>
                <c:pt idx="820">
                  <c:v>0</c:v>
                </c:pt>
                <c:pt idx="821">
                  <c:v>-14</c:v>
                </c:pt>
                <c:pt idx="822">
                  <c:v>-85</c:v>
                </c:pt>
                <c:pt idx="823">
                  <c:v>13</c:v>
                </c:pt>
                <c:pt idx="824">
                  <c:v>19</c:v>
                </c:pt>
                <c:pt idx="825">
                  <c:v>-3</c:v>
                </c:pt>
                <c:pt idx="826">
                  <c:v>-47</c:v>
                </c:pt>
                <c:pt idx="827">
                  <c:v>26</c:v>
                </c:pt>
                <c:pt idx="828">
                  <c:v>5</c:v>
                </c:pt>
                <c:pt idx="829">
                  <c:v>-86</c:v>
                </c:pt>
                <c:pt idx="830">
                  <c:v>-42</c:v>
                </c:pt>
                <c:pt idx="831">
                  <c:v>-101</c:v>
                </c:pt>
                <c:pt idx="832">
                  <c:v>38</c:v>
                </c:pt>
                <c:pt idx="833">
                  <c:v>-5</c:v>
                </c:pt>
                <c:pt idx="834">
                  <c:v>-17</c:v>
                </c:pt>
                <c:pt idx="835">
                  <c:v>-15</c:v>
                </c:pt>
                <c:pt idx="836">
                  <c:v>-4</c:v>
                </c:pt>
                <c:pt idx="837">
                  <c:v>-43</c:v>
                </c:pt>
                <c:pt idx="838">
                  <c:v>56</c:v>
                </c:pt>
                <c:pt idx="839">
                  <c:v>-5</c:v>
                </c:pt>
                <c:pt idx="840">
                  <c:v>25</c:v>
                </c:pt>
                <c:pt idx="841">
                  <c:v>22</c:v>
                </c:pt>
                <c:pt idx="842">
                  <c:v>-29</c:v>
                </c:pt>
                <c:pt idx="843">
                  <c:v>69</c:v>
                </c:pt>
                <c:pt idx="844">
                  <c:v>-52</c:v>
                </c:pt>
                <c:pt idx="845">
                  <c:v>-59</c:v>
                </c:pt>
                <c:pt idx="846">
                  <c:v>20</c:v>
                </c:pt>
                <c:pt idx="847">
                  <c:v>1</c:v>
                </c:pt>
                <c:pt idx="848">
                  <c:v>27</c:v>
                </c:pt>
                <c:pt idx="849">
                  <c:v>-113</c:v>
                </c:pt>
                <c:pt idx="850">
                  <c:v>43</c:v>
                </c:pt>
                <c:pt idx="851">
                  <c:v>17</c:v>
                </c:pt>
                <c:pt idx="852">
                  <c:v>14</c:v>
                </c:pt>
                <c:pt idx="853">
                  <c:v>0</c:v>
                </c:pt>
                <c:pt idx="854">
                  <c:v>28</c:v>
                </c:pt>
                <c:pt idx="855">
                  <c:v>6</c:v>
                </c:pt>
                <c:pt idx="856">
                  <c:v>-18</c:v>
                </c:pt>
                <c:pt idx="857">
                  <c:v>18</c:v>
                </c:pt>
                <c:pt idx="858">
                  <c:v>24</c:v>
                </c:pt>
                <c:pt idx="859">
                  <c:v>55</c:v>
                </c:pt>
                <c:pt idx="860">
                  <c:v>-8</c:v>
                </c:pt>
                <c:pt idx="861">
                  <c:v>-8</c:v>
                </c:pt>
                <c:pt idx="862">
                  <c:v>-56</c:v>
                </c:pt>
                <c:pt idx="863">
                  <c:v>21</c:v>
                </c:pt>
                <c:pt idx="864">
                  <c:v>6</c:v>
                </c:pt>
                <c:pt idx="865">
                  <c:v>1</c:v>
                </c:pt>
                <c:pt idx="866">
                  <c:v>11</c:v>
                </c:pt>
                <c:pt idx="867">
                  <c:v>-63</c:v>
                </c:pt>
                <c:pt idx="868">
                  <c:v>-3</c:v>
                </c:pt>
                <c:pt idx="869">
                  <c:v>28</c:v>
                </c:pt>
                <c:pt idx="870">
                  <c:v>-50</c:v>
                </c:pt>
                <c:pt idx="871">
                  <c:v>26</c:v>
                </c:pt>
                <c:pt idx="872">
                  <c:v>1</c:v>
                </c:pt>
                <c:pt idx="873">
                  <c:v>38</c:v>
                </c:pt>
                <c:pt idx="874">
                  <c:v>18</c:v>
                </c:pt>
                <c:pt idx="875">
                  <c:v>-23</c:v>
                </c:pt>
                <c:pt idx="876">
                  <c:v>14</c:v>
                </c:pt>
                <c:pt idx="877">
                  <c:v>-49</c:v>
                </c:pt>
                <c:pt idx="878">
                  <c:v>-11</c:v>
                </c:pt>
                <c:pt idx="879">
                  <c:v>26</c:v>
                </c:pt>
                <c:pt idx="880">
                  <c:v>86</c:v>
                </c:pt>
                <c:pt idx="881">
                  <c:v>-3</c:v>
                </c:pt>
                <c:pt idx="882">
                  <c:v>37</c:v>
                </c:pt>
                <c:pt idx="883">
                  <c:v>41</c:v>
                </c:pt>
                <c:pt idx="884">
                  <c:v>15</c:v>
                </c:pt>
                <c:pt idx="885">
                  <c:v>-14</c:v>
                </c:pt>
                <c:pt idx="886">
                  <c:v>-10</c:v>
                </c:pt>
                <c:pt idx="887">
                  <c:v>21</c:v>
                </c:pt>
                <c:pt idx="888">
                  <c:v>-11</c:v>
                </c:pt>
                <c:pt idx="889">
                  <c:v>0</c:v>
                </c:pt>
                <c:pt idx="890">
                  <c:v>12</c:v>
                </c:pt>
                <c:pt idx="891">
                  <c:v>13</c:v>
                </c:pt>
                <c:pt idx="892">
                  <c:v>5</c:v>
                </c:pt>
                <c:pt idx="893">
                  <c:v>-10</c:v>
                </c:pt>
                <c:pt idx="894">
                  <c:v>25</c:v>
                </c:pt>
                <c:pt idx="895">
                  <c:v>73</c:v>
                </c:pt>
                <c:pt idx="896">
                  <c:v>10</c:v>
                </c:pt>
                <c:pt idx="897">
                  <c:v>-21</c:v>
                </c:pt>
                <c:pt idx="898">
                  <c:v>-26</c:v>
                </c:pt>
                <c:pt idx="899">
                  <c:v>46</c:v>
                </c:pt>
                <c:pt idx="900">
                  <c:v>17</c:v>
                </c:pt>
                <c:pt idx="901">
                  <c:v>13</c:v>
                </c:pt>
                <c:pt idx="902">
                  <c:v>12</c:v>
                </c:pt>
                <c:pt idx="903">
                  <c:v>10</c:v>
                </c:pt>
                <c:pt idx="904">
                  <c:v>60</c:v>
                </c:pt>
                <c:pt idx="905">
                  <c:v>-52</c:v>
                </c:pt>
                <c:pt idx="906">
                  <c:v>3</c:v>
                </c:pt>
                <c:pt idx="907">
                  <c:v>-8</c:v>
                </c:pt>
                <c:pt idx="908">
                  <c:v>20</c:v>
                </c:pt>
                <c:pt idx="909">
                  <c:v>-166</c:v>
                </c:pt>
                <c:pt idx="910">
                  <c:v>0</c:v>
                </c:pt>
                <c:pt idx="911">
                  <c:v>89</c:v>
                </c:pt>
                <c:pt idx="912">
                  <c:v>17</c:v>
                </c:pt>
                <c:pt idx="913">
                  <c:v>-28</c:v>
                </c:pt>
                <c:pt idx="914">
                  <c:v>-94</c:v>
                </c:pt>
                <c:pt idx="915">
                  <c:v>-12</c:v>
                </c:pt>
                <c:pt idx="916">
                  <c:v>-12</c:v>
                </c:pt>
                <c:pt idx="917">
                  <c:v>17</c:v>
                </c:pt>
                <c:pt idx="918">
                  <c:v>24</c:v>
                </c:pt>
                <c:pt idx="919">
                  <c:v>14</c:v>
                </c:pt>
                <c:pt idx="920">
                  <c:v>17</c:v>
                </c:pt>
                <c:pt idx="921">
                  <c:v>22</c:v>
                </c:pt>
                <c:pt idx="922">
                  <c:v>27</c:v>
                </c:pt>
                <c:pt idx="923">
                  <c:v>-17</c:v>
                </c:pt>
                <c:pt idx="924">
                  <c:v>44</c:v>
                </c:pt>
                <c:pt idx="925">
                  <c:v>-65</c:v>
                </c:pt>
                <c:pt idx="926">
                  <c:v>5</c:v>
                </c:pt>
                <c:pt idx="927">
                  <c:v>27</c:v>
                </c:pt>
                <c:pt idx="928">
                  <c:v>7</c:v>
                </c:pt>
                <c:pt idx="929">
                  <c:v>21</c:v>
                </c:pt>
                <c:pt idx="930">
                  <c:v>4</c:v>
                </c:pt>
                <c:pt idx="931">
                  <c:v>-4</c:v>
                </c:pt>
                <c:pt idx="932">
                  <c:v>26</c:v>
                </c:pt>
                <c:pt idx="933">
                  <c:v>-119</c:v>
                </c:pt>
                <c:pt idx="934">
                  <c:v>51</c:v>
                </c:pt>
                <c:pt idx="935">
                  <c:v>18</c:v>
                </c:pt>
                <c:pt idx="936">
                  <c:v>0</c:v>
                </c:pt>
                <c:pt idx="937">
                  <c:v>16</c:v>
                </c:pt>
                <c:pt idx="938">
                  <c:v>58</c:v>
                </c:pt>
                <c:pt idx="939">
                  <c:v>8</c:v>
                </c:pt>
                <c:pt idx="940">
                  <c:v>36</c:v>
                </c:pt>
                <c:pt idx="941">
                  <c:v>4</c:v>
                </c:pt>
                <c:pt idx="942">
                  <c:v>-33</c:v>
                </c:pt>
                <c:pt idx="943">
                  <c:v>-1</c:v>
                </c:pt>
                <c:pt idx="944">
                  <c:v>56</c:v>
                </c:pt>
                <c:pt idx="945">
                  <c:v>73</c:v>
                </c:pt>
                <c:pt idx="946">
                  <c:v>-3</c:v>
                </c:pt>
                <c:pt idx="947">
                  <c:v>28</c:v>
                </c:pt>
                <c:pt idx="948">
                  <c:v>-19</c:v>
                </c:pt>
                <c:pt idx="949">
                  <c:v>29</c:v>
                </c:pt>
                <c:pt idx="950">
                  <c:v>4</c:v>
                </c:pt>
                <c:pt idx="951">
                  <c:v>12</c:v>
                </c:pt>
                <c:pt idx="952">
                  <c:v>5</c:v>
                </c:pt>
                <c:pt idx="953">
                  <c:v>-60</c:v>
                </c:pt>
                <c:pt idx="954">
                  <c:v>5</c:v>
                </c:pt>
                <c:pt idx="955">
                  <c:v>-145</c:v>
                </c:pt>
                <c:pt idx="956">
                  <c:v>4</c:v>
                </c:pt>
                <c:pt idx="957">
                  <c:v>-19</c:v>
                </c:pt>
                <c:pt idx="958">
                  <c:v>32</c:v>
                </c:pt>
                <c:pt idx="959">
                  <c:v>84</c:v>
                </c:pt>
                <c:pt idx="960">
                  <c:v>31</c:v>
                </c:pt>
                <c:pt idx="961">
                  <c:v>35</c:v>
                </c:pt>
                <c:pt idx="962">
                  <c:v>6</c:v>
                </c:pt>
                <c:pt idx="963">
                  <c:v>35</c:v>
                </c:pt>
                <c:pt idx="964">
                  <c:v>18</c:v>
                </c:pt>
                <c:pt idx="965">
                  <c:v>102</c:v>
                </c:pt>
                <c:pt idx="966">
                  <c:v>-39</c:v>
                </c:pt>
                <c:pt idx="967">
                  <c:v>33</c:v>
                </c:pt>
                <c:pt idx="968">
                  <c:v>6</c:v>
                </c:pt>
                <c:pt idx="969">
                  <c:v>6</c:v>
                </c:pt>
                <c:pt idx="970">
                  <c:v>27</c:v>
                </c:pt>
                <c:pt idx="971">
                  <c:v>41</c:v>
                </c:pt>
                <c:pt idx="972">
                  <c:v>-21</c:v>
                </c:pt>
                <c:pt idx="973">
                  <c:v>33</c:v>
                </c:pt>
                <c:pt idx="974">
                  <c:v>8</c:v>
                </c:pt>
                <c:pt idx="975">
                  <c:v>59</c:v>
                </c:pt>
                <c:pt idx="976">
                  <c:v>38</c:v>
                </c:pt>
                <c:pt idx="977">
                  <c:v>105</c:v>
                </c:pt>
                <c:pt idx="978">
                  <c:v>6</c:v>
                </c:pt>
                <c:pt idx="979">
                  <c:v>-11</c:v>
                </c:pt>
                <c:pt idx="980">
                  <c:v>-252</c:v>
                </c:pt>
                <c:pt idx="981">
                  <c:v>33</c:v>
                </c:pt>
                <c:pt idx="982">
                  <c:v>35</c:v>
                </c:pt>
                <c:pt idx="983">
                  <c:v>30</c:v>
                </c:pt>
                <c:pt idx="984">
                  <c:v>7</c:v>
                </c:pt>
                <c:pt idx="985">
                  <c:v>32</c:v>
                </c:pt>
                <c:pt idx="986">
                  <c:v>12</c:v>
                </c:pt>
                <c:pt idx="987">
                  <c:v>6</c:v>
                </c:pt>
                <c:pt idx="988">
                  <c:v>-3</c:v>
                </c:pt>
                <c:pt idx="989">
                  <c:v>5</c:v>
                </c:pt>
                <c:pt idx="990">
                  <c:v>-27</c:v>
                </c:pt>
                <c:pt idx="991">
                  <c:v>8</c:v>
                </c:pt>
                <c:pt idx="992">
                  <c:v>-27</c:v>
                </c:pt>
                <c:pt idx="993">
                  <c:v>36</c:v>
                </c:pt>
                <c:pt idx="994">
                  <c:v>15</c:v>
                </c:pt>
                <c:pt idx="995">
                  <c:v>1</c:v>
                </c:pt>
                <c:pt idx="996">
                  <c:v>38</c:v>
                </c:pt>
                <c:pt idx="997">
                  <c:v>215</c:v>
                </c:pt>
                <c:pt idx="998">
                  <c:v>-39</c:v>
                </c:pt>
                <c:pt idx="999">
                  <c:v>39</c:v>
                </c:pt>
                <c:pt idx="1000">
                  <c:v>18</c:v>
                </c:pt>
                <c:pt idx="1001">
                  <c:v>37</c:v>
                </c:pt>
                <c:pt idx="1002">
                  <c:v>41</c:v>
                </c:pt>
                <c:pt idx="1003">
                  <c:v>-49</c:v>
                </c:pt>
                <c:pt idx="1004">
                  <c:v>-81</c:v>
                </c:pt>
                <c:pt idx="1005">
                  <c:v>37</c:v>
                </c:pt>
                <c:pt idx="1006">
                  <c:v>14</c:v>
                </c:pt>
                <c:pt idx="1007">
                  <c:v>8</c:v>
                </c:pt>
                <c:pt idx="1008">
                  <c:v>-17</c:v>
                </c:pt>
                <c:pt idx="1009">
                  <c:v>-31</c:v>
                </c:pt>
                <c:pt idx="1010">
                  <c:v>7</c:v>
                </c:pt>
                <c:pt idx="1011">
                  <c:v>-3</c:v>
                </c:pt>
                <c:pt idx="1012">
                  <c:v>24</c:v>
                </c:pt>
                <c:pt idx="1013">
                  <c:v>-41</c:v>
                </c:pt>
                <c:pt idx="1014">
                  <c:v>14</c:v>
                </c:pt>
                <c:pt idx="1015">
                  <c:v>40</c:v>
                </c:pt>
                <c:pt idx="1016">
                  <c:v>-63</c:v>
                </c:pt>
                <c:pt idx="1017">
                  <c:v>-41</c:v>
                </c:pt>
                <c:pt idx="1018">
                  <c:v>-17</c:v>
                </c:pt>
                <c:pt idx="1019">
                  <c:v>5</c:v>
                </c:pt>
                <c:pt idx="1020">
                  <c:v>47</c:v>
                </c:pt>
                <c:pt idx="1021">
                  <c:v>-30</c:v>
                </c:pt>
                <c:pt idx="1022">
                  <c:v>3</c:v>
                </c:pt>
                <c:pt idx="1023">
                  <c:v>-24</c:v>
                </c:pt>
                <c:pt idx="1024">
                  <c:v>-51</c:v>
                </c:pt>
                <c:pt idx="1025">
                  <c:v>71</c:v>
                </c:pt>
                <c:pt idx="1026">
                  <c:v>11</c:v>
                </c:pt>
                <c:pt idx="1027">
                  <c:v>15</c:v>
                </c:pt>
                <c:pt idx="1028">
                  <c:v>-78</c:v>
                </c:pt>
                <c:pt idx="1029">
                  <c:v>42</c:v>
                </c:pt>
                <c:pt idx="1030">
                  <c:v>10</c:v>
                </c:pt>
                <c:pt idx="1031">
                  <c:v>91</c:v>
                </c:pt>
                <c:pt idx="1032">
                  <c:v>3</c:v>
                </c:pt>
                <c:pt idx="1033">
                  <c:v>33</c:v>
                </c:pt>
                <c:pt idx="1034">
                  <c:v>22</c:v>
                </c:pt>
                <c:pt idx="1035">
                  <c:v>44</c:v>
                </c:pt>
                <c:pt idx="1036">
                  <c:v>44</c:v>
                </c:pt>
                <c:pt idx="1037">
                  <c:v>-26</c:v>
                </c:pt>
                <c:pt idx="1038">
                  <c:v>-8</c:v>
                </c:pt>
                <c:pt idx="1039">
                  <c:v>16</c:v>
                </c:pt>
                <c:pt idx="1040">
                  <c:v>-114</c:v>
                </c:pt>
                <c:pt idx="1041">
                  <c:v>28</c:v>
                </c:pt>
                <c:pt idx="1042">
                  <c:v>1</c:v>
                </c:pt>
                <c:pt idx="1043">
                  <c:v>-2</c:v>
                </c:pt>
                <c:pt idx="1044">
                  <c:v>-64</c:v>
                </c:pt>
                <c:pt idx="1045">
                  <c:v>-3</c:v>
                </c:pt>
                <c:pt idx="1046">
                  <c:v>48</c:v>
                </c:pt>
                <c:pt idx="1047">
                  <c:v>36</c:v>
                </c:pt>
                <c:pt idx="1048">
                  <c:v>47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13</c:v>
                </c:pt>
                <c:pt idx="1053">
                  <c:v>13</c:v>
                </c:pt>
                <c:pt idx="1054">
                  <c:v>-14</c:v>
                </c:pt>
                <c:pt idx="1055">
                  <c:v>52</c:v>
                </c:pt>
                <c:pt idx="1056">
                  <c:v>29</c:v>
                </c:pt>
                <c:pt idx="1057">
                  <c:v>13</c:v>
                </c:pt>
                <c:pt idx="1058">
                  <c:v>9</c:v>
                </c:pt>
                <c:pt idx="1059">
                  <c:v>11</c:v>
                </c:pt>
                <c:pt idx="1060">
                  <c:v>50</c:v>
                </c:pt>
                <c:pt idx="1061">
                  <c:v>-51</c:v>
                </c:pt>
                <c:pt idx="1062">
                  <c:v>39</c:v>
                </c:pt>
                <c:pt idx="1063">
                  <c:v>14</c:v>
                </c:pt>
                <c:pt idx="1064">
                  <c:v>0</c:v>
                </c:pt>
                <c:pt idx="1065">
                  <c:v>6</c:v>
                </c:pt>
                <c:pt idx="1066">
                  <c:v>16</c:v>
                </c:pt>
                <c:pt idx="1067">
                  <c:v>-36</c:v>
                </c:pt>
                <c:pt idx="1068">
                  <c:v>12</c:v>
                </c:pt>
                <c:pt idx="1069">
                  <c:v>-6</c:v>
                </c:pt>
                <c:pt idx="1070">
                  <c:v>-44</c:v>
                </c:pt>
                <c:pt idx="1071">
                  <c:v>-2</c:v>
                </c:pt>
                <c:pt idx="1072">
                  <c:v>140</c:v>
                </c:pt>
                <c:pt idx="1073">
                  <c:v>138</c:v>
                </c:pt>
                <c:pt idx="1074">
                  <c:v>4</c:v>
                </c:pt>
                <c:pt idx="1075">
                  <c:v>-2</c:v>
                </c:pt>
                <c:pt idx="1076">
                  <c:v>75</c:v>
                </c:pt>
                <c:pt idx="1077">
                  <c:v>28</c:v>
                </c:pt>
                <c:pt idx="1078">
                  <c:v>2</c:v>
                </c:pt>
                <c:pt idx="1079">
                  <c:v>-270</c:v>
                </c:pt>
                <c:pt idx="1080">
                  <c:v>-147</c:v>
                </c:pt>
                <c:pt idx="1081">
                  <c:v>-64</c:v>
                </c:pt>
                <c:pt idx="1082">
                  <c:v>11</c:v>
                </c:pt>
                <c:pt idx="1083">
                  <c:v>14</c:v>
                </c:pt>
                <c:pt idx="1084">
                  <c:v>312</c:v>
                </c:pt>
                <c:pt idx="1085">
                  <c:v>-280</c:v>
                </c:pt>
                <c:pt idx="1086">
                  <c:v>10</c:v>
                </c:pt>
                <c:pt idx="1087">
                  <c:v>-180</c:v>
                </c:pt>
                <c:pt idx="1088">
                  <c:v>-31</c:v>
                </c:pt>
                <c:pt idx="1089">
                  <c:v>-10</c:v>
                </c:pt>
                <c:pt idx="1090">
                  <c:v>5</c:v>
                </c:pt>
                <c:pt idx="1091">
                  <c:v>-27</c:v>
                </c:pt>
                <c:pt idx="1092">
                  <c:v>144</c:v>
                </c:pt>
                <c:pt idx="1093">
                  <c:v>2</c:v>
                </c:pt>
                <c:pt idx="1094">
                  <c:v>-12</c:v>
                </c:pt>
                <c:pt idx="1095">
                  <c:v>26</c:v>
                </c:pt>
                <c:pt idx="1096">
                  <c:v>-5</c:v>
                </c:pt>
                <c:pt idx="1097">
                  <c:v>-39</c:v>
                </c:pt>
                <c:pt idx="1098">
                  <c:v>17</c:v>
                </c:pt>
                <c:pt idx="1099">
                  <c:v>21</c:v>
                </c:pt>
                <c:pt idx="1100">
                  <c:v>50</c:v>
                </c:pt>
                <c:pt idx="1101">
                  <c:v>42</c:v>
                </c:pt>
                <c:pt idx="1102">
                  <c:v>44</c:v>
                </c:pt>
                <c:pt idx="1103">
                  <c:v>0</c:v>
                </c:pt>
                <c:pt idx="1104">
                  <c:v>-15</c:v>
                </c:pt>
                <c:pt idx="1105">
                  <c:v>160</c:v>
                </c:pt>
                <c:pt idx="1106">
                  <c:v>11</c:v>
                </c:pt>
                <c:pt idx="1107">
                  <c:v>13</c:v>
                </c:pt>
                <c:pt idx="1108">
                  <c:v>28</c:v>
                </c:pt>
                <c:pt idx="1109">
                  <c:v>7</c:v>
                </c:pt>
                <c:pt idx="1110">
                  <c:v>-3</c:v>
                </c:pt>
                <c:pt idx="1111">
                  <c:v>-13</c:v>
                </c:pt>
                <c:pt idx="1112">
                  <c:v>52</c:v>
                </c:pt>
                <c:pt idx="1113">
                  <c:v>58</c:v>
                </c:pt>
                <c:pt idx="1114">
                  <c:v>-1</c:v>
                </c:pt>
                <c:pt idx="1115">
                  <c:v>-25</c:v>
                </c:pt>
                <c:pt idx="1116">
                  <c:v>74</c:v>
                </c:pt>
                <c:pt idx="1117">
                  <c:v>-154</c:v>
                </c:pt>
                <c:pt idx="1118">
                  <c:v>-34</c:v>
                </c:pt>
                <c:pt idx="1119">
                  <c:v>38</c:v>
                </c:pt>
                <c:pt idx="1120">
                  <c:v>0</c:v>
                </c:pt>
                <c:pt idx="1121">
                  <c:v>74</c:v>
                </c:pt>
                <c:pt idx="1122">
                  <c:v>32</c:v>
                </c:pt>
                <c:pt idx="1123">
                  <c:v>59</c:v>
                </c:pt>
                <c:pt idx="1124">
                  <c:v>30</c:v>
                </c:pt>
                <c:pt idx="1125">
                  <c:v>12</c:v>
                </c:pt>
                <c:pt idx="1126">
                  <c:v>-26</c:v>
                </c:pt>
                <c:pt idx="1127">
                  <c:v>25</c:v>
                </c:pt>
                <c:pt idx="1128">
                  <c:v>11</c:v>
                </c:pt>
                <c:pt idx="1129">
                  <c:v>13</c:v>
                </c:pt>
                <c:pt idx="1130">
                  <c:v>21</c:v>
                </c:pt>
                <c:pt idx="1131">
                  <c:v>27</c:v>
                </c:pt>
                <c:pt idx="1132">
                  <c:v>6</c:v>
                </c:pt>
                <c:pt idx="1133">
                  <c:v>10</c:v>
                </c:pt>
                <c:pt idx="1134">
                  <c:v>-24</c:v>
                </c:pt>
                <c:pt idx="1135">
                  <c:v>-22</c:v>
                </c:pt>
                <c:pt idx="1136">
                  <c:v>16</c:v>
                </c:pt>
                <c:pt idx="1137">
                  <c:v>17</c:v>
                </c:pt>
                <c:pt idx="1138">
                  <c:v>-7</c:v>
                </c:pt>
                <c:pt idx="1139">
                  <c:v>74</c:v>
                </c:pt>
                <c:pt idx="1140">
                  <c:v>-26</c:v>
                </c:pt>
                <c:pt idx="1141">
                  <c:v>18</c:v>
                </c:pt>
                <c:pt idx="1142">
                  <c:v>-18</c:v>
                </c:pt>
                <c:pt idx="1143">
                  <c:v>7</c:v>
                </c:pt>
                <c:pt idx="1144">
                  <c:v>-37</c:v>
                </c:pt>
                <c:pt idx="1145">
                  <c:v>14</c:v>
                </c:pt>
                <c:pt idx="1146">
                  <c:v>-4</c:v>
                </c:pt>
                <c:pt idx="1147">
                  <c:v>139</c:v>
                </c:pt>
                <c:pt idx="1148">
                  <c:v>18</c:v>
                </c:pt>
                <c:pt idx="1149">
                  <c:v>9</c:v>
                </c:pt>
                <c:pt idx="1150">
                  <c:v>10</c:v>
                </c:pt>
                <c:pt idx="1151">
                  <c:v>4</c:v>
                </c:pt>
                <c:pt idx="1152">
                  <c:v>-94</c:v>
                </c:pt>
                <c:pt idx="1153">
                  <c:v>15</c:v>
                </c:pt>
                <c:pt idx="1154">
                  <c:v>24</c:v>
                </c:pt>
                <c:pt idx="1155">
                  <c:v>115</c:v>
                </c:pt>
                <c:pt idx="1156">
                  <c:v>33</c:v>
                </c:pt>
                <c:pt idx="1157">
                  <c:v>62</c:v>
                </c:pt>
                <c:pt idx="1158">
                  <c:v>-4</c:v>
                </c:pt>
                <c:pt idx="1159">
                  <c:v>90</c:v>
                </c:pt>
                <c:pt idx="1160">
                  <c:v>137</c:v>
                </c:pt>
                <c:pt idx="1161">
                  <c:v>-17</c:v>
                </c:pt>
                <c:pt idx="1162">
                  <c:v>127</c:v>
                </c:pt>
                <c:pt idx="1163">
                  <c:v>-7</c:v>
                </c:pt>
                <c:pt idx="1164">
                  <c:v>-10</c:v>
                </c:pt>
                <c:pt idx="1165">
                  <c:v>73</c:v>
                </c:pt>
                <c:pt idx="1166">
                  <c:v>208</c:v>
                </c:pt>
                <c:pt idx="1167">
                  <c:v>26</c:v>
                </c:pt>
                <c:pt idx="1168">
                  <c:v>31</c:v>
                </c:pt>
                <c:pt idx="1169">
                  <c:v>-56</c:v>
                </c:pt>
                <c:pt idx="1170">
                  <c:v>16</c:v>
                </c:pt>
                <c:pt idx="1171">
                  <c:v>-143</c:v>
                </c:pt>
                <c:pt idx="1172">
                  <c:v>3</c:v>
                </c:pt>
                <c:pt idx="1173">
                  <c:v>59</c:v>
                </c:pt>
                <c:pt idx="1174">
                  <c:v>33</c:v>
                </c:pt>
                <c:pt idx="1175">
                  <c:v>46</c:v>
                </c:pt>
                <c:pt idx="1176">
                  <c:v>-13</c:v>
                </c:pt>
                <c:pt idx="1177">
                  <c:v>63</c:v>
                </c:pt>
                <c:pt idx="1178">
                  <c:v>12</c:v>
                </c:pt>
                <c:pt idx="1179">
                  <c:v>56</c:v>
                </c:pt>
                <c:pt idx="1180">
                  <c:v>3</c:v>
                </c:pt>
                <c:pt idx="1181">
                  <c:v>-67</c:v>
                </c:pt>
                <c:pt idx="1182">
                  <c:v>-83</c:v>
                </c:pt>
                <c:pt idx="1183">
                  <c:v>-43</c:v>
                </c:pt>
                <c:pt idx="1184">
                  <c:v>21</c:v>
                </c:pt>
                <c:pt idx="1185">
                  <c:v>146</c:v>
                </c:pt>
                <c:pt idx="1186">
                  <c:v>-22</c:v>
                </c:pt>
                <c:pt idx="1187">
                  <c:v>-12</c:v>
                </c:pt>
                <c:pt idx="1188">
                  <c:v>28</c:v>
                </c:pt>
                <c:pt idx="1189">
                  <c:v>-27</c:v>
                </c:pt>
                <c:pt idx="1190">
                  <c:v>8</c:v>
                </c:pt>
                <c:pt idx="1191">
                  <c:v>55</c:v>
                </c:pt>
                <c:pt idx="1192">
                  <c:v>74</c:v>
                </c:pt>
                <c:pt idx="1193">
                  <c:v>13</c:v>
                </c:pt>
                <c:pt idx="1194">
                  <c:v>14</c:v>
                </c:pt>
                <c:pt idx="1195">
                  <c:v>1</c:v>
                </c:pt>
                <c:pt idx="1196">
                  <c:v>10</c:v>
                </c:pt>
                <c:pt idx="1197">
                  <c:v>-23</c:v>
                </c:pt>
                <c:pt idx="1198">
                  <c:v>179</c:v>
                </c:pt>
                <c:pt idx="1199">
                  <c:v>203</c:v>
                </c:pt>
                <c:pt idx="1200">
                  <c:v>-25</c:v>
                </c:pt>
                <c:pt idx="1201">
                  <c:v>183</c:v>
                </c:pt>
                <c:pt idx="1202">
                  <c:v>56</c:v>
                </c:pt>
                <c:pt idx="1203">
                  <c:v>28</c:v>
                </c:pt>
                <c:pt idx="1204">
                  <c:v>17</c:v>
                </c:pt>
                <c:pt idx="1205">
                  <c:v>-8</c:v>
                </c:pt>
                <c:pt idx="1206">
                  <c:v>136</c:v>
                </c:pt>
                <c:pt idx="1207">
                  <c:v>-34</c:v>
                </c:pt>
                <c:pt idx="1208">
                  <c:v>10</c:v>
                </c:pt>
                <c:pt idx="1209">
                  <c:v>9</c:v>
                </c:pt>
                <c:pt idx="1210">
                  <c:v>31</c:v>
                </c:pt>
                <c:pt idx="1211">
                  <c:v>6</c:v>
                </c:pt>
                <c:pt idx="1212">
                  <c:v>-12</c:v>
                </c:pt>
                <c:pt idx="1213">
                  <c:v>3</c:v>
                </c:pt>
                <c:pt idx="1214">
                  <c:v>6</c:v>
                </c:pt>
                <c:pt idx="1215">
                  <c:v>77</c:v>
                </c:pt>
                <c:pt idx="1216">
                  <c:v>10</c:v>
                </c:pt>
                <c:pt idx="1217">
                  <c:v>68</c:v>
                </c:pt>
                <c:pt idx="1218">
                  <c:v>137</c:v>
                </c:pt>
                <c:pt idx="1219">
                  <c:v>0</c:v>
                </c:pt>
                <c:pt idx="1220">
                  <c:v>-6</c:v>
                </c:pt>
                <c:pt idx="1221">
                  <c:v>63</c:v>
                </c:pt>
                <c:pt idx="1222">
                  <c:v>-44</c:v>
                </c:pt>
                <c:pt idx="1223">
                  <c:v>-33</c:v>
                </c:pt>
                <c:pt idx="1224">
                  <c:v>18</c:v>
                </c:pt>
                <c:pt idx="1225">
                  <c:v>0</c:v>
                </c:pt>
                <c:pt idx="1226">
                  <c:v>9</c:v>
                </c:pt>
                <c:pt idx="1227">
                  <c:v>-113</c:v>
                </c:pt>
                <c:pt idx="1228">
                  <c:v>-10</c:v>
                </c:pt>
                <c:pt idx="1229">
                  <c:v>-3</c:v>
                </c:pt>
                <c:pt idx="1230">
                  <c:v>15</c:v>
                </c:pt>
                <c:pt idx="1231">
                  <c:v>-25</c:v>
                </c:pt>
                <c:pt idx="1232">
                  <c:v>6</c:v>
                </c:pt>
                <c:pt idx="1233">
                  <c:v>0</c:v>
                </c:pt>
                <c:pt idx="1234">
                  <c:v>5</c:v>
                </c:pt>
                <c:pt idx="1235">
                  <c:v>-146</c:v>
                </c:pt>
                <c:pt idx="1236">
                  <c:v>-128</c:v>
                </c:pt>
                <c:pt idx="1237">
                  <c:v>81</c:v>
                </c:pt>
                <c:pt idx="1238">
                  <c:v>85</c:v>
                </c:pt>
                <c:pt idx="1239">
                  <c:v>54</c:v>
                </c:pt>
                <c:pt idx="1240">
                  <c:v>11</c:v>
                </c:pt>
                <c:pt idx="1241">
                  <c:v>0</c:v>
                </c:pt>
                <c:pt idx="1242">
                  <c:v>-18</c:v>
                </c:pt>
                <c:pt idx="1243">
                  <c:v>85</c:v>
                </c:pt>
                <c:pt idx="1244">
                  <c:v>-43</c:v>
                </c:pt>
                <c:pt idx="1245">
                  <c:v>131</c:v>
                </c:pt>
                <c:pt idx="1246">
                  <c:v>-5</c:v>
                </c:pt>
                <c:pt idx="1247">
                  <c:v>-10</c:v>
                </c:pt>
                <c:pt idx="1248">
                  <c:v>-13</c:v>
                </c:pt>
                <c:pt idx="1249">
                  <c:v>194</c:v>
                </c:pt>
                <c:pt idx="1250">
                  <c:v>-53</c:v>
                </c:pt>
                <c:pt idx="1251">
                  <c:v>215</c:v>
                </c:pt>
                <c:pt idx="1252">
                  <c:v>69</c:v>
                </c:pt>
                <c:pt idx="1253">
                  <c:v>-19</c:v>
                </c:pt>
                <c:pt idx="1254">
                  <c:v>-10</c:v>
                </c:pt>
                <c:pt idx="1255">
                  <c:v>52</c:v>
                </c:pt>
                <c:pt idx="1256">
                  <c:v>-174</c:v>
                </c:pt>
                <c:pt idx="1257">
                  <c:v>26</c:v>
                </c:pt>
                <c:pt idx="1258">
                  <c:v>44</c:v>
                </c:pt>
                <c:pt idx="1259">
                  <c:v>108</c:v>
                </c:pt>
                <c:pt idx="1260">
                  <c:v>2</c:v>
                </c:pt>
                <c:pt idx="1261">
                  <c:v>3</c:v>
                </c:pt>
                <c:pt idx="1262">
                  <c:v>-3</c:v>
                </c:pt>
                <c:pt idx="1263">
                  <c:v>14</c:v>
                </c:pt>
                <c:pt idx="1264">
                  <c:v>139</c:v>
                </c:pt>
                <c:pt idx="1265">
                  <c:v>-24</c:v>
                </c:pt>
                <c:pt idx="1266">
                  <c:v>213</c:v>
                </c:pt>
                <c:pt idx="1267">
                  <c:v>72</c:v>
                </c:pt>
                <c:pt idx="1268">
                  <c:v>90</c:v>
                </c:pt>
                <c:pt idx="1269">
                  <c:v>92</c:v>
                </c:pt>
                <c:pt idx="1270">
                  <c:v>93</c:v>
                </c:pt>
                <c:pt idx="1271">
                  <c:v>97</c:v>
                </c:pt>
                <c:pt idx="1272">
                  <c:v>90</c:v>
                </c:pt>
                <c:pt idx="1273">
                  <c:v>-10</c:v>
                </c:pt>
                <c:pt idx="1274">
                  <c:v>12</c:v>
                </c:pt>
                <c:pt idx="1275">
                  <c:v>-102</c:v>
                </c:pt>
                <c:pt idx="1276">
                  <c:v>113</c:v>
                </c:pt>
                <c:pt idx="1277">
                  <c:v>-69</c:v>
                </c:pt>
                <c:pt idx="1278">
                  <c:v>37</c:v>
                </c:pt>
                <c:pt idx="1279">
                  <c:v>4</c:v>
                </c:pt>
                <c:pt idx="1280">
                  <c:v>-444</c:v>
                </c:pt>
                <c:pt idx="1281">
                  <c:v>6</c:v>
                </c:pt>
                <c:pt idx="1282">
                  <c:v>-1</c:v>
                </c:pt>
                <c:pt idx="1283">
                  <c:v>-20</c:v>
                </c:pt>
                <c:pt idx="1284">
                  <c:v>5</c:v>
                </c:pt>
                <c:pt idx="1285">
                  <c:v>4</c:v>
                </c:pt>
                <c:pt idx="1286">
                  <c:v>-349</c:v>
                </c:pt>
                <c:pt idx="1287">
                  <c:v>166</c:v>
                </c:pt>
                <c:pt idx="1288">
                  <c:v>-204</c:v>
                </c:pt>
                <c:pt idx="1289">
                  <c:v>9</c:v>
                </c:pt>
                <c:pt idx="1290">
                  <c:v>-6</c:v>
                </c:pt>
                <c:pt idx="1291">
                  <c:v>212</c:v>
                </c:pt>
                <c:pt idx="1292">
                  <c:v>110</c:v>
                </c:pt>
                <c:pt idx="1293">
                  <c:v>-25</c:v>
                </c:pt>
                <c:pt idx="1294">
                  <c:v>-114</c:v>
                </c:pt>
                <c:pt idx="1295">
                  <c:v>-45</c:v>
                </c:pt>
                <c:pt idx="1296">
                  <c:v>13</c:v>
                </c:pt>
                <c:pt idx="1297">
                  <c:v>-27</c:v>
                </c:pt>
                <c:pt idx="1298">
                  <c:v>2</c:v>
                </c:pt>
                <c:pt idx="1299">
                  <c:v>-633</c:v>
                </c:pt>
                <c:pt idx="1300">
                  <c:v>9</c:v>
                </c:pt>
                <c:pt idx="1301">
                  <c:v>93</c:v>
                </c:pt>
                <c:pt idx="1302">
                  <c:v>80</c:v>
                </c:pt>
                <c:pt idx="1303">
                  <c:v>261</c:v>
                </c:pt>
                <c:pt idx="1304">
                  <c:v>15</c:v>
                </c:pt>
                <c:pt idx="1305">
                  <c:v>7</c:v>
                </c:pt>
                <c:pt idx="1306">
                  <c:v>195</c:v>
                </c:pt>
                <c:pt idx="1307">
                  <c:v>12</c:v>
                </c:pt>
                <c:pt idx="1308">
                  <c:v>-24</c:v>
                </c:pt>
                <c:pt idx="1309">
                  <c:v>7</c:v>
                </c:pt>
                <c:pt idx="1310">
                  <c:v>-30</c:v>
                </c:pt>
                <c:pt idx="1311">
                  <c:v>-12</c:v>
                </c:pt>
                <c:pt idx="1312">
                  <c:v>-2</c:v>
                </c:pt>
                <c:pt idx="1313">
                  <c:v>169</c:v>
                </c:pt>
                <c:pt idx="1314">
                  <c:v>107</c:v>
                </c:pt>
                <c:pt idx="1315">
                  <c:v>-6</c:v>
                </c:pt>
                <c:pt idx="1316">
                  <c:v>5</c:v>
                </c:pt>
                <c:pt idx="1317">
                  <c:v>240</c:v>
                </c:pt>
                <c:pt idx="1318">
                  <c:v>-23</c:v>
                </c:pt>
                <c:pt idx="1319">
                  <c:v>9</c:v>
                </c:pt>
                <c:pt idx="1320">
                  <c:v>1</c:v>
                </c:pt>
                <c:pt idx="1321">
                  <c:v>-3</c:v>
                </c:pt>
                <c:pt idx="1322">
                  <c:v>2</c:v>
                </c:pt>
                <c:pt idx="1323">
                  <c:v>-26</c:v>
                </c:pt>
                <c:pt idx="1324">
                  <c:v>5</c:v>
                </c:pt>
                <c:pt idx="1325">
                  <c:v>-15</c:v>
                </c:pt>
                <c:pt idx="1326">
                  <c:v>11</c:v>
                </c:pt>
                <c:pt idx="1327">
                  <c:v>-6</c:v>
                </c:pt>
                <c:pt idx="1328">
                  <c:v>193</c:v>
                </c:pt>
                <c:pt idx="1329">
                  <c:v>-103</c:v>
                </c:pt>
                <c:pt idx="1330">
                  <c:v>-3</c:v>
                </c:pt>
                <c:pt idx="1331">
                  <c:v>3</c:v>
                </c:pt>
                <c:pt idx="1332">
                  <c:v>-56</c:v>
                </c:pt>
                <c:pt idx="1333">
                  <c:v>169</c:v>
                </c:pt>
                <c:pt idx="1334">
                  <c:v>203</c:v>
                </c:pt>
                <c:pt idx="1335">
                  <c:v>4</c:v>
                </c:pt>
                <c:pt idx="1336">
                  <c:v>43</c:v>
                </c:pt>
                <c:pt idx="1337">
                  <c:v>-447</c:v>
                </c:pt>
                <c:pt idx="1338">
                  <c:v>253</c:v>
                </c:pt>
                <c:pt idx="1339">
                  <c:v>10</c:v>
                </c:pt>
                <c:pt idx="1340">
                  <c:v>-2</c:v>
                </c:pt>
                <c:pt idx="1341">
                  <c:v>-8</c:v>
                </c:pt>
                <c:pt idx="1342">
                  <c:v>31</c:v>
                </c:pt>
                <c:pt idx="1343">
                  <c:v>-153</c:v>
                </c:pt>
                <c:pt idx="1344">
                  <c:v>8</c:v>
                </c:pt>
                <c:pt idx="1345">
                  <c:v>-5</c:v>
                </c:pt>
                <c:pt idx="1346">
                  <c:v>8</c:v>
                </c:pt>
                <c:pt idx="1347">
                  <c:v>89</c:v>
                </c:pt>
                <c:pt idx="1348">
                  <c:v>-15</c:v>
                </c:pt>
                <c:pt idx="1349">
                  <c:v>594</c:v>
                </c:pt>
                <c:pt idx="1350">
                  <c:v>-2</c:v>
                </c:pt>
                <c:pt idx="1351">
                  <c:v>2</c:v>
                </c:pt>
                <c:pt idx="1352">
                  <c:v>43</c:v>
                </c:pt>
                <c:pt idx="1353">
                  <c:v>52</c:v>
                </c:pt>
                <c:pt idx="1354">
                  <c:v>-66</c:v>
                </c:pt>
                <c:pt idx="1355">
                  <c:v>4</c:v>
                </c:pt>
                <c:pt idx="1356">
                  <c:v>180</c:v>
                </c:pt>
                <c:pt idx="1357">
                  <c:v>-353</c:v>
                </c:pt>
                <c:pt idx="1358">
                  <c:v>323</c:v>
                </c:pt>
                <c:pt idx="1359">
                  <c:v>-17</c:v>
                </c:pt>
                <c:pt idx="1360">
                  <c:v>-6</c:v>
                </c:pt>
                <c:pt idx="1361">
                  <c:v>187</c:v>
                </c:pt>
                <c:pt idx="1362">
                  <c:v>-96</c:v>
                </c:pt>
                <c:pt idx="1363">
                  <c:v>2</c:v>
                </c:pt>
                <c:pt idx="1364">
                  <c:v>120</c:v>
                </c:pt>
                <c:pt idx="1365">
                  <c:v>154</c:v>
                </c:pt>
                <c:pt idx="1366">
                  <c:v>267</c:v>
                </c:pt>
                <c:pt idx="1367">
                  <c:v>-5</c:v>
                </c:pt>
                <c:pt idx="1368">
                  <c:v>-190</c:v>
                </c:pt>
                <c:pt idx="1369">
                  <c:v>-1</c:v>
                </c:pt>
                <c:pt idx="1370">
                  <c:v>0</c:v>
                </c:pt>
                <c:pt idx="1371">
                  <c:v>93</c:v>
                </c:pt>
                <c:pt idx="1372">
                  <c:v>6</c:v>
                </c:pt>
                <c:pt idx="1373">
                  <c:v>-5</c:v>
                </c:pt>
                <c:pt idx="1374">
                  <c:v>-242</c:v>
                </c:pt>
                <c:pt idx="1375">
                  <c:v>-91</c:v>
                </c:pt>
                <c:pt idx="1376">
                  <c:v>9</c:v>
                </c:pt>
                <c:pt idx="1377">
                  <c:v>385</c:v>
                </c:pt>
                <c:pt idx="1378">
                  <c:v>131</c:v>
                </c:pt>
                <c:pt idx="1379">
                  <c:v>-18</c:v>
                </c:pt>
                <c:pt idx="1380">
                  <c:v>-66</c:v>
                </c:pt>
                <c:pt idx="1381">
                  <c:v>97</c:v>
                </c:pt>
                <c:pt idx="1382">
                  <c:v>-8</c:v>
                </c:pt>
                <c:pt idx="1383">
                  <c:v>11</c:v>
                </c:pt>
                <c:pt idx="1384">
                  <c:v>4</c:v>
                </c:pt>
                <c:pt idx="1385">
                  <c:v>1</c:v>
                </c:pt>
                <c:pt idx="1386">
                  <c:v>202</c:v>
                </c:pt>
                <c:pt idx="1387">
                  <c:v>2</c:v>
                </c:pt>
                <c:pt idx="1388">
                  <c:v>355</c:v>
                </c:pt>
                <c:pt idx="1389">
                  <c:v>-129</c:v>
                </c:pt>
                <c:pt idx="1390">
                  <c:v>22</c:v>
                </c:pt>
                <c:pt idx="1391">
                  <c:v>-447</c:v>
                </c:pt>
                <c:pt idx="1392">
                  <c:v>8</c:v>
                </c:pt>
                <c:pt idx="1393">
                  <c:v>207</c:v>
                </c:pt>
                <c:pt idx="1394">
                  <c:v>-9</c:v>
                </c:pt>
                <c:pt idx="1395">
                  <c:v>114</c:v>
                </c:pt>
                <c:pt idx="1396">
                  <c:v>-10</c:v>
                </c:pt>
                <c:pt idx="1397">
                  <c:v>95</c:v>
                </c:pt>
                <c:pt idx="1398">
                  <c:v>-99</c:v>
                </c:pt>
                <c:pt idx="1399">
                  <c:v>305</c:v>
                </c:pt>
                <c:pt idx="1400">
                  <c:v>293</c:v>
                </c:pt>
                <c:pt idx="1401">
                  <c:v>0</c:v>
                </c:pt>
                <c:pt idx="1402">
                  <c:v>-15</c:v>
                </c:pt>
                <c:pt idx="1403">
                  <c:v>6</c:v>
                </c:pt>
                <c:pt idx="1404">
                  <c:v>206</c:v>
                </c:pt>
                <c:pt idx="1405">
                  <c:v>82</c:v>
                </c:pt>
                <c:pt idx="1406">
                  <c:v>8</c:v>
                </c:pt>
                <c:pt idx="1407">
                  <c:v>8</c:v>
                </c:pt>
                <c:pt idx="1408">
                  <c:v>-130</c:v>
                </c:pt>
                <c:pt idx="1409">
                  <c:v>6</c:v>
                </c:pt>
                <c:pt idx="1410">
                  <c:v>197</c:v>
                </c:pt>
                <c:pt idx="1411">
                  <c:v>1</c:v>
                </c:pt>
                <c:pt idx="1412">
                  <c:v>-38</c:v>
                </c:pt>
                <c:pt idx="1413">
                  <c:v>2</c:v>
                </c:pt>
                <c:pt idx="1414">
                  <c:v>352</c:v>
                </c:pt>
                <c:pt idx="1415">
                  <c:v>2</c:v>
                </c:pt>
                <c:pt idx="1416">
                  <c:v>209</c:v>
                </c:pt>
                <c:pt idx="1417">
                  <c:v>2</c:v>
                </c:pt>
                <c:pt idx="1418">
                  <c:v>5</c:v>
                </c:pt>
                <c:pt idx="1419">
                  <c:v>-3</c:v>
                </c:pt>
                <c:pt idx="1420">
                  <c:v>-1</c:v>
                </c:pt>
                <c:pt idx="1421">
                  <c:v>-8</c:v>
                </c:pt>
                <c:pt idx="1422">
                  <c:v>-1</c:v>
                </c:pt>
                <c:pt idx="1423">
                  <c:v>1148</c:v>
                </c:pt>
                <c:pt idx="1424">
                  <c:v>1</c:v>
                </c:pt>
                <c:pt idx="1425">
                  <c:v>0</c:v>
                </c:pt>
                <c:pt idx="1426">
                  <c:v>546</c:v>
                </c:pt>
                <c:pt idx="1427">
                  <c:v>-2</c:v>
                </c:pt>
                <c:pt idx="1428">
                  <c:v>3</c:v>
                </c:pt>
                <c:pt idx="1429">
                  <c:v>5</c:v>
                </c:pt>
                <c:pt idx="1430">
                  <c:v>-13</c:v>
                </c:pt>
                <c:pt idx="1431">
                  <c:v>-9</c:v>
                </c:pt>
                <c:pt idx="1432">
                  <c:v>-56</c:v>
                </c:pt>
                <c:pt idx="1433">
                  <c:v>-153</c:v>
                </c:pt>
                <c:pt idx="1434">
                  <c:v>7</c:v>
                </c:pt>
                <c:pt idx="1435">
                  <c:v>2</c:v>
                </c:pt>
                <c:pt idx="1436">
                  <c:v>-12</c:v>
                </c:pt>
                <c:pt idx="1437">
                  <c:v>-11</c:v>
                </c:pt>
                <c:pt idx="1438">
                  <c:v>-244</c:v>
                </c:pt>
                <c:pt idx="1439">
                  <c:v>62</c:v>
                </c:pt>
                <c:pt idx="1440">
                  <c:v>1</c:v>
                </c:pt>
                <c:pt idx="1441">
                  <c:v>-4</c:v>
                </c:pt>
                <c:pt idx="1442">
                  <c:v>318</c:v>
                </c:pt>
                <c:pt idx="1443">
                  <c:v>567</c:v>
                </c:pt>
                <c:pt idx="1444">
                  <c:v>109</c:v>
                </c:pt>
                <c:pt idx="1445">
                  <c:v>742</c:v>
                </c:pt>
                <c:pt idx="1446">
                  <c:v>111</c:v>
                </c:pt>
                <c:pt idx="1447">
                  <c:v>-60</c:v>
                </c:pt>
                <c:pt idx="1448">
                  <c:v>2</c:v>
                </c:pt>
                <c:pt idx="1449">
                  <c:v>-2</c:v>
                </c:pt>
                <c:pt idx="1450">
                  <c:v>-443</c:v>
                </c:pt>
                <c:pt idx="1451">
                  <c:v>352</c:v>
                </c:pt>
                <c:pt idx="1452">
                  <c:v>315</c:v>
                </c:pt>
                <c:pt idx="1453">
                  <c:v>346</c:v>
                </c:pt>
                <c:pt idx="1454">
                  <c:v>-420</c:v>
                </c:pt>
                <c:pt idx="1455">
                  <c:v>441</c:v>
                </c:pt>
                <c:pt idx="1456">
                  <c:v>5</c:v>
                </c:pt>
                <c:pt idx="1457">
                  <c:v>552</c:v>
                </c:pt>
                <c:pt idx="1458">
                  <c:v>-6</c:v>
                </c:pt>
                <c:pt idx="1459">
                  <c:v>-12</c:v>
                </c:pt>
                <c:pt idx="1460">
                  <c:v>3</c:v>
                </c:pt>
                <c:pt idx="1461">
                  <c:v>421</c:v>
                </c:pt>
                <c:pt idx="1462">
                  <c:v>568</c:v>
                </c:pt>
                <c:pt idx="1463">
                  <c:v>-9</c:v>
                </c:pt>
                <c:pt idx="1464">
                  <c:v>-7</c:v>
                </c:pt>
                <c:pt idx="1465">
                  <c:v>5</c:v>
                </c:pt>
                <c:pt idx="1466">
                  <c:v>7</c:v>
                </c:pt>
                <c:pt idx="1467">
                  <c:v>-2</c:v>
                </c:pt>
                <c:pt idx="1468">
                  <c:v>680</c:v>
                </c:pt>
                <c:pt idx="1469">
                  <c:v>-1</c:v>
                </c:pt>
                <c:pt idx="1470">
                  <c:v>-2</c:v>
                </c:pt>
                <c:pt idx="1471">
                  <c:v>4</c:v>
                </c:pt>
                <c:pt idx="1472">
                  <c:v>-6</c:v>
                </c:pt>
                <c:pt idx="1473">
                  <c:v>2</c:v>
                </c:pt>
                <c:pt idx="1474">
                  <c:v>309</c:v>
                </c:pt>
                <c:pt idx="1475">
                  <c:v>447</c:v>
                </c:pt>
                <c:pt idx="1476">
                  <c:v>-6</c:v>
                </c:pt>
                <c:pt idx="1477">
                  <c:v>503</c:v>
                </c:pt>
                <c:pt idx="1478">
                  <c:v>-4</c:v>
                </c:pt>
                <c:pt idx="1479">
                  <c:v>-2</c:v>
                </c:pt>
                <c:pt idx="1480">
                  <c:v>701</c:v>
                </c:pt>
                <c:pt idx="1481">
                  <c:v>276</c:v>
                </c:pt>
                <c:pt idx="1482">
                  <c:v>322</c:v>
                </c:pt>
                <c:pt idx="1483">
                  <c:v>23</c:v>
                </c:pt>
                <c:pt idx="1484">
                  <c:v>-289</c:v>
                </c:pt>
                <c:pt idx="1485">
                  <c:v>64</c:v>
                </c:pt>
                <c:pt idx="1486">
                  <c:v>-175</c:v>
                </c:pt>
                <c:pt idx="1487">
                  <c:v>127</c:v>
                </c:pt>
                <c:pt idx="1488">
                  <c:v>-1</c:v>
                </c:pt>
                <c:pt idx="1489">
                  <c:v>191</c:v>
                </c:pt>
                <c:pt idx="1490">
                  <c:v>665</c:v>
                </c:pt>
                <c:pt idx="1491">
                  <c:v>-3</c:v>
                </c:pt>
                <c:pt idx="1492">
                  <c:v>-1981</c:v>
                </c:pt>
                <c:pt idx="1493">
                  <c:v>1</c:v>
                </c:pt>
                <c:pt idx="1494">
                  <c:v>0</c:v>
                </c:pt>
                <c:pt idx="1495">
                  <c:v>-3</c:v>
                </c:pt>
                <c:pt idx="1496">
                  <c:v>-35</c:v>
                </c:pt>
                <c:pt idx="1497">
                  <c:v>1698</c:v>
                </c:pt>
                <c:pt idx="1498">
                  <c:v>-2</c:v>
                </c:pt>
                <c:pt idx="1499">
                  <c:v>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51-46EE-86A6-994B31B3B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196159"/>
        <c:axId val="1265189503"/>
      </c:scatterChart>
      <c:valAx>
        <c:axId val="126519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189503"/>
        <c:crosses val="autoZero"/>
        <c:crossBetween val="midCat"/>
      </c:valAx>
      <c:valAx>
        <c:axId val="126518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196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[DIY-IV(A).xlsx]Task-3!PivotTable5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'Task-3'!$C$2:$C$3</c:f>
              <c:strCache>
                <c:ptCount val="1"/>
                <c:pt idx="0">
                  <c:v>COD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'Task-3'!$B$4:$B$23</c:f>
              <c:strCache>
                <c:ptCount val="19"/>
                <c:pt idx="0">
                  <c:v>Andhra Pradesh</c:v>
                </c:pt>
                <c:pt idx="1">
                  <c:v>Bihar</c:v>
                </c:pt>
                <c:pt idx="2">
                  <c:v>Delhi</c:v>
                </c:pt>
                <c:pt idx="3">
                  <c:v>Goa</c:v>
                </c:pt>
                <c:pt idx="4">
                  <c:v>Gujarat</c:v>
                </c:pt>
                <c:pt idx="5">
                  <c:v>Haryana</c:v>
                </c:pt>
                <c:pt idx="6">
                  <c:v>Himachal Pradesh</c:v>
                </c:pt>
                <c:pt idx="7">
                  <c:v>Jammu and Kashmir</c:v>
                </c:pt>
                <c:pt idx="8">
                  <c:v>Karnataka</c:v>
                </c:pt>
                <c:pt idx="9">
                  <c:v>Kerala</c:v>
                </c:pt>
                <c:pt idx="10">
                  <c:v>Madhya Pradesh</c:v>
                </c:pt>
                <c:pt idx="11">
                  <c:v>Maharashtra</c:v>
                </c:pt>
                <c:pt idx="12">
                  <c:v>Nagaland</c:v>
                </c:pt>
                <c:pt idx="13">
                  <c:v>Punjab</c:v>
                </c:pt>
                <c:pt idx="14">
                  <c:v>Rajasthan</c:v>
                </c:pt>
                <c:pt idx="15">
                  <c:v>Sikkim</c:v>
                </c:pt>
                <c:pt idx="16">
                  <c:v>Tamil Nadu</c:v>
                </c:pt>
                <c:pt idx="17">
                  <c:v>Uttar Pradesh</c:v>
                </c:pt>
                <c:pt idx="18">
                  <c:v>West Bengal</c:v>
                </c:pt>
              </c:strCache>
            </c:strRef>
          </c:cat>
          <c:val>
            <c:numRef>
              <c:f>'Task-3'!$C$4:$C$23</c:f>
              <c:numCache>
                <c:formatCode>General</c:formatCode>
                <c:ptCount val="19"/>
                <c:pt idx="0">
                  <c:v>15</c:v>
                </c:pt>
                <c:pt idx="1">
                  <c:v>23</c:v>
                </c:pt>
                <c:pt idx="2">
                  <c:v>37</c:v>
                </c:pt>
                <c:pt idx="3">
                  <c:v>25</c:v>
                </c:pt>
                <c:pt idx="4">
                  <c:v>33</c:v>
                </c:pt>
                <c:pt idx="5">
                  <c:v>11</c:v>
                </c:pt>
                <c:pt idx="6">
                  <c:v>17</c:v>
                </c:pt>
                <c:pt idx="7">
                  <c:v>23</c:v>
                </c:pt>
                <c:pt idx="8">
                  <c:v>21</c:v>
                </c:pt>
                <c:pt idx="9">
                  <c:v>15</c:v>
                </c:pt>
                <c:pt idx="10">
                  <c:v>147</c:v>
                </c:pt>
                <c:pt idx="11">
                  <c:v>145</c:v>
                </c:pt>
                <c:pt idx="12">
                  <c:v>17</c:v>
                </c:pt>
                <c:pt idx="13">
                  <c:v>30</c:v>
                </c:pt>
                <c:pt idx="14">
                  <c:v>32</c:v>
                </c:pt>
                <c:pt idx="15">
                  <c:v>6</c:v>
                </c:pt>
                <c:pt idx="16">
                  <c:v>13</c:v>
                </c:pt>
                <c:pt idx="17">
                  <c:v>45</c:v>
                </c:pt>
                <c:pt idx="18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5-4C45-B989-FE3168F140D2}"/>
            </c:ext>
          </c:extLst>
        </c:ser>
        <c:ser>
          <c:idx val="1"/>
          <c:order val="1"/>
          <c:tx>
            <c:strRef>
              <c:f>'Task-3'!$D$2:$D$3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'Task-3'!$B$4:$B$23</c:f>
              <c:strCache>
                <c:ptCount val="19"/>
                <c:pt idx="0">
                  <c:v>Andhra Pradesh</c:v>
                </c:pt>
                <c:pt idx="1">
                  <c:v>Bihar</c:v>
                </c:pt>
                <c:pt idx="2">
                  <c:v>Delhi</c:v>
                </c:pt>
                <c:pt idx="3">
                  <c:v>Goa</c:v>
                </c:pt>
                <c:pt idx="4">
                  <c:v>Gujarat</c:v>
                </c:pt>
                <c:pt idx="5">
                  <c:v>Haryana</c:v>
                </c:pt>
                <c:pt idx="6">
                  <c:v>Himachal Pradesh</c:v>
                </c:pt>
                <c:pt idx="7">
                  <c:v>Jammu and Kashmir</c:v>
                </c:pt>
                <c:pt idx="8">
                  <c:v>Karnataka</c:v>
                </c:pt>
                <c:pt idx="9">
                  <c:v>Kerala</c:v>
                </c:pt>
                <c:pt idx="10">
                  <c:v>Madhya Pradesh</c:v>
                </c:pt>
                <c:pt idx="11">
                  <c:v>Maharashtra</c:v>
                </c:pt>
                <c:pt idx="12">
                  <c:v>Nagaland</c:v>
                </c:pt>
                <c:pt idx="13">
                  <c:v>Punjab</c:v>
                </c:pt>
                <c:pt idx="14">
                  <c:v>Rajasthan</c:v>
                </c:pt>
                <c:pt idx="15">
                  <c:v>Sikkim</c:v>
                </c:pt>
                <c:pt idx="16">
                  <c:v>Tamil Nadu</c:v>
                </c:pt>
                <c:pt idx="17">
                  <c:v>Uttar Pradesh</c:v>
                </c:pt>
                <c:pt idx="18">
                  <c:v>West Bengal</c:v>
                </c:pt>
              </c:strCache>
            </c:strRef>
          </c:cat>
          <c:val>
            <c:numRef>
              <c:f>'Task-3'!$D$4:$D$23</c:f>
              <c:numCache>
                <c:formatCode>General</c:formatCode>
                <c:ptCount val="19"/>
                <c:pt idx="0">
                  <c:v>8</c:v>
                </c:pt>
                <c:pt idx="1">
                  <c:v>4</c:v>
                </c:pt>
                <c:pt idx="2">
                  <c:v>8</c:v>
                </c:pt>
                <c:pt idx="3">
                  <c:v>4</c:v>
                </c:pt>
                <c:pt idx="4">
                  <c:v>9</c:v>
                </c:pt>
                <c:pt idx="5">
                  <c:v>2</c:v>
                </c:pt>
                <c:pt idx="6">
                  <c:v>4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  <c:pt idx="10">
                  <c:v>34</c:v>
                </c:pt>
                <c:pt idx="11">
                  <c:v>28</c:v>
                </c:pt>
                <c:pt idx="12">
                  <c:v>6</c:v>
                </c:pt>
                <c:pt idx="13">
                  <c:v>4</c:v>
                </c:pt>
                <c:pt idx="14">
                  <c:v>7</c:v>
                </c:pt>
                <c:pt idx="16">
                  <c:v>4</c:v>
                </c:pt>
                <c:pt idx="17">
                  <c:v>12</c:v>
                </c:pt>
                <c:pt idx="1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A5-4C45-B989-FE3168F140D2}"/>
            </c:ext>
          </c:extLst>
        </c:ser>
        <c:ser>
          <c:idx val="2"/>
          <c:order val="2"/>
          <c:tx>
            <c:strRef>
              <c:f>'Task-3'!$E$2:$E$3</c:f>
              <c:strCache>
                <c:ptCount val="1"/>
                <c:pt idx="0">
                  <c:v>Debit Card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'Task-3'!$B$4:$B$23</c:f>
              <c:strCache>
                <c:ptCount val="19"/>
                <c:pt idx="0">
                  <c:v>Andhra Pradesh</c:v>
                </c:pt>
                <c:pt idx="1">
                  <c:v>Bihar</c:v>
                </c:pt>
                <c:pt idx="2">
                  <c:v>Delhi</c:v>
                </c:pt>
                <c:pt idx="3">
                  <c:v>Goa</c:v>
                </c:pt>
                <c:pt idx="4">
                  <c:v>Gujarat</c:v>
                </c:pt>
                <c:pt idx="5">
                  <c:v>Haryana</c:v>
                </c:pt>
                <c:pt idx="6">
                  <c:v>Himachal Pradesh</c:v>
                </c:pt>
                <c:pt idx="7">
                  <c:v>Jammu and Kashmir</c:v>
                </c:pt>
                <c:pt idx="8">
                  <c:v>Karnataka</c:v>
                </c:pt>
                <c:pt idx="9">
                  <c:v>Kerala</c:v>
                </c:pt>
                <c:pt idx="10">
                  <c:v>Madhya Pradesh</c:v>
                </c:pt>
                <c:pt idx="11">
                  <c:v>Maharashtra</c:v>
                </c:pt>
                <c:pt idx="12">
                  <c:v>Nagaland</c:v>
                </c:pt>
                <c:pt idx="13">
                  <c:v>Punjab</c:v>
                </c:pt>
                <c:pt idx="14">
                  <c:v>Rajasthan</c:v>
                </c:pt>
                <c:pt idx="15">
                  <c:v>Sikkim</c:v>
                </c:pt>
                <c:pt idx="16">
                  <c:v>Tamil Nadu</c:v>
                </c:pt>
                <c:pt idx="17">
                  <c:v>Uttar Pradesh</c:v>
                </c:pt>
                <c:pt idx="18">
                  <c:v>West Bengal</c:v>
                </c:pt>
              </c:strCache>
            </c:strRef>
          </c:cat>
          <c:val>
            <c:numRef>
              <c:f>'Task-3'!$E$4:$E$23</c:f>
              <c:numCache>
                <c:formatCode>General</c:formatCode>
                <c:ptCount val="19"/>
                <c:pt idx="0">
                  <c:v>5</c:v>
                </c:pt>
                <c:pt idx="1">
                  <c:v>15</c:v>
                </c:pt>
                <c:pt idx="2">
                  <c:v>9</c:v>
                </c:pt>
                <c:pt idx="3">
                  <c:v>4</c:v>
                </c:pt>
                <c:pt idx="4">
                  <c:v>13</c:v>
                </c:pt>
                <c:pt idx="5">
                  <c:v>5</c:v>
                </c:pt>
                <c:pt idx="6">
                  <c:v>3</c:v>
                </c:pt>
                <c:pt idx="7">
                  <c:v>10</c:v>
                </c:pt>
                <c:pt idx="8">
                  <c:v>4</c:v>
                </c:pt>
                <c:pt idx="9">
                  <c:v>6</c:v>
                </c:pt>
                <c:pt idx="10">
                  <c:v>34</c:v>
                </c:pt>
                <c:pt idx="11">
                  <c:v>41</c:v>
                </c:pt>
                <c:pt idx="12">
                  <c:v>5</c:v>
                </c:pt>
                <c:pt idx="13">
                  <c:v>5</c:v>
                </c:pt>
                <c:pt idx="14">
                  <c:v>14</c:v>
                </c:pt>
                <c:pt idx="15">
                  <c:v>6</c:v>
                </c:pt>
                <c:pt idx="16">
                  <c:v>3</c:v>
                </c:pt>
                <c:pt idx="17">
                  <c:v>11</c:v>
                </c:pt>
                <c:pt idx="1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0A5-4C45-B989-FE3168F140D2}"/>
            </c:ext>
          </c:extLst>
        </c:ser>
        <c:ser>
          <c:idx val="3"/>
          <c:order val="3"/>
          <c:tx>
            <c:strRef>
              <c:f>'Task-3'!$F$2:$F$3</c:f>
              <c:strCache>
                <c:ptCount val="1"/>
                <c:pt idx="0">
                  <c:v>EMI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'Task-3'!$B$4:$B$23</c:f>
              <c:strCache>
                <c:ptCount val="19"/>
                <c:pt idx="0">
                  <c:v>Andhra Pradesh</c:v>
                </c:pt>
                <c:pt idx="1">
                  <c:v>Bihar</c:v>
                </c:pt>
                <c:pt idx="2">
                  <c:v>Delhi</c:v>
                </c:pt>
                <c:pt idx="3">
                  <c:v>Goa</c:v>
                </c:pt>
                <c:pt idx="4">
                  <c:v>Gujarat</c:v>
                </c:pt>
                <c:pt idx="5">
                  <c:v>Haryana</c:v>
                </c:pt>
                <c:pt idx="6">
                  <c:v>Himachal Pradesh</c:v>
                </c:pt>
                <c:pt idx="7">
                  <c:v>Jammu and Kashmir</c:v>
                </c:pt>
                <c:pt idx="8">
                  <c:v>Karnataka</c:v>
                </c:pt>
                <c:pt idx="9">
                  <c:v>Kerala</c:v>
                </c:pt>
                <c:pt idx="10">
                  <c:v>Madhya Pradesh</c:v>
                </c:pt>
                <c:pt idx="11">
                  <c:v>Maharashtra</c:v>
                </c:pt>
                <c:pt idx="12">
                  <c:v>Nagaland</c:v>
                </c:pt>
                <c:pt idx="13">
                  <c:v>Punjab</c:v>
                </c:pt>
                <c:pt idx="14">
                  <c:v>Rajasthan</c:v>
                </c:pt>
                <c:pt idx="15">
                  <c:v>Sikkim</c:v>
                </c:pt>
                <c:pt idx="16">
                  <c:v>Tamil Nadu</c:v>
                </c:pt>
                <c:pt idx="17">
                  <c:v>Uttar Pradesh</c:v>
                </c:pt>
                <c:pt idx="18">
                  <c:v>West Bengal</c:v>
                </c:pt>
              </c:strCache>
            </c:strRef>
          </c:cat>
          <c:val>
            <c:numRef>
              <c:f>'Task-3'!$F$4:$F$23</c:f>
              <c:numCache>
                <c:formatCode>General</c:formatCode>
                <c:ptCount val="19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1</c:v>
                </c:pt>
                <c:pt idx="4">
                  <c:v>7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24</c:v>
                </c:pt>
                <c:pt idx="11">
                  <c:v>24</c:v>
                </c:pt>
                <c:pt idx="12">
                  <c:v>5</c:v>
                </c:pt>
                <c:pt idx="13">
                  <c:v>7</c:v>
                </c:pt>
                <c:pt idx="14">
                  <c:v>6</c:v>
                </c:pt>
                <c:pt idx="15">
                  <c:v>2</c:v>
                </c:pt>
                <c:pt idx="17">
                  <c:v>6</c:v>
                </c:pt>
                <c:pt idx="1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A5-4C45-B989-FE3168F140D2}"/>
            </c:ext>
          </c:extLst>
        </c:ser>
        <c:ser>
          <c:idx val="4"/>
          <c:order val="4"/>
          <c:tx>
            <c:strRef>
              <c:f>'Task-3'!$G$2:$G$3</c:f>
              <c:strCache>
                <c:ptCount val="1"/>
                <c:pt idx="0">
                  <c:v>UPI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'Task-3'!$B$4:$B$23</c:f>
              <c:strCache>
                <c:ptCount val="19"/>
                <c:pt idx="0">
                  <c:v>Andhra Pradesh</c:v>
                </c:pt>
                <c:pt idx="1">
                  <c:v>Bihar</c:v>
                </c:pt>
                <c:pt idx="2">
                  <c:v>Delhi</c:v>
                </c:pt>
                <c:pt idx="3">
                  <c:v>Goa</c:v>
                </c:pt>
                <c:pt idx="4">
                  <c:v>Gujarat</c:v>
                </c:pt>
                <c:pt idx="5">
                  <c:v>Haryana</c:v>
                </c:pt>
                <c:pt idx="6">
                  <c:v>Himachal Pradesh</c:v>
                </c:pt>
                <c:pt idx="7">
                  <c:v>Jammu and Kashmir</c:v>
                </c:pt>
                <c:pt idx="8">
                  <c:v>Karnataka</c:v>
                </c:pt>
                <c:pt idx="9">
                  <c:v>Kerala</c:v>
                </c:pt>
                <c:pt idx="10">
                  <c:v>Madhya Pradesh</c:v>
                </c:pt>
                <c:pt idx="11">
                  <c:v>Maharashtra</c:v>
                </c:pt>
                <c:pt idx="12">
                  <c:v>Nagaland</c:v>
                </c:pt>
                <c:pt idx="13">
                  <c:v>Punjab</c:v>
                </c:pt>
                <c:pt idx="14">
                  <c:v>Rajasthan</c:v>
                </c:pt>
                <c:pt idx="15">
                  <c:v>Sikkim</c:v>
                </c:pt>
                <c:pt idx="16">
                  <c:v>Tamil Nadu</c:v>
                </c:pt>
                <c:pt idx="17">
                  <c:v>Uttar Pradesh</c:v>
                </c:pt>
                <c:pt idx="18">
                  <c:v>West Bengal</c:v>
                </c:pt>
              </c:strCache>
            </c:strRef>
          </c:cat>
          <c:val>
            <c:numRef>
              <c:f>'Task-3'!$G$4:$G$23</c:f>
              <c:numCache>
                <c:formatCode>General</c:formatCode>
                <c:ptCount val="19"/>
                <c:pt idx="0">
                  <c:v>8</c:v>
                </c:pt>
                <c:pt idx="1">
                  <c:v>14</c:v>
                </c:pt>
                <c:pt idx="2">
                  <c:v>17</c:v>
                </c:pt>
                <c:pt idx="3">
                  <c:v>9</c:v>
                </c:pt>
                <c:pt idx="4">
                  <c:v>25</c:v>
                </c:pt>
                <c:pt idx="5">
                  <c:v>7</c:v>
                </c:pt>
                <c:pt idx="6">
                  <c:v>2</c:v>
                </c:pt>
                <c:pt idx="7">
                  <c:v>7</c:v>
                </c:pt>
                <c:pt idx="8">
                  <c:v>14</c:v>
                </c:pt>
                <c:pt idx="9">
                  <c:v>12</c:v>
                </c:pt>
                <c:pt idx="10">
                  <c:v>75</c:v>
                </c:pt>
                <c:pt idx="11">
                  <c:v>61</c:v>
                </c:pt>
                <c:pt idx="12">
                  <c:v>12</c:v>
                </c:pt>
                <c:pt idx="13">
                  <c:v>14</c:v>
                </c:pt>
                <c:pt idx="14">
                  <c:v>15</c:v>
                </c:pt>
                <c:pt idx="15">
                  <c:v>10</c:v>
                </c:pt>
                <c:pt idx="16">
                  <c:v>5</c:v>
                </c:pt>
                <c:pt idx="17">
                  <c:v>13</c:v>
                </c:pt>
                <c:pt idx="1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0A5-4C45-B989-FE3168F14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5386335"/>
        <c:axId val="365387167"/>
      </c:barChart>
      <c:catAx>
        <c:axId val="365386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387167"/>
        <c:crosses val="autoZero"/>
        <c:auto val="1"/>
        <c:lblAlgn val="ctr"/>
        <c:lblOffset val="100"/>
        <c:noMultiLvlLbl val="0"/>
      </c:catAx>
      <c:valAx>
        <c:axId val="36538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38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'Task-4'!$B$1</c:f>
              <c:strCache>
                <c:ptCount val="1"/>
                <c:pt idx="0">
                  <c:v>Quantity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'Task-4'!$A$2:$A$1501</c:f>
              <c:numCache>
                <c:formatCode>General</c:formatCode>
                <c:ptCount val="1500"/>
                <c:pt idx="0">
                  <c:v>658</c:v>
                </c:pt>
                <c:pt idx="1">
                  <c:v>64</c:v>
                </c:pt>
                <c:pt idx="2">
                  <c:v>146</c:v>
                </c:pt>
                <c:pt idx="3">
                  <c:v>712</c:v>
                </c:pt>
                <c:pt idx="4">
                  <c:v>1151</c:v>
                </c:pt>
                <c:pt idx="5">
                  <c:v>247</c:v>
                </c:pt>
                <c:pt idx="6">
                  <c:v>-275</c:v>
                </c:pt>
                <c:pt idx="7">
                  <c:v>-213</c:v>
                </c:pt>
                <c:pt idx="8">
                  <c:v>-44</c:v>
                </c:pt>
                <c:pt idx="9">
                  <c:v>-54</c:v>
                </c:pt>
                <c:pt idx="10">
                  <c:v>-190</c:v>
                </c:pt>
                <c:pt idx="11">
                  <c:v>-234</c:v>
                </c:pt>
                <c:pt idx="12">
                  <c:v>-891</c:v>
                </c:pt>
                <c:pt idx="13">
                  <c:v>-492</c:v>
                </c:pt>
                <c:pt idx="14">
                  <c:v>1050</c:v>
                </c:pt>
                <c:pt idx="15">
                  <c:v>-3</c:v>
                </c:pt>
                <c:pt idx="16">
                  <c:v>433</c:v>
                </c:pt>
                <c:pt idx="17">
                  <c:v>1</c:v>
                </c:pt>
                <c:pt idx="18">
                  <c:v>721</c:v>
                </c:pt>
                <c:pt idx="19">
                  <c:v>-1</c:v>
                </c:pt>
                <c:pt idx="20">
                  <c:v>-624</c:v>
                </c:pt>
                <c:pt idx="21">
                  <c:v>95</c:v>
                </c:pt>
                <c:pt idx="22">
                  <c:v>254</c:v>
                </c:pt>
                <c:pt idx="23">
                  <c:v>-33</c:v>
                </c:pt>
                <c:pt idx="24">
                  <c:v>2</c:v>
                </c:pt>
                <c:pt idx="25">
                  <c:v>782</c:v>
                </c:pt>
                <c:pt idx="26">
                  <c:v>370</c:v>
                </c:pt>
                <c:pt idx="27">
                  <c:v>-266</c:v>
                </c:pt>
                <c:pt idx="28">
                  <c:v>-56</c:v>
                </c:pt>
                <c:pt idx="29">
                  <c:v>-1</c:v>
                </c:pt>
                <c:pt idx="30">
                  <c:v>202</c:v>
                </c:pt>
                <c:pt idx="31">
                  <c:v>113</c:v>
                </c:pt>
                <c:pt idx="32">
                  <c:v>1303</c:v>
                </c:pt>
                <c:pt idx="33">
                  <c:v>-15</c:v>
                </c:pt>
                <c:pt idx="34">
                  <c:v>122</c:v>
                </c:pt>
                <c:pt idx="35">
                  <c:v>-212</c:v>
                </c:pt>
                <c:pt idx="36">
                  <c:v>-1</c:v>
                </c:pt>
                <c:pt idx="37">
                  <c:v>802</c:v>
                </c:pt>
                <c:pt idx="38">
                  <c:v>0</c:v>
                </c:pt>
                <c:pt idx="39">
                  <c:v>-7</c:v>
                </c:pt>
                <c:pt idx="40">
                  <c:v>564</c:v>
                </c:pt>
                <c:pt idx="41">
                  <c:v>3</c:v>
                </c:pt>
                <c:pt idx="42">
                  <c:v>-77</c:v>
                </c:pt>
                <c:pt idx="43">
                  <c:v>5</c:v>
                </c:pt>
                <c:pt idx="44">
                  <c:v>980</c:v>
                </c:pt>
                <c:pt idx="45">
                  <c:v>-448</c:v>
                </c:pt>
                <c:pt idx="46">
                  <c:v>340</c:v>
                </c:pt>
                <c:pt idx="47">
                  <c:v>460</c:v>
                </c:pt>
                <c:pt idx="48">
                  <c:v>0</c:v>
                </c:pt>
                <c:pt idx="49">
                  <c:v>-439</c:v>
                </c:pt>
                <c:pt idx="50">
                  <c:v>106</c:v>
                </c:pt>
                <c:pt idx="51">
                  <c:v>-123</c:v>
                </c:pt>
                <c:pt idx="52">
                  <c:v>239</c:v>
                </c:pt>
                <c:pt idx="53">
                  <c:v>199</c:v>
                </c:pt>
                <c:pt idx="54">
                  <c:v>-2</c:v>
                </c:pt>
                <c:pt idx="55">
                  <c:v>624</c:v>
                </c:pt>
                <c:pt idx="56">
                  <c:v>206</c:v>
                </c:pt>
                <c:pt idx="57">
                  <c:v>-5</c:v>
                </c:pt>
                <c:pt idx="58">
                  <c:v>4</c:v>
                </c:pt>
                <c:pt idx="59">
                  <c:v>1864</c:v>
                </c:pt>
                <c:pt idx="60">
                  <c:v>147</c:v>
                </c:pt>
                <c:pt idx="61">
                  <c:v>2</c:v>
                </c:pt>
                <c:pt idx="62">
                  <c:v>-193</c:v>
                </c:pt>
                <c:pt idx="63">
                  <c:v>527</c:v>
                </c:pt>
                <c:pt idx="64">
                  <c:v>342</c:v>
                </c:pt>
                <c:pt idx="65">
                  <c:v>7</c:v>
                </c:pt>
                <c:pt idx="66">
                  <c:v>2</c:v>
                </c:pt>
                <c:pt idx="67">
                  <c:v>-12</c:v>
                </c:pt>
                <c:pt idx="68">
                  <c:v>536</c:v>
                </c:pt>
                <c:pt idx="69">
                  <c:v>-38</c:v>
                </c:pt>
                <c:pt idx="70">
                  <c:v>573</c:v>
                </c:pt>
                <c:pt idx="71">
                  <c:v>-16</c:v>
                </c:pt>
                <c:pt idx="72">
                  <c:v>-2</c:v>
                </c:pt>
                <c:pt idx="73">
                  <c:v>65</c:v>
                </c:pt>
                <c:pt idx="74">
                  <c:v>97</c:v>
                </c:pt>
                <c:pt idx="75">
                  <c:v>264</c:v>
                </c:pt>
                <c:pt idx="76">
                  <c:v>-13</c:v>
                </c:pt>
                <c:pt idx="77">
                  <c:v>73</c:v>
                </c:pt>
                <c:pt idx="78">
                  <c:v>-68</c:v>
                </c:pt>
                <c:pt idx="79">
                  <c:v>-2</c:v>
                </c:pt>
                <c:pt idx="80">
                  <c:v>-2</c:v>
                </c:pt>
                <c:pt idx="81">
                  <c:v>-916</c:v>
                </c:pt>
                <c:pt idx="82">
                  <c:v>-93</c:v>
                </c:pt>
                <c:pt idx="83">
                  <c:v>3</c:v>
                </c:pt>
                <c:pt idx="84">
                  <c:v>192</c:v>
                </c:pt>
                <c:pt idx="85">
                  <c:v>-72</c:v>
                </c:pt>
                <c:pt idx="86">
                  <c:v>67</c:v>
                </c:pt>
                <c:pt idx="87">
                  <c:v>24</c:v>
                </c:pt>
                <c:pt idx="88">
                  <c:v>16</c:v>
                </c:pt>
                <c:pt idx="89">
                  <c:v>-274</c:v>
                </c:pt>
                <c:pt idx="90">
                  <c:v>230</c:v>
                </c:pt>
                <c:pt idx="91">
                  <c:v>-640</c:v>
                </c:pt>
                <c:pt idx="92">
                  <c:v>486</c:v>
                </c:pt>
                <c:pt idx="93">
                  <c:v>-18</c:v>
                </c:pt>
                <c:pt idx="94">
                  <c:v>-13</c:v>
                </c:pt>
                <c:pt idx="95">
                  <c:v>-63</c:v>
                </c:pt>
                <c:pt idx="96">
                  <c:v>-706</c:v>
                </c:pt>
                <c:pt idx="97">
                  <c:v>170</c:v>
                </c:pt>
                <c:pt idx="98">
                  <c:v>-1</c:v>
                </c:pt>
                <c:pt idx="99">
                  <c:v>170</c:v>
                </c:pt>
                <c:pt idx="100">
                  <c:v>-1</c:v>
                </c:pt>
                <c:pt idx="101">
                  <c:v>-36</c:v>
                </c:pt>
                <c:pt idx="102">
                  <c:v>101</c:v>
                </c:pt>
                <c:pt idx="103">
                  <c:v>266</c:v>
                </c:pt>
                <c:pt idx="104">
                  <c:v>-48</c:v>
                </c:pt>
                <c:pt idx="105">
                  <c:v>-14</c:v>
                </c:pt>
                <c:pt idx="106">
                  <c:v>8</c:v>
                </c:pt>
                <c:pt idx="107">
                  <c:v>-307</c:v>
                </c:pt>
                <c:pt idx="108">
                  <c:v>199</c:v>
                </c:pt>
                <c:pt idx="109">
                  <c:v>119</c:v>
                </c:pt>
                <c:pt idx="110">
                  <c:v>0</c:v>
                </c:pt>
                <c:pt idx="111">
                  <c:v>8</c:v>
                </c:pt>
                <c:pt idx="112">
                  <c:v>-225</c:v>
                </c:pt>
                <c:pt idx="113">
                  <c:v>198</c:v>
                </c:pt>
                <c:pt idx="114">
                  <c:v>-40</c:v>
                </c:pt>
                <c:pt idx="115">
                  <c:v>-36</c:v>
                </c:pt>
                <c:pt idx="116">
                  <c:v>-2</c:v>
                </c:pt>
                <c:pt idx="117">
                  <c:v>0</c:v>
                </c:pt>
                <c:pt idx="118">
                  <c:v>267</c:v>
                </c:pt>
                <c:pt idx="119">
                  <c:v>-235</c:v>
                </c:pt>
                <c:pt idx="120">
                  <c:v>-1</c:v>
                </c:pt>
                <c:pt idx="121">
                  <c:v>-48</c:v>
                </c:pt>
                <c:pt idx="122">
                  <c:v>-209</c:v>
                </c:pt>
                <c:pt idx="123">
                  <c:v>-17</c:v>
                </c:pt>
                <c:pt idx="124">
                  <c:v>248</c:v>
                </c:pt>
                <c:pt idx="125">
                  <c:v>166</c:v>
                </c:pt>
                <c:pt idx="126">
                  <c:v>-9</c:v>
                </c:pt>
                <c:pt idx="127">
                  <c:v>395</c:v>
                </c:pt>
                <c:pt idx="128">
                  <c:v>303</c:v>
                </c:pt>
                <c:pt idx="129">
                  <c:v>1</c:v>
                </c:pt>
                <c:pt idx="130">
                  <c:v>56</c:v>
                </c:pt>
                <c:pt idx="131">
                  <c:v>-15</c:v>
                </c:pt>
                <c:pt idx="132">
                  <c:v>-100</c:v>
                </c:pt>
                <c:pt idx="133">
                  <c:v>-12</c:v>
                </c:pt>
                <c:pt idx="134">
                  <c:v>254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10</c:v>
                </c:pt>
                <c:pt idx="139">
                  <c:v>259</c:v>
                </c:pt>
                <c:pt idx="140">
                  <c:v>-187</c:v>
                </c:pt>
                <c:pt idx="141">
                  <c:v>-309</c:v>
                </c:pt>
                <c:pt idx="142">
                  <c:v>-213</c:v>
                </c:pt>
                <c:pt idx="143">
                  <c:v>15</c:v>
                </c:pt>
                <c:pt idx="144">
                  <c:v>-2</c:v>
                </c:pt>
                <c:pt idx="145">
                  <c:v>167</c:v>
                </c:pt>
                <c:pt idx="146">
                  <c:v>225</c:v>
                </c:pt>
                <c:pt idx="147">
                  <c:v>-316</c:v>
                </c:pt>
                <c:pt idx="148">
                  <c:v>316</c:v>
                </c:pt>
                <c:pt idx="149">
                  <c:v>208</c:v>
                </c:pt>
                <c:pt idx="150">
                  <c:v>-28</c:v>
                </c:pt>
                <c:pt idx="151">
                  <c:v>119</c:v>
                </c:pt>
                <c:pt idx="152">
                  <c:v>292</c:v>
                </c:pt>
                <c:pt idx="153">
                  <c:v>51</c:v>
                </c:pt>
                <c:pt idx="154">
                  <c:v>89</c:v>
                </c:pt>
                <c:pt idx="155">
                  <c:v>175</c:v>
                </c:pt>
                <c:pt idx="156">
                  <c:v>262</c:v>
                </c:pt>
                <c:pt idx="157">
                  <c:v>84</c:v>
                </c:pt>
                <c:pt idx="158">
                  <c:v>19</c:v>
                </c:pt>
                <c:pt idx="159">
                  <c:v>212</c:v>
                </c:pt>
                <c:pt idx="160">
                  <c:v>-424</c:v>
                </c:pt>
                <c:pt idx="161">
                  <c:v>8</c:v>
                </c:pt>
                <c:pt idx="162">
                  <c:v>2</c:v>
                </c:pt>
                <c:pt idx="163">
                  <c:v>-111</c:v>
                </c:pt>
                <c:pt idx="164">
                  <c:v>371</c:v>
                </c:pt>
                <c:pt idx="165">
                  <c:v>-73</c:v>
                </c:pt>
                <c:pt idx="166">
                  <c:v>-82</c:v>
                </c:pt>
                <c:pt idx="167">
                  <c:v>-152</c:v>
                </c:pt>
                <c:pt idx="168">
                  <c:v>9</c:v>
                </c:pt>
                <c:pt idx="169">
                  <c:v>371</c:v>
                </c:pt>
                <c:pt idx="170">
                  <c:v>198</c:v>
                </c:pt>
                <c:pt idx="171">
                  <c:v>107</c:v>
                </c:pt>
                <c:pt idx="172">
                  <c:v>91</c:v>
                </c:pt>
                <c:pt idx="173">
                  <c:v>3</c:v>
                </c:pt>
                <c:pt idx="174">
                  <c:v>204</c:v>
                </c:pt>
                <c:pt idx="175">
                  <c:v>9</c:v>
                </c:pt>
                <c:pt idx="176">
                  <c:v>392</c:v>
                </c:pt>
                <c:pt idx="177">
                  <c:v>116</c:v>
                </c:pt>
                <c:pt idx="178">
                  <c:v>84</c:v>
                </c:pt>
                <c:pt idx="179">
                  <c:v>213</c:v>
                </c:pt>
                <c:pt idx="180">
                  <c:v>12</c:v>
                </c:pt>
                <c:pt idx="181">
                  <c:v>11</c:v>
                </c:pt>
                <c:pt idx="182">
                  <c:v>12</c:v>
                </c:pt>
                <c:pt idx="183">
                  <c:v>-79</c:v>
                </c:pt>
                <c:pt idx="184">
                  <c:v>29</c:v>
                </c:pt>
                <c:pt idx="185">
                  <c:v>-11</c:v>
                </c:pt>
                <c:pt idx="186">
                  <c:v>151</c:v>
                </c:pt>
                <c:pt idx="187">
                  <c:v>8</c:v>
                </c:pt>
                <c:pt idx="188">
                  <c:v>3</c:v>
                </c:pt>
                <c:pt idx="189">
                  <c:v>0</c:v>
                </c:pt>
                <c:pt idx="190">
                  <c:v>114</c:v>
                </c:pt>
                <c:pt idx="191">
                  <c:v>11</c:v>
                </c:pt>
                <c:pt idx="192">
                  <c:v>-31</c:v>
                </c:pt>
                <c:pt idx="193">
                  <c:v>0</c:v>
                </c:pt>
                <c:pt idx="194">
                  <c:v>8</c:v>
                </c:pt>
                <c:pt idx="195">
                  <c:v>0</c:v>
                </c:pt>
                <c:pt idx="196">
                  <c:v>11</c:v>
                </c:pt>
                <c:pt idx="197">
                  <c:v>3</c:v>
                </c:pt>
                <c:pt idx="198">
                  <c:v>50</c:v>
                </c:pt>
                <c:pt idx="199">
                  <c:v>11</c:v>
                </c:pt>
                <c:pt idx="200">
                  <c:v>11</c:v>
                </c:pt>
                <c:pt idx="201">
                  <c:v>11</c:v>
                </c:pt>
                <c:pt idx="202">
                  <c:v>42</c:v>
                </c:pt>
                <c:pt idx="203">
                  <c:v>50</c:v>
                </c:pt>
                <c:pt idx="204">
                  <c:v>11</c:v>
                </c:pt>
                <c:pt idx="205">
                  <c:v>-459</c:v>
                </c:pt>
                <c:pt idx="206">
                  <c:v>547</c:v>
                </c:pt>
                <c:pt idx="207">
                  <c:v>0</c:v>
                </c:pt>
                <c:pt idx="208">
                  <c:v>11</c:v>
                </c:pt>
                <c:pt idx="209">
                  <c:v>-41</c:v>
                </c:pt>
                <c:pt idx="210">
                  <c:v>77</c:v>
                </c:pt>
                <c:pt idx="211">
                  <c:v>2</c:v>
                </c:pt>
                <c:pt idx="212">
                  <c:v>-90</c:v>
                </c:pt>
                <c:pt idx="213">
                  <c:v>-35</c:v>
                </c:pt>
                <c:pt idx="214">
                  <c:v>-37</c:v>
                </c:pt>
                <c:pt idx="215">
                  <c:v>148</c:v>
                </c:pt>
                <c:pt idx="216">
                  <c:v>53</c:v>
                </c:pt>
                <c:pt idx="217">
                  <c:v>-45</c:v>
                </c:pt>
                <c:pt idx="218">
                  <c:v>11</c:v>
                </c:pt>
                <c:pt idx="219">
                  <c:v>-50</c:v>
                </c:pt>
                <c:pt idx="220">
                  <c:v>-36</c:v>
                </c:pt>
                <c:pt idx="221">
                  <c:v>161</c:v>
                </c:pt>
                <c:pt idx="222">
                  <c:v>8</c:v>
                </c:pt>
                <c:pt idx="223">
                  <c:v>-272</c:v>
                </c:pt>
                <c:pt idx="224">
                  <c:v>4</c:v>
                </c:pt>
                <c:pt idx="225">
                  <c:v>357</c:v>
                </c:pt>
                <c:pt idx="226">
                  <c:v>70</c:v>
                </c:pt>
                <c:pt idx="227">
                  <c:v>49</c:v>
                </c:pt>
                <c:pt idx="228">
                  <c:v>48</c:v>
                </c:pt>
                <c:pt idx="229">
                  <c:v>-77</c:v>
                </c:pt>
                <c:pt idx="230">
                  <c:v>199</c:v>
                </c:pt>
                <c:pt idx="231">
                  <c:v>-45</c:v>
                </c:pt>
                <c:pt idx="232">
                  <c:v>50</c:v>
                </c:pt>
                <c:pt idx="233">
                  <c:v>-25</c:v>
                </c:pt>
                <c:pt idx="234">
                  <c:v>12</c:v>
                </c:pt>
                <c:pt idx="235">
                  <c:v>1</c:v>
                </c:pt>
                <c:pt idx="236">
                  <c:v>-314</c:v>
                </c:pt>
                <c:pt idx="237">
                  <c:v>2</c:v>
                </c:pt>
                <c:pt idx="238">
                  <c:v>8</c:v>
                </c:pt>
                <c:pt idx="239">
                  <c:v>13</c:v>
                </c:pt>
                <c:pt idx="240">
                  <c:v>412</c:v>
                </c:pt>
                <c:pt idx="241">
                  <c:v>-23</c:v>
                </c:pt>
                <c:pt idx="242">
                  <c:v>-5</c:v>
                </c:pt>
                <c:pt idx="243">
                  <c:v>27</c:v>
                </c:pt>
                <c:pt idx="244">
                  <c:v>-124</c:v>
                </c:pt>
                <c:pt idx="245">
                  <c:v>1</c:v>
                </c:pt>
                <c:pt idx="246">
                  <c:v>86</c:v>
                </c:pt>
                <c:pt idx="247">
                  <c:v>126</c:v>
                </c:pt>
                <c:pt idx="248">
                  <c:v>66</c:v>
                </c:pt>
                <c:pt idx="249">
                  <c:v>2</c:v>
                </c:pt>
                <c:pt idx="250">
                  <c:v>118</c:v>
                </c:pt>
                <c:pt idx="251">
                  <c:v>-56</c:v>
                </c:pt>
                <c:pt idx="252">
                  <c:v>14</c:v>
                </c:pt>
                <c:pt idx="253">
                  <c:v>111</c:v>
                </c:pt>
                <c:pt idx="254">
                  <c:v>93</c:v>
                </c:pt>
                <c:pt idx="255">
                  <c:v>-116</c:v>
                </c:pt>
                <c:pt idx="256">
                  <c:v>212</c:v>
                </c:pt>
                <c:pt idx="257">
                  <c:v>3</c:v>
                </c:pt>
                <c:pt idx="258">
                  <c:v>-22</c:v>
                </c:pt>
                <c:pt idx="259">
                  <c:v>6</c:v>
                </c:pt>
                <c:pt idx="260">
                  <c:v>-192</c:v>
                </c:pt>
                <c:pt idx="261">
                  <c:v>151</c:v>
                </c:pt>
                <c:pt idx="262">
                  <c:v>-16</c:v>
                </c:pt>
                <c:pt idx="263">
                  <c:v>-5</c:v>
                </c:pt>
                <c:pt idx="264">
                  <c:v>234</c:v>
                </c:pt>
                <c:pt idx="265">
                  <c:v>68</c:v>
                </c:pt>
                <c:pt idx="266">
                  <c:v>13</c:v>
                </c:pt>
                <c:pt idx="267">
                  <c:v>-13</c:v>
                </c:pt>
                <c:pt idx="268">
                  <c:v>88</c:v>
                </c:pt>
                <c:pt idx="269">
                  <c:v>144</c:v>
                </c:pt>
                <c:pt idx="270">
                  <c:v>143</c:v>
                </c:pt>
                <c:pt idx="271">
                  <c:v>84</c:v>
                </c:pt>
                <c:pt idx="272">
                  <c:v>-29</c:v>
                </c:pt>
                <c:pt idx="273">
                  <c:v>107</c:v>
                </c:pt>
                <c:pt idx="274">
                  <c:v>-100</c:v>
                </c:pt>
                <c:pt idx="275">
                  <c:v>-338</c:v>
                </c:pt>
                <c:pt idx="276">
                  <c:v>-47</c:v>
                </c:pt>
                <c:pt idx="277">
                  <c:v>199</c:v>
                </c:pt>
                <c:pt idx="278">
                  <c:v>-23</c:v>
                </c:pt>
                <c:pt idx="279">
                  <c:v>10</c:v>
                </c:pt>
                <c:pt idx="280">
                  <c:v>108</c:v>
                </c:pt>
                <c:pt idx="281">
                  <c:v>-103</c:v>
                </c:pt>
                <c:pt idx="282">
                  <c:v>-8</c:v>
                </c:pt>
                <c:pt idx="283">
                  <c:v>41</c:v>
                </c:pt>
                <c:pt idx="284">
                  <c:v>57</c:v>
                </c:pt>
                <c:pt idx="285">
                  <c:v>71</c:v>
                </c:pt>
                <c:pt idx="286">
                  <c:v>4</c:v>
                </c:pt>
                <c:pt idx="287">
                  <c:v>50</c:v>
                </c:pt>
                <c:pt idx="288">
                  <c:v>7</c:v>
                </c:pt>
                <c:pt idx="289">
                  <c:v>-15</c:v>
                </c:pt>
                <c:pt idx="290">
                  <c:v>114</c:v>
                </c:pt>
                <c:pt idx="291">
                  <c:v>6</c:v>
                </c:pt>
                <c:pt idx="292">
                  <c:v>32</c:v>
                </c:pt>
                <c:pt idx="293">
                  <c:v>-6</c:v>
                </c:pt>
                <c:pt idx="294">
                  <c:v>-33</c:v>
                </c:pt>
                <c:pt idx="295">
                  <c:v>-12</c:v>
                </c:pt>
                <c:pt idx="296">
                  <c:v>36</c:v>
                </c:pt>
                <c:pt idx="297">
                  <c:v>-312</c:v>
                </c:pt>
                <c:pt idx="298">
                  <c:v>25</c:v>
                </c:pt>
                <c:pt idx="299">
                  <c:v>62</c:v>
                </c:pt>
                <c:pt idx="300">
                  <c:v>72</c:v>
                </c:pt>
                <c:pt idx="301">
                  <c:v>5</c:v>
                </c:pt>
                <c:pt idx="302">
                  <c:v>-5</c:v>
                </c:pt>
                <c:pt idx="303">
                  <c:v>-200</c:v>
                </c:pt>
                <c:pt idx="304">
                  <c:v>26</c:v>
                </c:pt>
                <c:pt idx="305">
                  <c:v>0</c:v>
                </c:pt>
                <c:pt idx="306">
                  <c:v>17</c:v>
                </c:pt>
                <c:pt idx="307">
                  <c:v>113</c:v>
                </c:pt>
                <c:pt idx="308">
                  <c:v>74</c:v>
                </c:pt>
                <c:pt idx="309">
                  <c:v>7</c:v>
                </c:pt>
                <c:pt idx="310">
                  <c:v>225</c:v>
                </c:pt>
                <c:pt idx="311">
                  <c:v>17</c:v>
                </c:pt>
                <c:pt idx="312">
                  <c:v>93</c:v>
                </c:pt>
                <c:pt idx="313">
                  <c:v>-39</c:v>
                </c:pt>
                <c:pt idx="314">
                  <c:v>119</c:v>
                </c:pt>
                <c:pt idx="315">
                  <c:v>-66</c:v>
                </c:pt>
                <c:pt idx="316">
                  <c:v>15</c:v>
                </c:pt>
                <c:pt idx="317">
                  <c:v>61</c:v>
                </c:pt>
                <c:pt idx="318">
                  <c:v>128</c:v>
                </c:pt>
                <c:pt idx="319">
                  <c:v>3</c:v>
                </c:pt>
                <c:pt idx="320">
                  <c:v>-7</c:v>
                </c:pt>
                <c:pt idx="321">
                  <c:v>-87</c:v>
                </c:pt>
                <c:pt idx="322">
                  <c:v>91</c:v>
                </c:pt>
                <c:pt idx="323">
                  <c:v>5</c:v>
                </c:pt>
                <c:pt idx="324">
                  <c:v>2</c:v>
                </c:pt>
                <c:pt idx="325">
                  <c:v>-26</c:v>
                </c:pt>
                <c:pt idx="326">
                  <c:v>16</c:v>
                </c:pt>
                <c:pt idx="327">
                  <c:v>19</c:v>
                </c:pt>
                <c:pt idx="328">
                  <c:v>-63</c:v>
                </c:pt>
                <c:pt idx="329">
                  <c:v>97</c:v>
                </c:pt>
                <c:pt idx="330">
                  <c:v>7</c:v>
                </c:pt>
                <c:pt idx="331">
                  <c:v>68</c:v>
                </c:pt>
                <c:pt idx="332">
                  <c:v>19</c:v>
                </c:pt>
                <c:pt idx="333">
                  <c:v>13</c:v>
                </c:pt>
                <c:pt idx="334">
                  <c:v>30</c:v>
                </c:pt>
                <c:pt idx="335">
                  <c:v>251</c:v>
                </c:pt>
                <c:pt idx="336">
                  <c:v>0</c:v>
                </c:pt>
                <c:pt idx="337">
                  <c:v>-43</c:v>
                </c:pt>
                <c:pt idx="338">
                  <c:v>29</c:v>
                </c:pt>
                <c:pt idx="339">
                  <c:v>-26</c:v>
                </c:pt>
                <c:pt idx="340">
                  <c:v>-55</c:v>
                </c:pt>
                <c:pt idx="341">
                  <c:v>23</c:v>
                </c:pt>
                <c:pt idx="342">
                  <c:v>27</c:v>
                </c:pt>
                <c:pt idx="343">
                  <c:v>-32</c:v>
                </c:pt>
                <c:pt idx="344">
                  <c:v>3</c:v>
                </c:pt>
                <c:pt idx="345">
                  <c:v>76</c:v>
                </c:pt>
                <c:pt idx="346">
                  <c:v>14</c:v>
                </c:pt>
                <c:pt idx="347">
                  <c:v>-2</c:v>
                </c:pt>
                <c:pt idx="348">
                  <c:v>-3</c:v>
                </c:pt>
                <c:pt idx="349">
                  <c:v>119</c:v>
                </c:pt>
                <c:pt idx="350">
                  <c:v>100</c:v>
                </c:pt>
                <c:pt idx="351">
                  <c:v>-15</c:v>
                </c:pt>
                <c:pt idx="352">
                  <c:v>61</c:v>
                </c:pt>
                <c:pt idx="353">
                  <c:v>25</c:v>
                </c:pt>
                <c:pt idx="354">
                  <c:v>98</c:v>
                </c:pt>
                <c:pt idx="355">
                  <c:v>99</c:v>
                </c:pt>
                <c:pt idx="356">
                  <c:v>-78</c:v>
                </c:pt>
                <c:pt idx="357">
                  <c:v>30</c:v>
                </c:pt>
                <c:pt idx="358">
                  <c:v>0</c:v>
                </c:pt>
                <c:pt idx="359">
                  <c:v>1</c:v>
                </c:pt>
                <c:pt idx="360">
                  <c:v>-28</c:v>
                </c:pt>
                <c:pt idx="361">
                  <c:v>-122</c:v>
                </c:pt>
                <c:pt idx="362">
                  <c:v>83</c:v>
                </c:pt>
                <c:pt idx="363">
                  <c:v>4</c:v>
                </c:pt>
                <c:pt idx="364">
                  <c:v>180</c:v>
                </c:pt>
                <c:pt idx="365">
                  <c:v>14</c:v>
                </c:pt>
                <c:pt idx="366">
                  <c:v>-31</c:v>
                </c:pt>
                <c:pt idx="367">
                  <c:v>-20</c:v>
                </c:pt>
                <c:pt idx="368">
                  <c:v>-114</c:v>
                </c:pt>
                <c:pt idx="369">
                  <c:v>8</c:v>
                </c:pt>
                <c:pt idx="370">
                  <c:v>-14</c:v>
                </c:pt>
                <c:pt idx="371">
                  <c:v>-77</c:v>
                </c:pt>
                <c:pt idx="372">
                  <c:v>15</c:v>
                </c:pt>
                <c:pt idx="373">
                  <c:v>-10</c:v>
                </c:pt>
                <c:pt idx="374">
                  <c:v>6</c:v>
                </c:pt>
                <c:pt idx="375">
                  <c:v>24</c:v>
                </c:pt>
                <c:pt idx="376">
                  <c:v>-28</c:v>
                </c:pt>
                <c:pt idx="377">
                  <c:v>-30</c:v>
                </c:pt>
                <c:pt idx="378">
                  <c:v>18</c:v>
                </c:pt>
                <c:pt idx="379">
                  <c:v>-162</c:v>
                </c:pt>
                <c:pt idx="380">
                  <c:v>6</c:v>
                </c:pt>
                <c:pt idx="381">
                  <c:v>20</c:v>
                </c:pt>
                <c:pt idx="382">
                  <c:v>16</c:v>
                </c:pt>
                <c:pt idx="383">
                  <c:v>22</c:v>
                </c:pt>
                <c:pt idx="384">
                  <c:v>24</c:v>
                </c:pt>
                <c:pt idx="385">
                  <c:v>-10</c:v>
                </c:pt>
                <c:pt idx="386">
                  <c:v>-2</c:v>
                </c:pt>
                <c:pt idx="387">
                  <c:v>8</c:v>
                </c:pt>
                <c:pt idx="388">
                  <c:v>-345</c:v>
                </c:pt>
                <c:pt idx="389">
                  <c:v>0</c:v>
                </c:pt>
                <c:pt idx="390">
                  <c:v>-85</c:v>
                </c:pt>
                <c:pt idx="391">
                  <c:v>12</c:v>
                </c:pt>
                <c:pt idx="392">
                  <c:v>7</c:v>
                </c:pt>
                <c:pt idx="393">
                  <c:v>20</c:v>
                </c:pt>
                <c:pt idx="394">
                  <c:v>48</c:v>
                </c:pt>
                <c:pt idx="395">
                  <c:v>81</c:v>
                </c:pt>
                <c:pt idx="396">
                  <c:v>-38</c:v>
                </c:pt>
                <c:pt idx="397">
                  <c:v>-143</c:v>
                </c:pt>
                <c:pt idx="398">
                  <c:v>-33</c:v>
                </c:pt>
                <c:pt idx="399">
                  <c:v>21</c:v>
                </c:pt>
                <c:pt idx="400">
                  <c:v>87</c:v>
                </c:pt>
                <c:pt idx="401">
                  <c:v>27</c:v>
                </c:pt>
                <c:pt idx="402">
                  <c:v>39</c:v>
                </c:pt>
                <c:pt idx="403">
                  <c:v>18</c:v>
                </c:pt>
                <c:pt idx="404">
                  <c:v>62</c:v>
                </c:pt>
                <c:pt idx="405">
                  <c:v>2</c:v>
                </c:pt>
                <c:pt idx="406">
                  <c:v>6</c:v>
                </c:pt>
                <c:pt idx="407">
                  <c:v>-113</c:v>
                </c:pt>
                <c:pt idx="408">
                  <c:v>4</c:v>
                </c:pt>
                <c:pt idx="409">
                  <c:v>21</c:v>
                </c:pt>
                <c:pt idx="410">
                  <c:v>-27</c:v>
                </c:pt>
                <c:pt idx="411">
                  <c:v>0</c:v>
                </c:pt>
                <c:pt idx="412">
                  <c:v>-48</c:v>
                </c:pt>
                <c:pt idx="413">
                  <c:v>102</c:v>
                </c:pt>
                <c:pt idx="414">
                  <c:v>-8</c:v>
                </c:pt>
                <c:pt idx="415">
                  <c:v>-41</c:v>
                </c:pt>
                <c:pt idx="416">
                  <c:v>40</c:v>
                </c:pt>
                <c:pt idx="417">
                  <c:v>74</c:v>
                </c:pt>
                <c:pt idx="418">
                  <c:v>109</c:v>
                </c:pt>
                <c:pt idx="419">
                  <c:v>-83</c:v>
                </c:pt>
                <c:pt idx="420">
                  <c:v>-42</c:v>
                </c:pt>
                <c:pt idx="421">
                  <c:v>20</c:v>
                </c:pt>
                <c:pt idx="422">
                  <c:v>14</c:v>
                </c:pt>
                <c:pt idx="423">
                  <c:v>50</c:v>
                </c:pt>
                <c:pt idx="424">
                  <c:v>-30</c:v>
                </c:pt>
                <c:pt idx="425">
                  <c:v>8</c:v>
                </c:pt>
                <c:pt idx="426">
                  <c:v>-33</c:v>
                </c:pt>
                <c:pt idx="427">
                  <c:v>-30</c:v>
                </c:pt>
                <c:pt idx="428">
                  <c:v>4</c:v>
                </c:pt>
                <c:pt idx="429">
                  <c:v>21</c:v>
                </c:pt>
                <c:pt idx="430">
                  <c:v>3</c:v>
                </c:pt>
                <c:pt idx="431">
                  <c:v>62</c:v>
                </c:pt>
                <c:pt idx="432">
                  <c:v>62</c:v>
                </c:pt>
                <c:pt idx="433">
                  <c:v>24</c:v>
                </c:pt>
                <c:pt idx="434">
                  <c:v>-31</c:v>
                </c:pt>
                <c:pt idx="435">
                  <c:v>45</c:v>
                </c:pt>
                <c:pt idx="436">
                  <c:v>52</c:v>
                </c:pt>
                <c:pt idx="437">
                  <c:v>2</c:v>
                </c:pt>
                <c:pt idx="438">
                  <c:v>-63</c:v>
                </c:pt>
                <c:pt idx="439">
                  <c:v>-28</c:v>
                </c:pt>
                <c:pt idx="440">
                  <c:v>27</c:v>
                </c:pt>
                <c:pt idx="441">
                  <c:v>-21</c:v>
                </c:pt>
                <c:pt idx="442">
                  <c:v>6</c:v>
                </c:pt>
                <c:pt idx="443">
                  <c:v>111</c:v>
                </c:pt>
                <c:pt idx="444">
                  <c:v>2</c:v>
                </c:pt>
                <c:pt idx="445">
                  <c:v>-12</c:v>
                </c:pt>
                <c:pt idx="446">
                  <c:v>-86</c:v>
                </c:pt>
                <c:pt idx="447">
                  <c:v>-25</c:v>
                </c:pt>
                <c:pt idx="448">
                  <c:v>2</c:v>
                </c:pt>
                <c:pt idx="449">
                  <c:v>-206</c:v>
                </c:pt>
                <c:pt idx="450">
                  <c:v>8</c:v>
                </c:pt>
                <c:pt idx="451">
                  <c:v>-24</c:v>
                </c:pt>
                <c:pt idx="452">
                  <c:v>64</c:v>
                </c:pt>
                <c:pt idx="453">
                  <c:v>276</c:v>
                </c:pt>
                <c:pt idx="454">
                  <c:v>-46</c:v>
                </c:pt>
                <c:pt idx="455">
                  <c:v>-18</c:v>
                </c:pt>
                <c:pt idx="456">
                  <c:v>6</c:v>
                </c:pt>
                <c:pt idx="457">
                  <c:v>9</c:v>
                </c:pt>
                <c:pt idx="458">
                  <c:v>19</c:v>
                </c:pt>
                <c:pt idx="459">
                  <c:v>-16</c:v>
                </c:pt>
                <c:pt idx="460">
                  <c:v>0</c:v>
                </c:pt>
                <c:pt idx="461">
                  <c:v>-7</c:v>
                </c:pt>
                <c:pt idx="462">
                  <c:v>13</c:v>
                </c:pt>
                <c:pt idx="463">
                  <c:v>-117</c:v>
                </c:pt>
                <c:pt idx="464">
                  <c:v>-146</c:v>
                </c:pt>
                <c:pt idx="465">
                  <c:v>87</c:v>
                </c:pt>
                <c:pt idx="466">
                  <c:v>2</c:v>
                </c:pt>
                <c:pt idx="467">
                  <c:v>13</c:v>
                </c:pt>
                <c:pt idx="468">
                  <c:v>-25</c:v>
                </c:pt>
                <c:pt idx="469">
                  <c:v>47</c:v>
                </c:pt>
                <c:pt idx="470">
                  <c:v>-15</c:v>
                </c:pt>
                <c:pt idx="471">
                  <c:v>11</c:v>
                </c:pt>
                <c:pt idx="472">
                  <c:v>-26</c:v>
                </c:pt>
                <c:pt idx="473">
                  <c:v>8</c:v>
                </c:pt>
                <c:pt idx="474">
                  <c:v>9</c:v>
                </c:pt>
                <c:pt idx="475">
                  <c:v>-70</c:v>
                </c:pt>
                <c:pt idx="476">
                  <c:v>61</c:v>
                </c:pt>
                <c:pt idx="477">
                  <c:v>-25</c:v>
                </c:pt>
                <c:pt idx="478">
                  <c:v>-28</c:v>
                </c:pt>
                <c:pt idx="479">
                  <c:v>-13</c:v>
                </c:pt>
                <c:pt idx="480">
                  <c:v>-62</c:v>
                </c:pt>
                <c:pt idx="481">
                  <c:v>37</c:v>
                </c:pt>
                <c:pt idx="482">
                  <c:v>11</c:v>
                </c:pt>
                <c:pt idx="483">
                  <c:v>20</c:v>
                </c:pt>
                <c:pt idx="484">
                  <c:v>99</c:v>
                </c:pt>
                <c:pt idx="485">
                  <c:v>8</c:v>
                </c:pt>
                <c:pt idx="486">
                  <c:v>77</c:v>
                </c:pt>
                <c:pt idx="487">
                  <c:v>4</c:v>
                </c:pt>
                <c:pt idx="488">
                  <c:v>-70</c:v>
                </c:pt>
                <c:pt idx="489">
                  <c:v>69</c:v>
                </c:pt>
                <c:pt idx="490">
                  <c:v>2</c:v>
                </c:pt>
                <c:pt idx="491">
                  <c:v>-25</c:v>
                </c:pt>
                <c:pt idx="492">
                  <c:v>32</c:v>
                </c:pt>
                <c:pt idx="493">
                  <c:v>10</c:v>
                </c:pt>
                <c:pt idx="494">
                  <c:v>17</c:v>
                </c:pt>
                <c:pt idx="495">
                  <c:v>-46</c:v>
                </c:pt>
                <c:pt idx="496">
                  <c:v>-51</c:v>
                </c:pt>
                <c:pt idx="497">
                  <c:v>30</c:v>
                </c:pt>
                <c:pt idx="498">
                  <c:v>-59</c:v>
                </c:pt>
                <c:pt idx="499">
                  <c:v>17</c:v>
                </c:pt>
                <c:pt idx="500">
                  <c:v>63</c:v>
                </c:pt>
                <c:pt idx="501">
                  <c:v>-24</c:v>
                </c:pt>
                <c:pt idx="502">
                  <c:v>-25</c:v>
                </c:pt>
                <c:pt idx="503">
                  <c:v>20</c:v>
                </c:pt>
                <c:pt idx="504">
                  <c:v>0</c:v>
                </c:pt>
                <c:pt idx="505">
                  <c:v>35</c:v>
                </c:pt>
                <c:pt idx="506">
                  <c:v>-9</c:v>
                </c:pt>
                <c:pt idx="507">
                  <c:v>-23</c:v>
                </c:pt>
                <c:pt idx="508">
                  <c:v>-135</c:v>
                </c:pt>
                <c:pt idx="509">
                  <c:v>-21</c:v>
                </c:pt>
                <c:pt idx="510">
                  <c:v>-55</c:v>
                </c:pt>
                <c:pt idx="511">
                  <c:v>33</c:v>
                </c:pt>
                <c:pt idx="512">
                  <c:v>46</c:v>
                </c:pt>
                <c:pt idx="513">
                  <c:v>11</c:v>
                </c:pt>
                <c:pt idx="514">
                  <c:v>73</c:v>
                </c:pt>
                <c:pt idx="515">
                  <c:v>-22</c:v>
                </c:pt>
                <c:pt idx="516">
                  <c:v>55</c:v>
                </c:pt>
                <c:pt idx="517">
                  <c:v>-23</c:v>
                </c:pt>
                <c:pt idx="518">
                  <c:v>0</c:v>
                </c:pt>
                <c:pt idx="519">
                  <c:v>7</c:v>
                </c:pt>
                <c:pt idx="520">
                  <c:v>2</c:v>
                </c:pt>
                <c:pt idx="521">
                  <c:v>-229</c:v>
                </c:pt>
                <c:pt idx="522">
                  <c:v>19</c:v>
                </c:pt>
                <c:pt idx="523">
                  <c:v>-105</c:v>
                </c:pt>
                <c:pt idx="524">
                  <c:v>5</c:v>
                </c:pt>
                <c:pt idx="525">
                  <c:v>-22</c:v>
                </c:pt>
                <c:pt idx="526">
                  <c:v>40</c:v>
                </c:pt>
                <c:pt idx="527">
                  <c:v>4</c:v>
                </c:pt>
                <c:pt idx="528">
                  <c:v>-50</c:v>
                </c:pt>
                <c:pt idx="529">
                  <c:v>39</c:v>
                </c:pt>
                <c:pt idx="530">
                  <c:v>153</c:v>
                </c:pt>
                <c:pt idx="531">
                  <c:v>0</c:v>
                </c:pt>
                <c:pt idx="532">
                  <c:v>12</c:v>
                </c:pt>
                <c:pt idx="533">
                  <c:v>0</c:v>
                </c:pt>
                <c:pt idx="534">
                  <c:v>23</c:v>
                </c:pt>
                <c:pt idx="535">
                  <c:v>54</c:v>
                </c:pt>
                <c:pt idx="536">
                  <c:v>15</c:v>
                </c:pt>
                <c:pt idx="537">
                  <c:v>51</c:v>
                </c:pt>
                <c:pt idx="538">
                  <c:v>7</c:v>
                </c:pt>
                <c:pt idx="539">
                  <c:v>-1</c:v>
                </c:pt>
                <c:pt idx="540">
                  <c:v>22</c:v>
                </c:pt>
                <c:pt idx="541">
                  <c:v>23</c:v>
                </c:pt>
                <c:pt idx="542">
                  <c:v>50</c:v>
                </c:pt>
                <c:pt idx="543">
                  <c:v>-21</c:v>
                </c:pt>
                <c:pt idx="544">
                  <c:v>48</c:v>
                </c:pt>
                <c:pt idx="545">
                  <c:v>-87</c:v>
                </c:pt>
                <c:pt idx="546">
                  <c:v>20</c:v>
                </c:pt>
                <c:pt idx="547">
                  <c:v>-54</c:v>
                </c:pt>
                <c:pt idx="548">
                  <c:v>-15</c:v>
                </c:pt>
                <c:pt idx="549">
                  <c:v>32</c:v>
                </c:pt>
                <c:pt idx="550">
                  <c:v>12</c:v>
                </c:pt>
                <c:pt idx="551">
                  <c:v>-1</c:v>
                </c:pt>
                <c:pt idx="552">
                  <c:v>22</c:v>
                </c:pt>
                <c:pt idx="553">
                  <c:v>12</c:v>
                </c:pt>
                <c:pt idx="554">
                  <c:v>0</c:v>
                </c:pt>
                <c:pt idx="555">
                  <c:v>41</c:v>
                </c:pt>
                <c:pt idx="556">
                  <c:v>34</c:v>
                </c:pt>
                <c:pt idx="557">
                  <c:v>17</c:v>
                </c:pt>
                <c:pt idx="558">
                  <c:v>46</c:v>
                </c:pt>
                <c:pt idx="559">
                  <c:v>24</c:v>
                </c:pt>
                <c:pt idx="560">
                  <c:v>-17</c:v>
                </c:pt>
                <c:pt idx="561">
                  <c:v>-40</c:v>
                </c:pt>
                <c:pt idx="562">
                  <c:v>0</c:v>
                </c:pt>
                <c:pt idx="563">
                  <c:v>0</c:v>
                </c:pt>
                <c:pt idx="564">
                  <c:v>22</c:v>
                </c:pt>
                <c:pt idx="565">
                  <c:v>16</c:v>
                </c:pt>
                <c:pt idx="566">
                  <c:v>-275</c:v>
                </c:pt>
                <c:pt idx="567">
                  <c:v>0</c:v>
                </c:pt>
                <c:pt idx="568">
                  <c:v>-14</c:v>
                </c:pt>
                <c:pt idx="569">
                  <c:v>59</c:v>
                </c:pt>
                <c:pt idx="570">
                  <c:v>19</c:v>
                </c:pt>
                <c:pt idx="571">
                  <c:v>14</c:v>
                </c:pt>
                <c:pt idx="572">
                  <c:v>44</c:v>
                </c:pt>
                <c:pt idx="573">
                  <c:v>68</c:v>
                </c:pt>
                <c:pt idx="574">
                  <c:v>-56</c:v>
                </c:pt>
                <c:pt idx="575">
                  <c:v>48</c:v>
                </c:pt>
                <c:pt idx="576">
                  <c:v>12</c:v>
                </c:pt>
                <c:pt idx="577">
                  <c:v>8</c:v>
                </c:pt>
                <c:pt idx="578">
                  <c:v>19</c:v>
                </c:pt>
                <c:pt idx="579">
                  <c:v>-193</c:v>
                </c:pt>
                <c:pt idx="580">
                  <c:v>29</c:v>
                </c:pt>
                <c:pt idx="581">
                  <c:v>19</c:v>
                </c:pt>
                <c:pt idx="582">
                  <c:v>32</c:v>
                </c:pt>
                <c:pt idx="583">
                  <c:v>-1</c:v>
                </c:pt>
                <c:pt idx="584">
                  <c:v>12</c:v>
                </c:pt>
                <c:pt idx="585">
                  <c:v>-58</c:v>
                </c:pt>
                <c:pt idx="586">
                  <c:v>-48</c:v>
                </c:pt>
                <c:pt idx="587">
                  <c:v>6</c:v>
                </c:pt>
                <c:pt idx="588">
                  <c:v>14</c:v>
                </c:pt>
                <c:pt idx="589">
                  <c:v>14</c:v>
                </c:pt>
                <c:pt idx="590">
                  <c:v>14</c:v>
                </c:pt>
                <c:pt idx="591">
                  <c:v>36</c:v>
                </c:pt>
                <c:pt idx="592">
                  <c:v>30</c:v>
                </c:pt>
                <c:pt idx="593">
                  <c:v>21</c:v>
                </c:pt>
                <c:pt idx="594">
                  <c:v>-14</c:v>
                </c:pt>
                <c:pt idx="595">
                  <c:v>-3</c:v>
                </c:pt>
                <c:pt idx="596">
                  <c:v>13</c:v>
                </c:pt>
                <c:pt idx="597">
                  <c:v>12</c:v>
                </c:pt>
                <c:pt idx="598">
                  <c:v>22</c:v>
                </c:pt>
                <c:pt idx="599">
                  <c:v>5</c:v>
                </c:pt>
                <c:pt idx="600">
                  <c:v>-12</c:v>
                </c:pt>
                <c:pt idx="601">
                  <c:v>-34</c:v>
                </c:pt>
                <c:pt idx="602">
                  <c:v>42</c:v>
                </c:pt>
                <c:pt idx="603">
                  <c:v>-56</c:v>
                </c:pt>
                <c:pt idx="604">
                  <c:v>-84</c:v>
                </c:pt>
                <c:pt idx="605">
                  <c:v>-21</c:v>
                </c:pt>
                <c:pt idx="606">
                  <c:v>54</c:v>
                </c:pt>
                <c:pt idx="607">
                  <c:v>-10</c:v>
                </c:pt>
                <c:pt idx="608">
                  <c:v>-79</c:v>
                </c:pt>
                <c:pt idx="609">
                  <c:v>-65</c:v>
                </c:pt>
                <c:pt idx="610">
                  <c:v>5</c:v>
                </c:pt>
                <c:pt idx="611">
                  <c:v>12</c:v>
                </c:pt>
                <c:pt idx="612">
                  <c:v>-154</c:v>
                </c:pt>
                <c:pt idx="613">
                  <c:v>29</c:v>
                </c:pt>
                <c:pt idx="614">
                  <c:v>4</c:v>
                </c:pt>
                <c:pt idx="615">
                  <c:v>241</c:v>
                </c:pt>
                <c:pt idx="616">
                  <c:v>47</c:v>
                </c:pt>
                <c:pt idx="617">
                  <c:v>48</c:v>
                </c:pt>
                <c:pt idx="618">
                  <c:v>10</c:v>
                </c:pt>
                <c:pt idx="619">
                  <c:v>29</c:v>
                </c:pt>
                <c:pt idx="620">
                  <c:v>36</c:v>
                </c:pt>
                <c:pt idx="621">
                  <c:v>0</c:v>
                </c:pt>
                <c:pt idx="622">
                  <c:v>-8</c:v>
                </c:pt>
                <c:pt idx="623">
                  <c:v>54</c:v>
                </c:pt>
                <c:pt idx="624">
                  <c:v>17</c:v>
                </c:pt>
                <c:pt idx="625">
                  <c:v>11</c:v>
                </c:pt>
                <c:pt idx="626">
                  <c:v>-66</c:v>
                </c:pt>
                <c:pt idx="627">
                  <c:v>30</c:v>
                </c:pt>
                <c:pt idx="628">
                  <c:v>-11</c:v>
                </c:pt>
                <c:pt idx="629">
                  <c:v>59</c:v>
                </c:pt>
                <c:pt idx="630">
                  <c:v>19</c:v>
                </c:pt>
                <c:pt idx="631">
                  <c:v>1</c:v>
                </c:pt>
                <c:pt idx="632">
                  <c:v>23</c:v>
                </c:pt>
                <c:pt idx="633">
                  <c:v>-11</c:v>
                </c:pt>
                <c:pt idx="634">
                  <c:v>17</c:v>
                </c:pt>
                <c:pt idx="635">
                  <c:v>9</c:v>
                </c:pt>
                <c:pt idx="636">
                  <c:v>-6</c:v>
                </c:pt>
                <c:pt idx="637">
                  <c:v>54</c:v>
                </c:pt>
                <c:pt idx="638">
                  <c:v>-5</c:v>
                </c:pt>
                <c:pt idx="639">
                  <c:v>-103</c:v>
                </c:pt>
                <c:pt idx="640">
                  <c:v>16</c:v>
                </c:pt>
                <c:pt idx="641">
                  <c:v>-4</c:v>
                </c:pt>
                <c:pt idx="642">
                  <c:v>68</c:v>
                </c:pt>
                <c:pt idx="643">
                  <c:v>14</c:v>
                </c:pt>
                <c:pt idx="644">
                  <c:v>-39</c:v>
                </c:pt>
                <c:pt idx="645">
                  <c:v>7</c:v>
                </c:pt>
                <c:pt idx="646">
                  <c:v>8</c:v>
                </c:pt>
                <c:pt idx="647">
                  <c:v>14</c:v>
                </c:pt>
                <c:pt idx="648">
                  <c:v>-140</c:v>
                </c:pt>
                <c:pt idx="649">
                  <c:v>12</c:v>
                </c:pt>
                <c:pt idx="650">
                  <c:v>25</c:v>
                </c:pt>
                <c:pt idx="651">
                  <c:v>-9</c:v>
                </c:pt>
                <c:pt idx="652">
                  <c:v>47</c:v>
                </c:pt>
                <c:pt idx="653">
                  <c:v>-111</c:v>
                </c:pt>
                <c:pt idx="654">
                  <c:v>-7</c:v>
                </c:pt>
                <c:pt idx="655">
                  <c:v>41</c:v>
                </c:pt>
                <c:pt idx="656">
                  <c:v>9</c:v>
                </c:pt>
                <c:pt idx="657">
                  <c:v>-8</c:v>
                </c:pt>
                <c:pt idx="658">
                  <c:v>35</c:v>
                </c:pt>
                <c:pt idx="659">
                  <c:v>15</c:v>
                </c:pt>
                <c:pt idx="660">
                  <c:v>27</c:v>
                </c:pt>
                <c:pt idx="661">
                  <c:v>-6</c:v>
                </c:pt>
                <c:pt idx="662">
                  <c:v>-6</c:v>
                </c:pt>
                <c:pt idx="663">
                  <c:v>40</c:v>
                </c:pt>
                <c:pt idx="664">
                  <c:v>22</c:v>
                </c:pt>
                <c:pt idx="665">
                  <c:v>50</c:v>
                </c:pt>
                <c:pt idx="666">
                  <c:v>-8</c:v>
                </c:pt>
                <c:pt idx="667">
                  <c:v>17</c:v>
                </c:pt>
                <c:pt idx="668">
                  <c:v>46</c:v>
                </c:pt>
                <c:pt idx="669">
                  <c:v>20</c:v>
                </c:pt>
                <c:pt idx="670">
                  <c:v>-6</c:v>
                </c:pt>
                <c:pt idx="671">
                  <c:v>-33</c:v>
                </c:pt>
                <c:pt idx="672">
                  <c:v>25</c:v>
                </c:pt>
                <c:pt idx="673">
                  <c:v>-7</c:v>
                </c:pt>
                <c:pt idx="674">
                  <c:v>2</c:v>
                </c:pt>
                <c:pt idx="675">
                  <c:v>5</c:v>
                </c:pt>
                <c:pt idx="676">
                  <c:v>-7</c:v>
                </c:pt>
                <c:pt idx="677">
                  <c:v>-6</c:v>
                </c:pt>
                <c:pt idx="678">
                  <c:v>12</c:v>
                </c:pt>
                <c:pt idx="679">
                  <c:v>36</c:v>
                </c:pt>
                <c:pt idx="680">
                  <c:v>-6</c:v>
                </c:pt>
                <c:pt idx="681">
                  <c:v>33</c:v>
                </c:pt>
                <c:pt idx="682">
                  <c:v>-6</c:v>
                </c:pt>
                <c:pt idx="683">
                  <c:v>-90</c:v>
                </c:pt>
                <c:pt idx="684">
                  <c:v>11</c:v>
                </c:pt>
                <c:pt idx="685">
                  <c:v>-8</c:v>
                </c:pt>
                <c:pt idx="686">
                  <c:v>18</c:v>
                </c:pt>
                <c:pt idx="687">
                  <c:v>-6</c:v>
                </c:pt>
                <c:pt idx="688">
                  <c:v>18</c:v>
                </c:pt>
                <c:pt idx="689">
                  <c:v>5</c:v>
                </c:pt>
                <c:pt idx="690">
                  <c:v>2</c:v>
                </c:pt>
                <c:pt idx="691">
                  <c:v>69</c:v>
                </c:pt>
                <c:pt idx="692">
                  <c:v>0</c:v>
                </c:pt>
                <c:pt idx="693">
                  <c:v>16</c:v>
                </c:pt>
                <c:pt idx="694">
                  <c:v>37</c:v>
                </c:pt>
                <c:pt idx="695">
                  <c:v>36</c:v>
                </c:pt>
                <c:pt idx="696">
                  <c:v>-19</c:v>
                </c:pt>
                <c:pt idx="697">
                  <c:v>-54</c:v>
                </c:pt>
                <c:pt idx="698">
                  <c:v>-58</c:v>
                </c:pt>
                <c:pt idx="699">
                  <c:v>26</c:v>
                </c:pt>
                <c:pt idx="700">
                  <c:v>6</c:v>
                </c:pt>
                <c:pt idx="701">
                  <c:v>-23</c:v>
                </c:pt>
                <c:pt idx="702">
                  <c:v>17</c:v>
                </c:pt>
                <c:pt idx="703">
                  <c:v>26</c:v>
                </c:pt>
                <c:pt idx="704">
                  <c:v>9</c:v>
                </c:pt>
                <c:pt idx="705">
                  <c:v>29</c:v>
                </c:pt>
                <c:pt idx="706">
                  <c:v>-68</c:v>
                </c:pt>
                <c:pt idx="707">
                  <c:v>9</c:v>
                </c:pt>
                <c:pt idx="708">
                  <c:v>-62</c:v>
                </c:pt>
                <c:pt idx="709">
                  <c:v>35</c:v>
                </c:pt>
                <c:pt idx="710">
                  <c:v>17</c:v>
                </c:pt>
                <c:pt idx="711">
                  <c:v>15</c:v>
                </c:pt>
                <c:pt idx="712">
                  <c:v>20</c:v>
                </c:pt>
                <c:pt idx="713">
                  <c:v>-5</c:v>
                </c:pt>
                <c:pt idx="714">
                  <c:v>12</c:v>
                </c:pt>
                <c:pt idx="715">
                  <c:v>11</c:v>
                </c:pt>
                <c:pt idx="716">
                  <c:v>14</c:v>
                </c:pt>
                <c:pt idx="717">
                  <c:v>0</c:v>
                </c:pt>
                <c:pt idx="718">
                  <c:v>27</c:v>
                </c:pt>
                <c:pt idx="719">
                  <c:v>25</c:v>
                </c:pt>
                <c:pt idx="720">
                  <c:v>15</c:v>
                </c:pt>
                <c:pt idx="721">
                  <c:v>23</c:v>
                </c:pt>
                <c:pt idx="722">
                  <c:v>15</c:v>
                </c:pt>
                <c:pt idx="723">
                  <c:v>24</c:v>
                </c:pt>
                <c:pt idx="724">
                  <c:v>2</c:v>
                </c:pt>
                <c:pt idx="725">
                  <c:v>9</c:v>
                </c:pt>
                <c:pt idx="726">
                  <c:v>11</c:v>
                </c:pt>
                <c:pt idx="727">
                  <c:v>42</c:v>
                </c:pt>
                <c:pt idx="728">
                  <c:v>14</c:v>
                </c:pt>
                <c:pt idx="729">
                  <c:v>-10</c:v>
                </c:pt>
                <c:pt idx="730">
                  <c:v>-10</c:v>
                </c:pt>
                <c:pt idx="731">
                  <c:v>8</c:v>
                </c:pt>
                <c:pt idx="732">
                  <c:v>0</c:v>
                </c:pt>
                <c:pt idx="733">
                  <c:v>29</c:v>
                </c:pt>
                <c:pt idx="734">
                  <c:v>1</c:v>
                </c:pt>
                <c:pt idx="735">
                  <c:v>1</c:v>
                </c:pt>
                <c:pt idx="736">
                  <c:v>36</c:v>
                </c:pt>
                <c:pt idx="737">
                  <c:v>54</c:v>
                </c:pt>
                <c:pt idx="738">
                  <c:v>-5</c:v>
                </c:pt>
                <c:pt idx="739">
                  <c:v>73</c:v>
                </c:pt>
                <c:pt idx="740">
                  <c:v>35</c:v>
                </c:pt>
                <c:pt idx="741">
                  <c:v>56</c:v>
                </c:pt>
                <c:pt idx="742">
                  <c:v>27</c:v>
                </c:pt>
                <c:pt idx="743">
                  <c:v>1</c:v>
                </c:pt>
                <c:pt idx="744">
                  <c:v>-89</c:v>
                </c:pt>
                <c:pt idx="745">
                  <c:v>66</c:v>
                </c:pt>
                <c:pt idx="746">
                  <c:v>-37</c:v>
                </c:pt>
                <c:pt idx="747">
                  <c:v>11</c:v>
                </c:pt>
                <c:pt idx="748">
                  <c:v>41</c:v>
                </c:pt>
                <c:pt idx="749">
                  <c:v>20</c:v>
                </c:pt>
                <c:pt idx="750">
                  <c:v>-83</c:v>
                </c:pt>
                <c:pt idx="751">
                  <c:v>4</c:v>
                </c:pt>
                <c:pt idx="752">
                  <c:v>15</c:v>
                </c:pt>
                <c:pt idx="753">
                  <c:v>10</c:v>
                </c:pt>
                <c:pt idx="754">
                  <c:v>8</c:v>
                </c:pt>
                <c:pt idx="755">
                  <c:v>-32</c:v>
                </c:pt>
                <c:pt idx="756">
                  <c:v>-55</c:v>
                </c:pt>
                <c:pt idx="757">
                  <c:v>22</c:v>
                </c:pt>
                <c:pt idx="758">
                  <c:v>-3</c:v>
                </c:pt>
                <c:pt idx="759">
                  <c:v>-124</c:v>
                </c:pt>
                <c:pt idx="760">
                  <c:v>22</c:v>
                </c:pt>
                <c:pt idx="761">
                  <c:v>9</c:v>
                </c:pt>
                <c:pt idx="762">
                  <c:v>-9</c:v>
                </c:pt>
                <c:pt idx="763">
                  <c:v>-75</c:v>
                </c:pt>
                <c:pt idx="764">
                  <c:v>-42</c:v>
                </c:pt>
                <c:pt idx="765">
                  <c:v>-81</c:v>
                </c:pt>
                <c:pt idx="766">
                  <c:v>6</c:v>
                </c:pt>
                <c:pt idx="767">
                  <c:v>123</c:v>
                </c:pt>
                <c:pt idx="768">
                  <c:v>122</c:v>
                </c:pt>
                <c:pt idx="769">
                  <c:v>61</c:v>
                </c:pt>
                <c:pt idx="770">
                  <c:v>-3</c:v>
                </c:pt>
                <c:pt idx="771">
                  <c:v>10</c:v>
                </c:pt>
                <c:pt idx="772">
                  <c:v>15</c:v>
                </c:pt>
                <c:pt idx="773">
                  <c:v>0</c:v>
                </c:pt>
                <c:pt idx="774">
                  <c:v>49</c:v>
                </c:pt>
                <c:pt idx="775">
                  <c:v>12</c:v>
                </c:pt>
                <c:pt idx="776">
                  <c:v>13</c:v>
                </c:pt>
                <c:pt idx="777">
                  <c:v>56</c:v>
                </c:pt>
                <c:pt idx="778">
                  <c:v>19</c:v>
                </c:pt>
                <c:pt idx="779">
                  <c:v>38</c:v>
                </c:pt>
                <c:pt idx="780">
                  <c:v>-41</c:v>
                </c:pt>
                <c:pt idx="781">
                  <c:v>57</c:v>
                </c:pt>
                <c:pt idx="782">
                  <c:v>30</c:v>
                </c:pt>
                <c:pt idx="783">
                  <c:v>11</c:v>
                </c:pt>
                <c:pt idx="784">
                  <c:v>-124</c:v>
                </c:pt>
                <c:pt idx="785">
                  <c:v>41</c:v>
                </c:pt>
                <c:pt idx="786">
                  <c:v>16</c:v>
                </c:pt>
                <c:pt idx="787">
                  <c:v>20</c:v>
                </c:pt>
                <c:pt idx="788">
                  <c:v>6</c:v>
                </c:pt>
                <c:pt idx="789">
                  <c:v>36</c:v>
                </c:pt>
                <c:pt idx="790">
                  <c:v>-13</c:v>
                </c:pt>
                <c:pt idx="791">
                  <c:v>5</c:v>
                </c:pt>
                <c:pt idx="792">
                  <c:v>20</c:v>
                </c:pt>
                <c:pt idx="793">
                  <c:v>-42</c:v>
                </c:pt>
                <c:pt idx="794">
                  <c:v>27</c:v>
                </c:pt>
                <c:pt idx="795">
                  <c:v>7</c:v>
                </c:pt>
                <c:pt idx="796">
                  <c:v>-92</c:v>
                </c:pt>
                <c:pt idx="797">
                  <c:v>-50</c:v>
                </c:pt>
                <c:pt idx="798">
                  <c:v>19</c:v>
                </c:pt>
                <c:pt idx="799">
                  <c:v>29</c:v>
                </c:pt>
                <c:pt idx="800">
                  <c:v>-25</c:v>
                </c:pt>
                <c:pt idx="801">
                  <c:v>-63</c:v>
                </c:pt>
                <c:pt idx="802">
                  <c:v>-31</c:v>
                </c:pt>
                <c:pt idx="803">
                  <c:v>22</c:v>
                </c:pt>
                <c:pt idx="804">
                  <c:v>46</c:v>
                </c:pt>
                <c:pt idx="805">
                  <c:v>7</c:v>
                </c:pt>
                <c:pt idx="806">
                  <c:v>-41</c:v>
                </c:pt>
                <c:pt idx="807">
                  <c:v>41</c:v>
                </c:pt>
                <c:pt idx="808">
                  <c:v>21</c:v>
                </c:pt>
                <c:pt idx="809">
                  <c:v>-7</c:v>
                </c:pt>
                <c:pt idx="810">
                  <c:v>72</c:v>
                </c:pt>
                <c:pt idx="811">
                  <c:v>0</c:v>
                </c:pt>
                <c:pt idx="812">
                  <c:v>-13</c:v>
                </c:pt>
                <c:pt idx="813">
                  <c:v>25</c:v>
                </c:pt>
                <c:pt idx="814">
                  <c:v>-7</c:v>
                </c:pt>
                <c:pt idx="815">
                  <c:v>-104</c:v>
                </c:pt>
                <c:pt idx="816">
                  <c:v>-49</c:v>
                </c:pt>
                <c:pt idx="817">
                  <c:v>15</c:v>
                </c:pt>
                <c:pt idx="818">
                  <c:v>15</c:v>
                </c:pt>
                <c:pt idx="819">
                  <c:v>16</c:v>
                </c:pt>
                <c:pt idx="820">
                  <c:v>0</c:v>
                </c:pt>
                <c:pt idx="821">
                  <c:v>-14</c:v>
                </c:pt>
                <c:pt idx="822">
                  <c:v>-85</c:v>
                </c:pt>
                <c:pt idx="823">
                  <c:v>13</c:v>
                </c:pt>
                <c:pt idx="824">
                  <c:v>19</c:v>
                </c:pt>
                <c:pt idx="825">
                  <c:v>-3</c:v>
                </c:pt>
                <c:pt idx="826">
                  <c:v>-47</c:v>
                </c:pt>
                <c:pt idx="827">
                  <c:v>26</c:v>
                </c:pt>
                <c:pt idx="828">
                  <c:v>5</c:v>
                </c:pt>
                <c:pt idx="829">
                  <c:v>-86</c:v>
                </c:pt>
                <c:pt idx="830">
                  <c:v>-42</c:v>
                </c:pt>
                <c:pt idx="831">
                  <c:v>-101</c:v>
                </c:pt>
                <c:pt idx="832">
                  <c:v>38</c:v>
                </c:pt>
                <c:pt idx="833">
                  <c:v>-5</c:v>
                </c:pt>
                <c:pt idx="834">
                  <c:v>-17</c:v>
                </c:pt>
                <c:pt idx="835">
                  <c:v>-15</c:v>
                </c:pt>
                <c:pt idx="836">
                  <c:v>-4</c:v>
                </c:pt>
                <c:pt idx="837">
                  <c:v>-43</c:v>
                </c:pt>
                <c:pt idx="838">
                  <c:v>56</c:v>
                </c:pt>
                <c:pt idx="839">
                  <c:v>-5</c:v>
                </c:pt>
                <c:pt idx="840">
                  <c:v>25</c:v>
                </c:pt>
                <c:pt idx="841">
                  <c:v>22</c:v>
                </c:pt>
                <c:pt idx="842">
                  <c:v>-29</c:v>
                </c:pt>
                <c:pt idx="843">
                  <c:v>69</c:v>
                </c:pt>
                <c:pt idx="844">
                  <c:v>-52</c:v>
                </c:pt>
                <c:pt idx="845">
                  <c:v>-59</c:v>
                </c:pt>
                <c:pt idx="846">
                  <c:v>20</c:v>
                </c:pt>
                <c:pt idx="847">
                  <c:v>1</c:v>
                </c:pt>
                <c:pt idx="848">
                  <c:v>27</c:v>
                </c:pt>
                <c:pt idx="849">
                  <c:v>-113</c:v>
                </c:pt>
                <c:pt idx="850">
                  <c:v>43</c:v>
                </c:pt>
                <c:pt idx="851">
                  <c:v>17</c:v>
                </c:pt>
                <c:pt idx="852">
                  <c:v>14</c:v>
                </c:pt>
                <c:pt idx="853">
                  <c:v>0</c:v>
                </c:pt>
                <c:pt idx="854">
                  <c:v>28</c:v>
                </c:pt>
                <c:pt idx="855">
                  <c:v>6</c:v>
                </c:pt>
                <c:pt idx="856">
                  <c:v>-18</c:v>
                </c:pt>
                <c:pt idx="857">
                  <c:v>18</c:v>
                </c:pt>
                <c:pt idx="858">
                  <c:v>24</c:v>
                </c:pt>
                <c:pt idx="859">
                  <c:v>55</c:v>
                </c:pt>
                <c:pt idx="860">
                  <c:v>-8</c:v>
                </c:pt>
                <c:pt idx="861">
                  <c:v>-8</c:v>
                </c:pt>
                <c:pt idx="862">
                  <c:v>-56</c:v>
                </c:pt>
                <c:pt idx="863">
                  <c:v>21</c:v>
                </c:pt>
                <c:pt idx="864">
                  <c:v>6</c:v>
                </c:pt>
                <c:pt idx="865">
                  <c:v>1</c:v>
                </c:pt>
                <c:pt idx="866">
                  <c:v>11</c:v>
                </c:pt>
                <c:pt idx="867">
                  <c:v>-63</c:v>
                </c:pt>
                <c:pt idx="868">
                  <c:v>-3</c:v>
                </c:pt>
                <c:pt idx="869">
                  <c:v>28</c:v>
                </c:pt>
                <c:pt idx="870">
                  <c:v>-50</c:v>
                </c:pt>
                <c:pt idx="871">
                  <c:v>26</c:v>
                </c:pt>
                <c:pt idx="872">
                  <c:v>1</c:v>
                </c:pt>
                <c:pt idx="873">
                  <c:v>38</c:v>
                </c:pt>
                <c:pt idx="874">
                  <c:v>18</c:v>
                </c:pt>
                <c:pt idx="875">
                  <c:v>-23</c:v>
                </c:pt>
                <c:pt idx="876">
                  <c:v>14</c:v>
                </c:pt>
                <c:pt idx="877">
                  <c:v>-49</c:v>
                </c:pt>
                <c:pt idx="878">
                  <c:v>-11</c:v>
                </c:pt>
                <c:pt idx="879">
                  <c:v>26</c:v>
                </c:pt>
                <c:pt idx="880">
                  <c:v>86</c:v>
                </c:pt>
                <c:pt idx="881">
                  <c:v>-3</c:v>
                </c:pt>
                <c:pt idx="882">
                  <c:v>37</c:v>
                </c:pt>
                <c:pt idx="883">
                  <c:v>41</c:v>
                </c:pt>
                <c:pt idx="884">
                  <c:v>15</c:v>
                </c:pt>
                <c:pt idx="885">
                  <c:v>-14</c:v>
                </c:pt>
                <c:pt idx="886">
                  <c:v>-10</c:v>
                </c:pt>
                <c:pt idx="887">
                  <c:v>21</c:v>
                </c:pt>
                <c:pt idx="888">
                  <c:v>-11</c:v>
                </c:pt>
                <c:pt idx="889">
                  <c:v>0</c:v>
                </c:pt>
                <c:pt idx="890">
                  <c:v>12</c:v>
                </c:pt>
                <c:pt idx="891">
                  <c:v>13</c:v>
                </c:pt>
                <c:pt idx="892">
                  <c:v>5</c:v>
                </c:pt>
                <c:pt idx="893">
                  <c:v>-10</c:v>
                </c:pt>
                <c:pt idx="894">
                  <c:v>25</c:v>
                </c:pt>
                <c:pt idx="895">
                  <c:v>73</c:v>
                </c:pt>
                <c:pt idx="896">
                  <c:v>10</c:v>
                </c:pt>
                <c:pt idx="897">
                  <c:v>-21</c:v>
                </c:pt>
                <c:pt idx="898">
                  <c:v>-26</c:v>
                </c:pt>
                <c:pt idx="899">
                  <c:v>46</c:v>
                </c:pt>
                <c:pt idx="900">
                  <c:v>17</c:v>
                </c:pt>
                <c:pt idx="901">
                  <c:v>13</c:v>
                </c:pt>
                <c:pt idx="902">
                  <c:v>12</c:v>
                </c:pt>
                <c:pt idx="903">
                  <c:v>10</c:v>
                </c:pt>
                <c:pt idx="904">
                  <c:v>60</c:v>
                </c:pt>
                <c:pt idx="905">
                  <c:v>-52</c:v>
                </c:pt>
                <c:pt idx="906">
                  <c:v>3</c:v>
                </c:pt>
                <c:pt idx="907">
                  <c:v>-8</c:v>
                </c:pt>
                <c:pt idx="908">
                  <c:v>20</c:v>
                </c:pt>
                <c:pt idx="909">
                  <c:v>-166</c:v>
                </c:pt>
                <c:pt idx="910">
                  <c:v>0</c:v>
                </c:pt>
                <c:pt idx="911">
                  <c:v>89</c:v>
                </c:pt>
                <c:pt idx="912">
                  <c:v>17</c:v>
                </c:pt>
                <c:pt idx="913">
                  <c:v>-28</c:v>
                </c:pt>
                <c:pt idx="914">
                  <c:v>-94</c:v>
                </c:pt>
                <c:pt idx="915">
                  <c:v>-12</c:v>
                </c:pt>
                <c:pt idx="916">
                  <c:v>-12</c:v>
                </c:pt>
                <c:pt idx="917">
                  <c:v>17</c:v>
                </c:pt>
                <c:pt idx="918">
                  <c:v>24</c:v>
                </c:pt>
                <c:pt idx="919">
                  <c:v>14</c:v>
                </c:pt>
                <c:pt idx="920">
                  <c:v>17</c:v>
                </c:pt>
                <c:pt idx="921">
                  <c:v>22</c:v>
                </c:pt>
                <c:pt idx="922">
                  <c:v>27</c:v>
                </c:pt>
                <c:pt idx="923">
                  <c:v>-17</c:v>
                </c:pt>
                <c:pt idx="924">
                  <c:v>44</c:v>
                </c:pt>
                <c:pt idx="925">
                  <c:v>-65</c:v>
                </c:pt>
                <c:pt idx="926">
                  <c:v>5</c:v>
                </c:pt>
                <c:pt idx="927">
                  <c:v>27</c:v>
                </c:pt>
                <c:pt idx="928">
                  <c:v>7</c:v>
                </c:pt>
                <c:pt idx="929">
                  <c:v>21</c:v>
                </c:pt>
                <c:pt idx="930">
                  <c:v>4</c:v>
                </c:pt>
                <c:pt idx="931">
                  <c:v>-4</c:v>
                </c:pt>
                <c:pt idx="932">
                  <c:v>26</c:v>
                </c:pt>
                <c:pt idx="933">
                  <c:v>-119</c:v>
                </c:pt>
                <c:pt idx="934">
                  <c:v>51</c:v>
                </c:pt>
                <c:pt idx="935">
                  <c:v>18</c:v>
                </c:pt>
                <c:pt idx="936">
                  <c:v>0</c:v>
                </c:pt>
                <c:pt idx="937">
                  <c:v>16</c:v>
                </c:pt>
                <c:pt idx="938">
                  <c:v>58</c:v>
                </c:pt>
                <c:pt idx="939">
                  <c:v>8</c:v>
                </c:pt>
                <c:pt idx="940">
                  <c:v>36</c:v>
                </c:pt>
                <c:pt idx="941">
                  <c:v>4</c:v>
                </c:pt>
                <c:pt idx="942">
                  <c:v>-33</c:v>
                </c:pt>
                <c:pt idx="943">
                  <c:v>-1</c:v>
                </c:pt>
                <c:pt idx="944">
                  <c:v>56</c:v>
                </c:pt>
                <c:pt idx="945">
                  <c:v>73</c:v>
                </c:pt>
                <c:pt idx="946">
                  <c:v>-3</c:v>
                </c:pt>
                <c:pt idx="947">
                  <c:v>28</c:v>
                </c:pt>
                <c:pt idx="948">
                  <c:v>-19</c:v>
                </c:pt>
                <c:pt idx="949">
                  <c:v>29</c:v>
                </c:pt>
                <c:pt idx="950">
                  <c:v>4</c:v>
                </c:pt>
                <c:pt idx="951">
                  <c:v>12</c:v>
                </c:pt>
                <c:pt idx="952">
                  <c:v>5</c:v>
                </c:pt>
                <c:pt idx="953">
                  <c:v>-60</c:v>
                </c:pt>
                <c:pt idx="954">
                  <c:v>5</c:v>
                </c:pt>
                <c:pt idx="955">
                  <c:v>-145</c:v>
                </c:pt>
                <c:pt idx="956">
                  <c:v>4</c:v>
                </c:pt>
                <c:pt idx="957">
                  <c:v>-19</c:v>
                </c:pt>
                <c:pt idx="958">
                  <c:v>32</c:v>
                </c:pt>
                <c:pt idx="959">
                  <c:v>84</c:v>
                </c:pt>
                <c:pt idx="960">
                  <c:v>31</c:v>
                </c:pt>
                <c:pt idx="961">
                  <c:v>35</c:v>
                </c:pt>
                <c:pt idx="962">
                  <c:v>6</c:v>
                </c:pt>
                <c:pt idx="963">
                  <c:v>35</c:v>
                </c:pt>
                <c:pt idx="964">
                  <c:v>18</c:v>
                </c:pt>
                <c:pt idx="965">
                  <c:v>102</c:v>
                </c:pt>
                <c:pt idx="966">
                  <c:v>-39</c:v>
                </c:pt>
                <c:pt idx="967">
                  <c:v>33</c:v>
                </c:pt>
                <c:pt idx="968">
                  <c:v>6</c:v>
                </c:pt>
                <c:pt idx="969">
                  <c:v>6</c:v>
                </c:pt>
                <c:pt idx="970">
                  <c:v>27</c:v>
                </c:pt>
                <c:pt idx="971">
                  <c:v>41</c:v>
                </c:pt>
                <c:pt idx="972">
                  <c:v>-21</c:v>
                </c:pt>
                <c:pt idx="973">
                  <c:v>33</c:v>
                </c:pt>
                <c:pt idx="974">
                  <c:v>8</c:v>
                </c:pt>
                <c:pt idx="975">
                  <c:v>59</c:v>
                </c:pt>
                <c:pt idx="976">
                  <c:v>38</c:v>
                </c:pt>
                <c:pt idx="977">
                  <c:v>105</c:v>
                </c:pt>
                <c:pt idx="978">
                  <c:v>6</c:v>
                </c:pt>
                <c:pt idx="979">
                  <c:v>-11</c:v>
                </c:pt>
                <c:pt idx="980">
                  <c:v>-252</c:v>
                </c:pt>
                <c:pt idx="981">
                  <c:v>33</c:v>
                </c:pt>
                <c:pt idx="982">
                  <c:v>35</c:v>
                </c:pt>
                <c:pt idx="983">
                  <c:v>30</c:v>
                </c:pt>
                <c:pt idx="984">
                  <c:v>7</c:v>
                </c:pt>
                <c:pt idx="985">
                  <c:v>32</c:v>
                </c:pt>
                <c:pt idx="986">
                  <c:v>12</c:v>
                </c:pt>
                <c:pt idx="987">
                  <c:v>6</c:v>
                </c:pt>
                <c:pt idx="988">
                  <c:v>-3</c:v>
                </c:pt>
                <c:pt idx="989">
                  <c:v>5</c:v>
                </c:pt>
                <c:pt idx="990">
                  <c:v>-27</c:v>
                </c:pt>
                <c:pt idx="991">
                  <c:v>8</c:v>
                </c:pt>
                <c:pt idx="992">
                  <c:v>-27</c:v>
                </c:pt>
                <c:pt idx="993">
                  <c:v>36</c:v>
                </c:pt>
                <c:pt idx="994">
                  <c:v>15</c:v>
                </c:pt>
                <c:pt idx="995">
                  <c:v>1</c:v>
                </c:pt>
                <c:pt idx="996">
                  <c:v>38</c:v>
                </c:pt>
                <c:pt idx="997">
                  <c:v>215</c:v>
                </c:pt>
                <c:pt idx="998">
                  <c:v>-39</c:v>
                </c:pt>
                <c:pt idx="999">
                  <c:v>39</c:v>
                </c:pt>
                <c:pt idx="1000">
                  <c:v>18</c:v>
                </c:pt>
                <c:pt idx="1001">
                  <c:v>37</c:v>
                </c:pt>
                <c:pt idx="1002">
                  <c:v>41</c:v>
                </c:pt>
                <c:pt idx="1003">
                  <c:v>-49</c:v>
                </c:pt>
                <c:pt idx="1004">
                  <c:v>-81</c:v>
                </c:pt>
                <c:pt idx="1005">
                  <c:v>37</c:v>
                </c:pt>
                <c:pt idx="1006">
                  <c:v>14</c:v>
                </c:pt>
                <c:pt idx="1007">
                  <c:v>8</c:v>
                </c:pt>
                <c:pt idx="1008">
                  <c:v>-17</c:v>
                </c:pt>
                <c:pt idx="1009">
                  <c:v>-31</c:v>
                </c:pt>
                <c:pt idx="1010">
                  <c:v>7</c:v>
                </c:pt>
                <c:pt idx="1011">
                  <c:v>-3</c:v>
                </c:pt>
                <c:pt idx="1012">
                  <c:v>24</c:v>
                </c:pt>
                <c:pt idx="1013">
                  <c:v>-41</c:v>
                </c:pt>
                <c:pt idx="1014">
                  <c:v>14</c:v>
                </c:pt>
                <c:pt idx="1015">
                  <c:v>40</c:v>
                </c:pt>
                <c:pt idx="1016">
                  <c:v>-63</c:v>
                </c:pt>
                <c:pt idx="1017">
                  <c:v>-41</c:v>
                </c:pt>
                <c:pt idx="1018">
                  <c:v>-17</c:v>
                </c:pt>
                <c:pt idx="1019">
                  <c:v>5</c:v>
                </c:pt>
                <c:pt idx="1020">
                  <c:v>47</c:v>
                </c:pt>
                <c:pt idx="1021">
                  <c:v>-30</c:v>
                </c:pt>
                <c:pt idx="1022">
                  <c:v>3</c:v>
                </c:pt>
                <c:pt idx="1023">
                  <c:v>-24</c:v>
                </c:pt>
                <c:pt idx="1024">
                  <c:v>-51</c:v>
                </c:pt>
                <c:pt idx="1025">
                  <c:v>71</c:v>
                </c:pt>
                <c:pt idx="1026">
                  <c:v>11</c:v>
                </c:pt>
                <c:pt idx="1027">
                  <c:v>15</c:v>
                </c:pt>
                <c:pt idx="1028">
                  <c:v>-78</c:v>
                </c:pt>
                <c:pt idx="1029">
                  <c:v>42</c:v>
                </c:pt>
                <c:pt idx="1030">
                  <c:v>10</c:v>
                </c:pt>
                <c:pt idx="1031">
                  <c:v>91</c:v>
                </c:pt>
                <c:pt idx="1032">
                  <c:v>3</c:v>
                </c:pt>
                <c:pt idx="1033">
                  <c:v>33</c:v>
                </c:pt>
                <c:pt idx="1034">
                  <c:v>22</c:v>
                </c:pt>
                <c:pt idx="1035">
                  <c:v>44</c:v>
                </c:pt>
                <c:pt idx="1036">
                  <c:v>44</c:v>
                </c:pt>
                <c:pt idx="1037">
                  <c:v>-26</c:v>
                </c:pt>
                <c:pt idx="1038">
                  <c:v>-8</c:v>
                </c:pt>
                <c:pt idx="1039">
                  <c:v>16</c:v>
                </c:pt>
                <c:pt idx="1040">
                  <c:v>-114</c:v>
                </c:pt>
                <c:pt idx="1041">
                  <c:v>28</c:v>
                </c:pt>
                <c:pt idx="1042">
                  <c:v>1</c:v>
                </c:pt>
                <c:pt idx="1043">
                  <c:v>-2</c:v>
                </c:pt>
                <c:pt idx="1044">
                  <c:v>-64</c:v>
                </c:pt>
                <c:pt idx="1045">
                  <c:v>-3</c:v>
                </c:pt>
                <c:pt idx="1046">
                  <c:v>48</c:v>
                </c:pt>
                <c:pt idx="1047">
                  <c:v>36</c:v>
                </c:pt>
                <c:pt idx="1048">
                  <c:v>47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13</c:v>
                </c:pt>
                <c:pt idx="1053">
                  <c:v>13</c:v>
                </c:pt>
                <c:pt idx="1054">
                  <c:v>-14</c:v>
                </c:pt>
                <c:pt idx="1055">
                  <c:v>52</c:v>
                </c:pt>
                <c:pt idx="1056">
                  <c:v>29</c:v>
                </c:pt>
                <c:pt idx="1057">
                  <c:v>13</c:v>
                </c:pt>
                <c:pt idx="1058">
                  <c:v>9</c:v>
                </c:pt>
                <c:pt idx="1059">
                  <c:v>11</c:v>
                </c:pt>
                <c:pt idx="1060">
                  <c:v>50</c:v>
                </c:pt>
                <c:pt idx="1061">
                  <c:v>-51</c:v>
                </c:pt>
                <c:pt idx="1062">
                  <c:v>39</c:v>
                </c:pt>
                <c:pt idx="1063">
                  <c:v>14</c:v>
                </c:pt>
                <c:pt idx="1064">
                  <c:v>0</c:v>
                </c:pt>
                <c:pt idx="1065">
                  <c:v>6</c:v>
                </c:pt>
                <c:pt idx="1066">
                  <c:v>16</c:v>
                </c:pt>
                <c:pt idx="1067">
                  <c:v>-36</c:v>
                </c:pt>
                <c:pt idx="1068">
                  <c:v>12</c:v>
                </c:pt>
                <c:pt idx="1069">
                  <c:v>-6</c:v>
                </c:pt>
                <c:pt idx="1070">
                  <c:v>-44</c:v>
                </c:pt>
                <c:pt idx="1071">
                  <c:v>-2</c:v>
                </c:pt>
                <c:pt idx="1072">
                  <c:v>140</c:v>
                </c:pt>
                <c:pt idx="1073">
                  <c:v>138</c:v>
                </c:pt>
                <c:pt idx="1074">
                  <c:v>4</c:v>
                </c:pt>
                <c:pt idx="1075">
                  <c:v>-2</c:v>
                </c:pt>
                <c:pt idx="1076">
                  <c:v>75</c:v>
                </c:pt>
                <c:pt idx="1077">
                  <c:v>28</c:v>
                </c:pt>
                <c:pt idx="1078">
                  <c:v>2</c:v>
                </c:pt>
                <c:pt idx="1079">
                  <c:v>-270</c:v>
                </c:pt>
                <c:pt idx="1080">
                  <c:v>-147</c:v>
                </c:pt>
                <c:pt idx="1081">
                  <c:v>-64</c:v>
                </c:pt>
                <c:pt idx="1082">
                  <c:v>11</c:v>
                </c:pt>
                <c:pt idx="1083">
                  <c:v>14</c:v>
                </c:pt>
                <c:pt idx="1084">
                  <c:v>312</c:v>
                </c:pt>
                <c:pt idx="1085">
                  <c:v>-280</c:v>
                </c:pt>
                <c:pt idx="1086">
                  <c:v>10</c:v>
                </c:pt>
                <c:pt idx="1087">
                  <c:v>-180</c:v>
                </c:pt>
                <c:pt idx="1088">
                  <c:v>-31</c:v>
                </c:pt>
                <c:pt idx="1089">
                  <c:v>-10</c:v>
                </c:pt>
                <c:pt idx="1090">
                  <c:v>5</c:v>
                </c:pt>
                <c:pt idx="1091">
                  <c:v>-27</c:v>
                </c:pt>
                <c:pt idx="1092">
                  <c:v>144</c:v>
                </c:pt>
                <c:pt idx="1093">
                  <c:v>2</c:v>
                </c:pt>
                <c:pt idx="1094">
                  <c:v>-12</c:v>
                </c:pt>
                <c:pt idx="1095">
                  <c:v>26</c:v>
                </c:pt>
                <c:pt idx="1096">
                  <c:v>-5</c:v>
                </c:pt>
                <c:pt idx="1097">
                  <c:v>-39</c:v>
                </c:pt>
                <c:pt idx="1098">
                  <c:v>17</c:v>
                </c:pt>
                <c:pt idx="1099">
                  <c:v>21</c:v>
                </c:pt>
                <c:pt idx="1100">
                  <c:v>50</c:v>
                </c:pt>
                <c:pt idx="1101">
                  <c:v>42</c:v>
                </c:pt>
                <c:pt idx="1102">
                  <c:v>44</c:v>
                </c:pt>
                <c:pt idx="1103">
                  <c:v>0</c:v>
                </c:pt>
                <c:pt idx="1104">
                  <c:v>-15</c:v>
                </c:pt>
                <c:pt idx="1105">
                  <c:v>160</c:v>
                </c:pt>
                <c:pt idx="1106">
                  <c:v>11</c:v>
                </c:pt>
                <c:pt idx="1107">
                  <c:v>13</c:v>
                </c:pt>
                <c:pt idx="1108">
                  <c:v>28</c:v>
                </c:pt>
                <c:pt idx="1109">
                  <c:v>7</c:v>
                </c:pt>
                <c:pt idx="1110">
                  <c:v>-3</c:v>
                </c:pt>
                <c:pt idx="1111">
                  <c:v>-13</c:v>
                </c:pt>
                <c:pt idx="1112">
                  <c:v>52</c:v>
                </c:pt>
                <c:pt idx="1113">
                  <c:v>58</c:v>
                </c:pt>
                <c:pt idx="1114">
                  <c:v>-1</c:v>
                </c:pt>
                <c:pt idx="1115">
                  <c:v>-25</c:v>
                </c:pt>
                <c:pt idx="1116">
                  <c:v>74</c:v>
                </c:pt>
                <c:pt idx="1117">
                  <c:v>-154</c:v>
                </c:pt>
                <c:pt idx="1118">
                  <c:v>-34</c:v>
                </c:pt>
                <c:pt idx="1119">
                  <c:v>38</c:v>
                </c:pt>
                <c:pt idx="1120">
                  <c:v>0</c:v>
                </c:pt>
                <c:pt idx="1121">
                  <c:v>74</c:v>
                </c:pt>
                <c:pt idx="1122">
                  <c:v>32</c:v>
                </c:pt>
                <c:pt idx="1123">
                  <c:v>59</c:v>
                </c:pt>
                <c:pt idx="1124">
                  <c:v>30</c:v>
                </c:pt>
                <c:pt idx="1125">
                  <c:v>12</c:v>
                </c:pt>
                <c:pt idx="1126">
                  <c:v>-26</c:v>
                </c:pt>
                <c:pt idx="1127">
                  <c:v>25</c:v>
                </c:pt>
                <c:pt idx="1128">
                  <c:v>11</c:v>
                </c:pt>
                <c:pt idx="1129">
                  <c:v>13</c:v>
                </c:pt>
                <c:pt idx="1130">
                  <c:v>21</c:v>
                </c:pt>
                <c:pt idx="1131">
                  <c:v>27</c:v>
                </c:pt>
                <c:pt idx="1132">
                  <c:v>6</c:v>
                </c:pt>
                <c:pt idx="1133">
                  <c:v>10</c:v>
                </c:pt>
                <c:pt idx="1134">
                  <c:v>-24</c:v>
                </c:pt>
                <c:pt idx="1135">
                  <c:v>-22</c:v>
                </c:pt>
                <c:pt idx="1136">
                  <c:v>16</c:v>
                </c:pt>
                <c:pt idx="1137">
                  <c:v>17</c:v>
                </c:pt>
                <c:pt idx="1138">
                  <c:v>-7</c:v>
                </c:pt>
                <c:pt idx="1139">
                  <c:v>74</c:v>
                </c:pt>
                <c:pt idx="1140">
                  <c:v>-26</c:v>
                </c:pt>
                <c:pt idx="1141">
                  <c:v>18</c:v>
                </c:pt>
                <c:pt idx="1142">
                  <c:v>-18</c:v>
                </c:pt>
                <c:pt idx="1143">
                  <c:v>7</c:v>
                </c:pt>
                <c:pt idx="1144">
                  <c:v>-37</c:v>
                </c:pt>
                <c:pt idx="1145">
                  <c:v>14</c:v>
                </c:pt>
                <c:pt idx="1146">
                  <c:v>-4</c:v>
                </c:pt>
                <c:pt idx="1147">
                  <c:v>139</c:v>
                </c:pt>
                <c:pt idx="1148">
                  <c:v>18</c:v>
                </c:pt>
                <c:pt idx="1149">
                  <c:v>9</c:v>
                </c:pt>
                <c:pt idx="1150">
                  <c:v>10</c:v>
                </c:pt>
                <c:pt idx="1151">
                  <c:v>4</c:v>
                </c:pt>
                <c:pt idx="1152">
                  <c:v>-94</c:v>
                </c:pt>
                <c:pt idx="1153">
                  <c:v>15</c:v>
                </c:pt>
                <c:pt idx="1154">
                  <c:v>24</c:v>
                </c:pt>
                <c:pt idx="1155">
                  <c:v>115</c:v>
                </c:pt>
                <c:pt idx="1156">
                  <c:v>33</c:v>
                </c:pt>
                <c:pt idx="1157">
                  <c:v>62</c:v>
                </c:pt>
                <c:pt idx="1158">
                  <c:v>-4</c:v>
                </c:pt>
                <c:pt idx="1159">
                  <c:v>90</c:v>
                </c:pt>
                <c:pt idx="1160">
                  <c:v>137</c:v>
                </c:pt>
                <c:pt idx="1161">
                  <c:v>-17</c:v>
                </c:pt>
                <c:pt idx="1162">
                  <c:v>127</c:v>
                </c:pt>
                <c:pt idx="1163">
                  <c:v>-7</c:v>
                </c:pt>
                <c:pt idx="1164">
                  <c:v>-10</c:v>
                </c:pt>
                <c:pt idx="1165">
                  <c:v>73</c:v>
                </c:pt>
                <c:pt idx="1166">
                  <c:v>208</c:v>
                </c:pt>
                <c:pt idx="1167">
                  <c:v>26</c:v>
                </c:pt>
                <c:pt idx="1168">
                  <c:v>31</c:v>
                </c:pt>
                <c:pt idx="1169">
                  <c:v>-56</c:v>
                </c:pt>
                <c:pt idx="1170">
                  <c:v>16</c:v>
                </c:pt>
                <c:pt idx="1171">
                  <c:v>-143</c:v>
                </c:pt>
                <c:pt idx="1172">
                  <c:v>3</c:v>
                </c:pt>
                <c:pt idx="1173">
                  <c:v>59</c:v>
                </c:pt>
                <c:pt idx="1174">
                  <c:v>33</c:v>
                </c:pt>
                <c:pt idx="1175">
                  <c:v>46</c:v>
                </c:pt>
                <c:pt idx="1176">
                  <c:v>-13</c:v>
                </c:pt>
                <c:pt idx="1177">
                  <c:v>63</c:v>
                </c:pt>
                <c:pt idx="1178">
                  <c:v>12</c:v>
                </c:pt>
                <c:pt idx="1179">
                  <c:v>56</c:v>
                </c:pt>
                <c:pt idx="1180">
                  <c:v>3</c:v>
                </c:pt>
                <c:pt idx="1181">
                  <c:v>-67</c:v>
                </c:pt>
                <c:pt idx="1182">
                  <c:v>-83</c:v>
                </c:pt>
                <c:pt idx="1183">
                  <c:v>-43</c:v>
                </c:pt>
                <c:pt idx="1184">
                  <c:v>21</c:v>
                </c:pt>
                <c:pt idx="1185">
                  <c:v>146</c:v>
                </c:pt>
                <c:pt idx="1186">
                  <c:v>-22</c:v>
                </c:pt>
                <c:pt idx="1187">
                  <c:v>-12</c:v>
                </c:pt>
                <c:pt idx="1188">
                  <c:v>28</c:v>
                </c:pt>
                <c:pt idx="1189">
                  <c:v>-27</c:v>
                </c:pt>
                <c:pt idx="1190">
                  <c:v>8</c:v>
                </c:pt>
                <c:pt idx="1191">
                  <c:v>55</c:v>
                </c:pt>
                <c:pt idx="1192">
                  <c:v>74</c:v>
                </c:pt>
                <c:pt idx="1193">
                  <c:v>13</c:v>
                </c:pt>
                <c:pt idx="1194">
                  <c:v>14</c:v>
                </c:pt>
                <c:pt idx="1195">
                  <c:v>1</c:v>
                </c:pt>
                <c:pt idx="1196">
                  <c:v>10</c:v>
                </c:pt>
                <c:pt idx="1197">
                  <c:v>-23</c:v>
                </c:pt>
                <c:pt idx="1198">
                  <c:v>179</c:v>
                </c:pt>
                <c:pt idx="1199">
                  <c:v>203</c:v>
                </c:pt>
                <c:pt idx="1200">
                  <c:v>-25</c:v>
                </c:pt>
                <c:pt idx="1201">
                  <c:v>183</c:v>
                </c:pt>
                <c:pt idx="1202">
                  <c:v>56</c:v>
                </c:pt>
                <c:pt idx="1203">
                  <c:v>28</c:v>
                </c:pt>
                <c:pt idx="1204">
                  <c:v>17</c:v>
                </c:pt>
                <c:pt idx="1205">
                  <c:v>-8</c:v>
                </c:pt>
                <c:pt idx="1206">
                  <c:v>136</c:v>
                </c:pt>
                <c:pt idx="1207">
                  <c:v>-34</c:v>
                </c:pt>
                <c:pt idx="1208">
                  <c:v>10</c:v>
                </c:pt>
                <c:pt idx="1209">
                  <c:v>9</c:v>
                </c:pt>
                <c:pt idx="1210">
                  <c:v>31</c:v>
                </c:pt>
                <c:pt idx="1211">
                  <c:v>6</c:v>
                </c:pt>
                <c:pt idx="1212">
                  <c:v>-12</c:v>
                </c:pt>
                <c:pt idx="1213">
                  <c:v>3</c:v>
                </c:pt>
                <c:pt idx="1214">
                  <c:v>6</c:v>
                </c:pt>
                <c:pt idx="1215">
                  <c:v>77</c:v>
                </c:pt>
                <c:pt idx="1216">
                  <c:v>10</c:v>
                </c:pt>
                <c:pt idx="1217">
                  <c:v>68</c:v>
                </c:pt>
                <c:pt idx="1218">
                  <c:v>137</c:v>
                </c:pt>
                <c:pt idx="1219">
                  <c:v>0</c:v>
                </c:pt>
                <c:pt idx="1220">
                  <c:v>-6</c:v>
                </c:pt>
                <c:pt idx="1221">
                  <c:v>63</c:v>
                </c:pt>
                <c:pt idx="1222">
                  <c:v>-44</c:v>
                </c:pt>
                <c:pt idx="1223">
                  <c:v>-33</c:v>
                </c:pt>
                <c:pt idx="1224">
                  <c:v>18</c:v>
                </c:pt>
                <c:pt idx="1225">
                  <c:v>0</c:v>
                </c:pt>
                <c:pt idx="1226">
                  <c:v>9</c:v>
                </c:pt>
                <c:pt idx="1227">
                  <c:v>-113</c:v>
                </c:pt>
                <c:pt idx="1228">
                  <c:v>-10</c:v>
                </c:pt>
                <c:pt idx="1229">
                  <c:v>-3</c:v>
                </c:pt>
                <c:pt idx="1230">
                  <c:v>15</c:v>
                </c:pt>
                <c:pt idx="1231">
                  <c:v>-25</c:v>
                </c:pt>
                <c:pt idx="1232">
                  <c:v>6</c:v>
                </c:pt>
                <c:pt idx="1233">
                  <c:v>0</c:v>
                </c:pt>
                <c:pt idx="1234">
                  <c:v>5</c:v>
                </c:pt>
                <c:pt idx="1235">
                  <c:v>-146</c:v>
                </c:pt>
                <c:pt idx="1236">
                  <c:v>-128</c:v>
                </c:pt>
                <c:pt idx="1237">
                  <c:v>81</c:v>
                </c:pt>
                <c:pt idx="1238">
                  <c:v>85</c:v>
                </c:pt>
                <c:pt idx="1239">
                  <c:v>54</c:v>
                </c:pt>
                <c:pt idx="1240">
                  <c:v>11</c:v>
                </c:pt>
                <c:pt idx="1241">
                  <c:v>0</c:v>
                </c:pt>
                <c:pt idx="1242">
                  <c:v>-18</c:v>
                </c:pt>
                <c:pt idx="1243">
                  <c:v>85</c:v>
                </c:pt>
                <c:pt idx="1244">
                  <c:v>-43</c:v>
                </c:pt>
                <c:pt idx="1245">
                  <c:v>131</c:v>
                </c:pt>
                <c:pt idx="1246">
                  <c:v>-5</c:v>
                </c:pt>
                <c:pt idx="1247">
                  <c:v>-10</c:v>
                </c:pt>
                <c:pt idx="1248">
                  <c:v>-13</c:v>
                </c:pt>
                <c:pt idx="1249">
                  <c:v>194</c:v>
                </c:pt>
                <c:pt idx="1250">
                  <c:v>-53</c:v>
                </c:pt>
                <c:pt idx="1251">
                  <c:v>215</c:v>
                </c:pt>
                <c:pt idx="1252">
                  <c:v>69</c:v>
                </c:pt>
                <c:pt idx="1253">
                  <c:v>-19</c:v>
                </c:pt>
                <c:pt idx="1254">
                  <c:v>-10</c:v>
                </c:pt>
                <c:pt idx="1255">
                  <c:v>52</c:v>
                </c:pt>
                <c:pt idx="1256">
                  <c:v>-174</c:v>
                </c:pt>
                <c:pt idx="1257">
                  <c:v>26</c:v>
                </c:pt>
                <c:pt idx="1258">
                  <c:v>44</c:v>
                </c:pt>
                <c:pt idx="1259">
                  <c:v>108</c:v>
                </c:pt>
                <c:pt idx="1260">
                  <c:v>2</c:v>
                </c:pt>
                <c:pt idx="1261">
                  <c:v>3</c:v>
                </c:pt>
                <c:pt idx="1262">
                  <c:v>-3</c:v>
                </c:pt>
                <c:pt idx="1263">
                  <c:v>14</c:v>
                </c:pt>
                <c:pt idx="1264">
                  <c:v>139</c:v>
                </c:pt>
                <c:pt idx="1265">
                  <c:v>-24</c:v>
                </c:pt>
                <c:pt idx="1266">
                  <c:v>213</c:v>
                </c:pt>
                <c:pt idx="1267">
                  <c:v>72</c:v>
                </c:pt>
                <c:pt idx="1268">
                  <c:v>90</c:v>
                </c:pt>
                <c:pt idx="1269">
                  <c:v>92</c:v>
                </c:pt>
                <c:pt idx="1270">
                  <c:v>93</c:v>
                </c:pt>
                <c:pt idx="1271">
                  <c:v>97</c:v>
                </c:pt>
                <c:pt idx="1272">
                  <c:v>90</c:v>
                </c:pt>
                <c:pt idx="1273">
                  <c:v>-10</c:v>
                </c:pt>
                <c:pt idx="1274">
                  <c:v>12</c:v>
                </c:pt>
                <c:pt idx="1275">
                  <c:v>-102</c:v>
                </c:pt>
                <c:pt idx="1276">
                  <c:v>113</c:v>
                </c:pt>
                <c:pt idx="1277">
                  <c:v>-69</c:v>
                </c:pt>
                <c:pt idx="1278">
                  <c:v>37</c:v>
                </c:pt>
                <c:pt idx="1279">
                  <c:v>4</c:v>
                </c:pt>
                <c:pt idx="1280">
                  <c:v>-444</c:v>
                </c:pt>
                <c:pt idx="1281">
                  <c:v>6</c:v>
                </c:pt>
                <c:pt idx="1282">
                  <c:v>-1</c:v>
                </c:pt>
                <c:pt idx="1283">
                  <c:v>-20</c:v>
                </c:pt>
                <c:pt idx="1284">
                  <c:v>5</c:v>
                </c:pt>
                <c:pt idx="1285">
                  <c:v>4</c:v>
                </c:pt>
                <c:pt idx="1286">
                  <c:v>-349</c:v>
                </c:pt>
                <c:pt idx="1287">
                  <c:v>166</c:v>
                </c:pt>
                <c:pt idx="1288">
                  <c:v>-204</c:v>
                </c:pt>
                <c:pt idx="1289">
                  <c:v>9</c:v>
                </c:pt>
                <c:pt idx="1290">
                  <c:v>-6</c:v>
                </c:pt>
                <c:pt idx="1291">
                  <c:v>212</c:v>
                </c:pt>
                <c:pt idx="1292">
                  <c:v>110</c:v>
                </c:pt>
                <c:pt idx="1293">
                  <c:v>-25</c:v>
                </c:pt>
                <c:pt idx="1294">
                  <c:v>-114</c:v>
                </c:pt>
                <c:pt idx="1295">
                  <c:v>-45</c:v>
                </c:pt>
                <c:pt idx="1296">
                  <c:v>13</c:v>
                </c:pt>
                <c:pt idx="1297">
                  <c:v>-27</c:v>
                </c:pt>
                <c:pt idx="1298">
                  <c:v>2</c:v>
                </c:pt>
                <c:pt idx="1299">
                  <c:v>-633</c:v>
                </c:pt>
                <c:pt idx="1300">
                  <c:v>9</c:v>
                </c:pt>
                <c:pt idx="1301">
                  <c:v>93</c:v>
                </c:pt>
                <c:pt idx="1302">
                  <c:v>80</c:v>
                </c:pt>
                <c:pt idx="1303">
                  <c:v>261</c:v>
                </c:pt>
                <c:pt idx="1304">
                  <c:v>15</c:v>
                </c:pt>
                <c:pt idx="1305">
                  <c:v>7</c:v>
                </c:pt>
                <c:pt idx="1306">
                  <c:v>195</c:v>
                </c:pt>
                <c:pt idx="1307">
                  <c:v>12</c:v>
                </c:pt>
                <c:pt idx="1308">
                  <c:v>-24</c:v>
                </c:pt>
                <c:pt idx="1309">
                  <c:v>7</c:v>
                </c:pt>
                <c:pt idx="1310">
                  <c:v>-30</c:v>
                </c:pt>
                <c:pt idx="1311">
                  <c:v>-12</c:v>
                </c:pt>
                <c:pt idx="1312">
                  <c:v>-2</c:v>
                </c:pt>
                <c:pt idx="1313">
                  <c:v>169</c:v>
                </c:pt>
                <c:pt idx="1314">
                  <c:v>107</c:v>
                </c:pt>
                <c:pt idx="1315">
                  <c:v>-6</c:v>
                </c:pt>
                <c:pt idx="1316">
                  <c:v>5</c:v>
                </c:pt>
                <c:pt idx="1317">
                  <c:v>240</c:v>
                </c:pt>
                <c:pt idx="1318">
                  <c:v>-23</c:v>
                </c:pt>
                <c:pt idx="1319">
                  <c:v>9</c:v>
                </c:pt>
                <c:pt idx="1320">
                  <c:v>1</c:v>
                </c:pt>
                <c:pt idx="1321">
                  <c:v>-3</c:v>
                </c:pt>
                <c:pt idx="1322">
                  <c:v>2</c:v>
                </c:pt>
                <c:pt idx="1323">
                  <c:v>-26</c:v>
                </c:pt>
                <c:pt idx="1324">
                  <c:v>5</c:v>
                </c:pt>
                <c:pt idx="1325">
                  <c:v>-15</c:v>
                </c:pt>
                <c:pt idx="1326">
                  <c:v>11</c:v>
                </c:pt>
                <c:pt idx="1327">
                  <c:v>-6</c:v>
                </c:pt>
                <c:pt idx="1328">
                  <c:v>193</c:v>
                </c:pt>
                <c:pt idx="1329">
                  <c:v>-103</c:v>
                </c:pt>
                <c:pt idx="1330">
                  <c:v>-3</c:v>
                </c:pt>
                <c:pt idx="1331">
                  <c:v>3</c:v>
                </c:pt>
                <c:pt idx="1332">
                  <c:v>-56</c:v>
                </c:pt>
                <c:pt idx="1333">
                  <c:v>169</c:v>
                </c:pt>
                <c:pt idx="1334">
                  <c:v>203</c:v>
                </c:pt>
                <c:pt idx="1335">
                  <c:v>4</c:v>
                </c:pt>
                <c:pt idx="1336">
                  <c:v>43</c:v>
                </c:pt>
                <c:pt idx="1337">
                  <c:v>-447</c:v>
                </c:pt>
                <c:pt idx="1338">
                  <c:v>253</c:v>
                </c:pt>
                <c:pt idx="1339">
                  <c:v>10</c:v>
                </c:pt>
                <c:pt idx="1340">
                  <c:v>-2</c:v>
                </c:pt>
                <c:pt idx="1341">
                  <c:v>-8</c:v>
                </c:pt>
                <c:pt idx="1342">
                  <c:v>31</c:v>
                </c:pt>
                <c:pt idx="1343">
                  <c:v>-153</c:v>
                </c:pt>
                <c:pt idx="1344">
                  <c:v>8</c:v>
                </c:pt>
                <c:pt idx="1345">
                  <c:v>-5</c:v>
                </c:pt>
                <c:pt idx="1346">
                  <c:v>8</c:v>
                </c:pt>
                <c:pt idx="1347">
                  <c:v>89</c:v>
                </c:pt>
                <c:pt idx="1348">
                  <c:v>-15</c:v>
                </c:pt>
                <c:pt idx="1349">
                  <c:v>594</c:v>
                </c:pt>
                <c:pt idx="1350">
                  <c:v>-2</c:v>
                </c:pt>
                <c:pt idx="1351">
                  <c:v>2</c:v>
                </c:pt>
                <c:pt idx="1352">
                  <c:v>43</c:v>
                </c:pt>
                <c:pt idx="1353">
                  <c:v>52</c:v>
                </c:pt>
                <c:pt idx="1354">
                  <c:v>-66</c:v>
                </c:pt>
                <c:pt idx="1355">
                  <c:v>4</c:v>
                </c:pt>
                <c:pt idx="1356">
                  <c:v>180</c:v>
                </c:pt>
                <c:pt idx="1357">
                  <c:v>-353</c:v>
                </c:pt>
                <c:pt idx="1358">
                  <c:v>323</c:v>
                </c:pt>
                <c:pt idx="1359">
                  <c:v>-17</c:v>
                </c:pt>
                <c:pt idx="1360">
                  <c:v>-6</c:v>
                </c:pt>
                <c:pt idx="1361">
                  <c:v>187</c:v>
                </c:pt>
                <c:pt idx="1362">
                  <c:v>-96</c:v>
                </c:pt>
                <c:pt idx="1363">
                  <c:v>2</c:v>
                </c:pt>
                <c:pt idx="1364">
                  <c:v>120</c:v>
                </c:pt>
                <c:pt idx="1365">
                  <c:v>154</c:v>
                </c:pt>
                <c:pt idx="1366">
                  <c:v>267</c:v>
                </c:pt>
                <c:pt idx="1367">
                  <c:v>-5</c:v>
                </c:pt>
                <c:pt idx="1368">
                  <c:v>-190</c:v>
                </c:pt>
                <c:pt idx="1369">
                  <c:v>-1</c:v>
                </c:pt>
                <c:pt idx="1370">
                  <c:v>0</c:v>
                </c:pt>
                <c:pt idx="1371">
                  <c:v>93</c:v>
                </c:pt>
                <c:pt idx="1372">
                  <c:v>6</c:v>
                </c:pt>
                <c:pt idx="1373">
                  <c:v>-5</c:v>
                </c:pt>
                <c:pt idx="1374">
                  <c:v>-242</c:v>
                </c:pt>
                <c:pt idx="1375">
                  <c:v>-91</c:v>
                </c:pt>
                <c:pt idx="1376">
                  <c:v>9</c:v>
                </c:pt>
                <c:pt idx="1377">
                  <c:v>385</c:v>
                </c:pt>
                <c:pt idx="1378">
                  <c:v>131</c:v>
                </c:pt>
                <c:pt idx="1379">
                  <c:v>-18</c:v>
                </c:pt>
                <c:pt idx="1380">
                  <c:v>-66</c:v>
                </c:pt>
                <c:pt idx="1381">
                  <c:v>97</c:v>
                </c:pt>
                <c:pt idx="1382">
                  <c:v>-8</c:v>
                </c:pt>
                <c:pt idx="1383">
                  <c:v>11</c:v>
                </c:pt>
                <c:pt idx="1384">
                  <c:v>4</c:v>
                </c:pt>
                <c:pt idx="1385">
                  <c:v>1</c:v>
                </c:pt>
                <c:pt idx="1386">
                  <c:v>202</c:v>
                </c:pt>
                <c:pt idx="1387">
                  <c:v>2</c:v>
                </c:pt>
                <c:pt idx="1388">
                  <c:v>355</c:v>
                </c:pt>
                <c:pt idx="1389">
                  <c:v>-129</c:v>
                </c:pt>
                <c:pt idx="1390">
                  <c:v>22</c:v>
                </c:pt>
                <c:pt idx="1391">
                  <c:v>-447</c:v>
                </c:pt>
                <c:pt idx="1392">
                  <c:v>8</c:v>
                </c:pt>
                <c:pt idx="1393">
                  <c:v>207</c:v>
                </c:pt>
                <c:pt idx="1394">
                  <c:v>-9</c:v>
                </c:pt>
                <c:pt idx="1395">
                  <c:v>114</c:v>
                </c:pt>
                <c:pt idx="1396">
                  <c:v>-10</c:v>
                </c:pt>
                <c:pt idx="1397">
                  <c:v>95</c:v>
                </c:pt>
                <c:pt idx="1398">
                  <c:v>-99</c:v>
                </c:pt>
                <c:pt idx="1399">
                  <c:v>305</c:v>
                </c:pt>
                <c:pt idx="1400">
                  <c:v>293</c:v>
                </c:pt>
                <c:pt idx="1401">
                  <c:v>0</c:v>
                </c:pt>
                <c:pt idx="1402">
                  <c:v>-15</c:v>
                </c:pt>
                <c:pt idx="1403">
                  <c:v>6</c:v>
                </c:pt>
                <c:pt idx="1404">
                  <c:v>206</c:v>
                </c:pt>
                <c:pt idx="1405">
                  <c:v>82</c:v>
                </c:pt>
                <c:pt idx="1406">
                  <c:v>8</c:v>
                </c:pt>
                <c:pt idx="1407">
                  <c:v>8</c:v>
                </c:pt>
                <c:pt idx="1408">
                  <c:v>-130</c:v>
                </c:pt>
                <c:pt idx="1409">
                  <c:v>6</c:v>
                </c:pt>
                <c:pt idx="1410">
                  <c:v>197</c:v>
                </c:pt>
                <c:pt idx="1411">
                  <c:v>1</c:v>
                </c:pt>
                <c:pt idx="1412">
                  <c:v>-38</c:v>
                </c:pt>
                <c:pt idx="1413">
                  <c:v>2</c:v>
                </c:pt>
                <c:pt idx="1414">
                  <c:v>352</c:v>
                </c:pt>
                <c:pt idx="1415">
                  <c:v>2</c:v>
                </c:pt>
                <c:pt idx="1416">
                  <c:v>209</c:v>
                </c:pt>
                <c:pt idx="1417">
                  <c:v>2</c:v>
                </c:pt>
                <c:pt idx="1418">
                  <c:v>5</c:v>
                </c:pt>
                <c:pt idx="1419">
                  <c:v>-3</c:v>
                </c:pt>
                <c:pt idx="1420">
                  <c:v>-1</c:v>
                </c:pt>
                <c:pt idx="1421">
                  <c:v>-8</c:v>
                </c:pt>
                <c:pt idx="1422">
                  <c:v>-1</c:v>
                </c:pt>
                <c:pt idx="1423">
                  <c:v>1148</c:v>
                </c:pt>
                <c:pt idx="1424">
                  <c:v>1</c:v>
                </c:pt>
                <c:pt idx="1425">
                  <c:v>0</c:v>
                </c:pt>
                <c:pt idx="1426">
                  <c:v>546</c:v>
                </c:pt>
                <c:pt idx="1427">
                  <c:v>-2</c:v>
                </c:pt>
                <c:pt idx="1428">
                  <c:v>3</c:v>
                </c:pt>
                <c:pt idx="1429">
                  <c:v>5</c:v>
                </c:pt>
                <c:pt idx="1430">
                  <c:v>-13</c:v>
                </c:pt>
                <c:pt idx="1431">
                  <c:v>-9</c:v>
                </c:pt>
                <c:pt idx="1432">
                  <c:v>-56</c:v>
                </c:pt>
                <c:pt idx="1433">
                  <c:v>-153</c:v>
                </c:pt>
                <c:pt idx="1434">
                  <c:v>7</c:v>
                </c:pt>
                <c:pt idx="1435">
                  <c:v>2</c:v>
                </c:pt>
                <c:pt idx="1436">
                  <c:v>-12</c:v>
                </c:pt>
                <c:pt idx="1437">
                  <c:v>-11</c:v>
                </c:pt>
                <c:pt idx="1438">
                  <c:v>-244</c:v>
                </c:pt>
                <c:pt idx="1439">
                  <c:v>62</c:v>
                </c:pt>
                <c:pt idx="1440">
                  <c:v>1</c:v>
                </c:pt>
                <c:pt idx="1441">
                  <c:v>-4</c:v>
                </c:pt>
                <c:pt idx="1442">
                  <c:v>318</c:v>
                </c:pt>
                <c:pt idx="1443">
                  <c:v>567</c:v>
                </c:pt>
                <c:pt idx="1444">
                  <c:v>109</c:v>
                </c:pt>
                <c:pt idx="1445">
                  <c:v>742</c:v>
                </c:pt>
                <c:pt idx="1446">
                  <c:v>111</c:v>
                </c:pt>
                <c:pt idx="1447">
                  <c:v>-60</c:v>
                </c:pt>
                <c:pt idx="1448">
                  <c:v>2</c:v>
                </c:pt>
                <c:pt idx="1449">
                  <c:v>-2</c:v>
                </c:pt>
                <c:pt idx="1450">
                  <c:v>-443</c:v>
                </c:pt>
                <c:pt idx="1451">
                  <c:v>352</c:v>
                </c:pt>
                <c:pt idx="1452">
                  <c:v>315</c:v>
                </c:pt>
                <c:pt idx="1453">
                  <c:v>346</c:v>
                </c:pt>
                <c:pt idx="1454">
                  <c:v>-420</c:v>
                </c:pt>
                <c:pt idx="1455">
                  <c:v>441</c:v>
                </c:pt>
                <c:pt idx="1456">
                  <c:v>5</c:v>
                </c:pt>
                <c:pt idx="1457">
                  <c:v>552</c:v>
                </c:pt>
                <c:pt idx="1458">
                  <c:v>-6</c:v>
                </c:pt>
                <c:pt idx="1459">
                  <c:v>-12</c:v>
                </c:pt>
                <c:pt idx="1460">
                  <c:v>3</c:v>
                </c:pt>
                <c:pt idx="1461">
                  <c:v>421</c:v>
                </c:pt>
                <c:pt idx="1462">
                  <c:v>568</c:v>
                </c:pt>
                <c:pt idx="1463">
                  <c:v>-9</c:v>
                </c:pt>
                <c:pt idx="1464">
                  <c:v>-7</c:v>
                </c:pt>
                <c:pt idx="1465">
                  <c:v>5</c:v>
                </c:pt>
                <c:pt idx="1466">
                  <c:v>7</c:v>
                </c:pt>
                <c:pt idx="1467">
                  <c:v>-2</c:v>
                </c:pt>
                <c:pt idx="1468">
                  <c:v>680</c:v>
                </c:pt>
                <c:pt idx="1469">
                  <c:v>-1</c:v>
                </c:pt>
                <c:pt idx="1470">
                  <c:v>-2</c:v>
                </c:pt>
                <c:pt idx="1471">
                  <c:v>4</c:v>
                </c:pt>
                <c:pt idx="1472">
                  <c:v>-6</c:v>
                </c:pt>
                <c:pt idx="1473">
                  <c:v>2</c:v>
                </c:pt>
                <c:pt idx="1474">
                  <c:v>309</c:v>
                </c:pt>
                <c:pt idx="1475">
                  <c:v>447</c:v>
                </c:pt>
                <c:pt idx="1476">
                  <c:v>-6</c:v>
                </c:pt>
                <c:pt idx="1477">
                  <c:v>503</c:v>
                </c:pt>
                <c:pt idx="1478">
                  <c:v>-4</c:v>
                </c:pt>
                <c:pt idx="1479">
                  <c:v>-2</c:v>
                </c:pt>
                <c:pt idx="1480">
                  <c:v>701</c:v>
                </c:pt>
                <c:pt idx="1481">
                  <c:v>276</c:v>
                </c:pt>
                <c:pt idx="1482">
                  <c:v>322</c:v>
                </c:pt>
                <c:pt idx="1483">
                  <c:v>23</c:v>
                </c:pt>
                <c:pt idx="1484">
                  <c:v>-289</c:v>
                </c:pt>
                <c:pt idx="1485">
                  <c:v>64</c:v>
                </c:pt>
                <c:pt idx="1486">
                  <c:v>-175</c:v>
                </c:pt>
                <c:pt idx="1487">
                  <c:v>127</c:v>
                </c:pt>
                <c:pt idx="1488">
                  <c:v>-1</c:v>
                </c:pt>
                <c:pt idx="1489">
                  <c:v>191</c:v>
                </c:pt>
                <c:pt idx="1490">
                  <c:v>665</c:v>
                </c:pt>
                <c:pt idx="1491">
                  <c:v>-3</c:v>
                </c:pt>
                <c:pt idx="1492">
                  <c:v>-1981</c:v>
                </c:pt>
                <c:pt idx="1493">
                  <c:v>1</c:v>
                </c:pt>
                <c:pt idx="1494">
                  <c:v>0</c:v>
                </c:pt>
                <c:pt idx="1495">
                  <c:v>-3</c:v>
                </c:pt>
                <c:pt idx="1496">
                  <c:v>-35</c:v>
                </c:pt>
                <c:pt idx="1497">
                  <c:v>1698</c:v>
                </c:pt>
                <c:pt idx="1498">
                  <c:v>-2</c:v>
                </c:pt>
                <c:pt idx="1499">
                  <c:v>305</c:v>
                </c:pt>
              </c:numCache>
            </c:numRef>
          </c:xVal>
          <c:yVal>
            <c:numRef>
              <c:f>'Task-4'!$B$2:$B$1501</c:f>
              <c:numCache>
                <c:formatCode>General</c:formatCode>
                <c:ptCount val="1500"/>
                <c:pt idx="0">
                  <c:v>7</c:v>
                </c:pt>
                <c:pt idx="1">
                  <c:v>14</c:v>
                </c:pt>
                <c:pt idx="2">
                  <c:v>8</c:v>
                </c:pt>
                <c:pt idx="3">
                  <c:v>8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2</c:v>
                </c:pt>
                <c:pt idx="9">
                  <c:v>5</c:v>
                </c:pt>
                <c:pt idx="10">
                  <c:v>9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  <c:pt idx="15">
                  <c:v>1</c:v>
                </c:pt>
                <c:pt idx="16">
                  <c:v>5</c:v>
                </c:pt>
                <c:pt idx="17">
                  <c:v>1</c:v>
                </c:pt>
                <c:pt idx="18">
                  <c:v>5</c:v>
                </c:pt>
                <c:pt idx="19">
                  <c:v>2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4</c:v>
                </c:pt>
                <c:pt idx="24">
                  <c:v>2</c:v>
                </c:pt>
                <c:pt idx="25">
                  <c:v>3</c:v>
                </c:pt>
                <c:pt idx="26">
                  <c:v>8</c:v>
                </c:pt>
                <c:pt idx="27">
                  <c:v>6</c:v>
                </c:pt>
                <c:pt idx="28">
                  <c:v>6</c:v>
                </c:pt>
                <c:pt idx="29">
                  <c:v>3</c:v>
                </c:pt>
                <c:pt idx="30">
                  <c:v>5</c:v>
                </c:pt>
                <c:pt idx="31">
                  <c:v>8</c:v>
                </c:pt>
                <c:pt idx="32">
                  <c:v>8</c:v>
                </c:pt>
                <c:pt idx="33">
                  <c:v>4</c:v>
                </c:pt>
                <c:pt idx="34">
                  <c:v>2</c:v>
                </c:pt>
                <c:pt idx="35">
                  <c:v>5</c:v>
                </c:pt>
                <c:pt idx="36">
                  <c:v>1</c:v>
                </c:pt>
                <c:pt idx="37">
                  <c:v>5</c:v>
                </c:pt>
                <c:pt idx="38">
                  <c:v>2</c:v>
                </c:pt>
                <c:pt idx="39">
                  <c:v>2</c:v>
                </c:pt>
                <c:pt idx="40">
                  <c:v>3</c:v>
                </c:pt>
                <c:pt idx="41">
                  <c:v>1</c:v>
                </c:pt>
                <c:pt idx="42">
                  <c:v>3</c:v>
                </c:pt>
                <c:pt idx="43">
                  <c:v>2</c:v>
                </c:pt>
                <c:pt idx="44">
                  <c:v>3</c:v>
                </c:pt>
                <c:pt idx="45">
                  <c:v>3</c:v>
                </c:pt>
                <c:pt idx="46">
                  <c:v>6</c:v>
                </c:pt>
                <c:pt idx="47">
                  <c:v>4</c:v>
                </c:pt>
                <c:pt idx="48">
                  <c:v>9</c:v>
                </c:pt>
                <c:pt idx="49">
                  <c:v>4</c:v>
                </c:pt>
                <c:pt idx="50">
                  <c:v>4</c:v>
                </c:pt>
                <c:pt idx="51">
                  <c:v>8</c:v>
                </c:pt>
                <c:pt idx="52">
                  <c:v>13</c:v>
                </c:pt>
                <c:pt idx="53">
                  <c:v>6</c:v>
                </c:pt>
                <c:pt idx="54">
                  <c:v>1</c:v>
                </c:pt>
                <c:pt idx="55">
                  <c:v>3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5</c:v>
                </c:pt>
                <c:pt idx="60">
                  <c:v>7</c:v>
                </c:pt>
                <c:pt idx="61">
                  <c:v>1</c:v>
                </c:pt>
                <c:pt idx="62">
                  <c:v>5</c:v>
                </c:pt>
                <c:pt idx="63">
                  <c:v>7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5</c:v>
                </c:pt>
                <c:pt idx="68">
                  <c:v>3</c:v>
                </c:pt>
                <c:pt idx="69">
                  <c:v>4</c:v>
                </c:pt>
                <c:pt idx="70">
                  <c:v>5</c:v>
                </c:pt>
                <c:pt idx="71">
                  <c:v>8</c:v>
                </c:pt>
                <c:pt idx="72">
                  <c:v>4</c:v>
                </c:pt>
                <c:pt idx="73">
                  <c:v>9</c:v>
                </c:pt>
                <c:pt idx="74">
                  <c:v>6</c:v>
                </c:pt>
                <c:pt idx="75">
                  <c:v>4</c:v>
                </c:pt>
                <c:pt idx="76">
                  <c:v>4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7</c:v>
                </c:pt>
                <c:pt idx="82">
                  <c:v>9</c:v>
                </c:pt>
                <c:pt idx="83">
                  <c:v>2</c:v>
                </c:pt>
                <c:pt idx="84">
                  <c:v>11</c:v>
                </c:pt>
                <c:pt idx="85">
                  <c:v>9</c:v>
                </c:pt>
                <c:pt idx="86">
                  <c:v>4</c:v>
                </c:pt>
                <c:pt idx="87">
                  <c:v>3</c:v>
                </c:pt>
                <c:pt idx="88">
                  <c:v>6</c:v>
                </c:pt>
                <c:pt idx="89">
                  <c:v>2</c:v>
                </c:pt>
                <c:pt idx="90">
                  <c:v>2</c:v>
                </c:pt>
                <c:pt idx="91">
                  <c:v>8</c:v>
                </c:pt>
                <c:pt idx="92">
                  <c:v>7</c:v>
                </c:pt>
                <c:pt idx="93">
                  <c:v>7</c:v>
                </c:pt>
                <c:pt idx="94">
                  <c:v>9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2</c:v>
                </c:pt>
                <c:pt idx="99">
                  <c:v>3</c:v>
                </c:pt>
                <c:pt idx="100">
                  <c:v>2</c:v>
                </c:pt>
                <c:pt idx="101">
                  <c:v>3</c:v>
                </c:pt>
                <c:pt idx="102">
                  <c:v>6</c:v>
                </c:pt>
                <c:pt idx="103">
                  <c:v>9</c:v>
                </c:pt>
                <c:pt idx="104">
                  <c:v>5</c:v>
                </c:pt>
                <c:pt idx="105">
                  <c:v>7</c:v>
                </c:pt>
                <c:pt idx="106">
                  <c:v>2</c:v>
                </c:pt>
                <c:pt idx="107">
                  <c:v>7</c:v>
                </c:pt>
                <c:pt idx="108">
                  <c:v>6</c:v>
                </c:pt>
                <c:pt idx="109">
                  <c:v>6</c:v>
                </c:pt>
                <c:pt idx="110">
                  <c:v>4</c:v>
                </c:pt>
                <c:pt idx="111">
                  <c:v>2</c:v>
                </c:pt>
                <c:pt idx="112">
                  <c:v>5</c:v>
                </c:pt>
                <c:pt idx="113">
                  <c:v>2</c:v>
                </c:pt>
                <c:pt idx="114">
                  <c:v>3</c:v>
                </c:pt>
                <c:pt idx="115">
                  <c:v>8</c:v>
                </c:pt>
                <c:pt idx="116">
                  <c:v>2</c:v>
                </c:pt>
                <c:pt idx="117">
                  <c:v>1</c:v>
                </c:pt>
                <c:pt idx="118">
                  <c:v>5</c:v>
                </c:pt>
                <c:pt idx="119">
                  <c:v>6</c:v>
                </c:pt>
                <c:pt idx="120">
                  <c:v>1</c:v>
                </c:pt>
                <c:pt idx="121">
                  <c:v>4</c:v>
                </c:pt>
                <c:pt idx="122">
                  <c:v>7</c:v>
                </c:pt>
                <c:pt idx="123">
                  <c:v>6</c:v>
                </c:pt>
                <c:pt idx="124">
                  <c:v>2</c:v>
                </c:pt>
                <c:pt idx="125">
                  <c:v>5</c:v>
                </c:pt>
                <c:pt idx="126">
                  <c:v>6</c:v>
                </c:pt>
                <c:pt idx="127">
                  <c:v>2</c:v>
                </c:pt>
                <c:pt idx="128">
                  <c:v>6</c:v>
                </c:pt>
                <c:pt idx="129">
                  <c:v>2</c:v>
                </c:pt>
                <c:pt idx="130">
                  <c:v>4</c:v>
                </c:pt>
                <c:pt idx="131">
                  <c:v>4</c:v>
                </c:pt>
                <c:pt idx="132">
                  <c:v>5</c:v>
                </c:pt>
                <c:pt idx="133">
                  <c:v>3</c:v>
                </c:pt>
                <c:pt idx="134">
                  <c:v>6</c:v>
                </c:pt>
                <c:pt idx="135">
                  <c:v>4</c:v>
                </c:pt>
                <c:pt idx="136">
                  <c:v>2</c:v>
                </c:pt>
                <c:pt idx="137">
                  <c:v>2</c:v>
                </c:pt>
                <c:pt idx="138">
                  <c:v>1</c:v>
                </c:pt>
                <c:pt idx="139">
                  <c:v>4</c:v>
                </c:pt>
                <c:pt idx="140">
                  <c:v>2</c:v>
                </c:pt>
                <c:pt idx="141">
                  <c:v>5</c:v>
                </c:pt>
                <c:pt idx="142">
                  <c:v>3</c:v>
                </c:pt>
                <c:pt idx="143">
                  <c:v>1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6</c:v>
                </c:pt>
                <c:pt idx="148">
                  <c:v>6</c:v>
                </c:pt>
                <c:pt idx="149">
                  <c:v>3</c:v>
                </c:pt>
                <c:pt idx="150">
                  <c:v>6</c:v>
                </c:pt>
                <c:pt idx="151">
                  <c:v>4</c:v>
                </c:pt>
                <c:pt idx="152">
                  <c:v>3</c:v>
                </c:pt>
                <c:pt idx="153">
                  <c:v>5</c:v>
                </c:pt>
                <c:pt idx="154">
                  <c:v>3</c:v>
                </c:pt>
                <c:pt idx="155">
                  <c:v>13</c:v>
                </c:pt>
                <c:pt idx="156">
                  <c:v>5</c:v>
                </c:pt>
                <c:pt idx="157">
                  <c:v>7</c:v>
                </c:pt>
                <c:pt idx="158">
                  <c:v>4</c:v>
                </c:pt>
                <c:pt idx="159">
                  <c:v>3</c:v>
                </c:pt>
                <c:pt idx="160">
                  <c:v>2</c:v>
                </c:pt>
                <c:pt idx="161">
                  <c:v>6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11</c:v>
                </c:pt>
                <c:pt idx="166">
                  <c:v>3</c:v>
                </c:pt>
                <c:pt idx="167">
                  <c:v>3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3</c:v>
                </c:pt>
                <c:pt idx="172">
                  <c:v>1</c:v>
                </c:pt>
                <c:pt idx="173">
                  <c:v>1</c:v>
                </c:pt>
                <c:pt idx="174">
                  <c:v>7</c:v>
                </c:pt>
                <c:pt idx="175">
                  <c:v>2</c:v>
                </c:pt>
                <c:pt idx="176">
                  <c:v>8</c:v>
                </c:pt>
                <c:pt idx="177">
                  <c:v>3</c:v>
                </c:pt>
                <c:pt idx="178">
                  <c:v>4</c:v>
                </c:pt>
                <c:pt idx="179">
                  <c:v>6</c:v>
                </c:pt>
                <c:pt idx="180">
                  <c:v>2</c:v>
                </c:pt>
                <c:pt idx="181">
                  <c:v>4</c:v>
                </c:pt>
                <c:pt idx="182">
                  <c:v>6</c:v>
                </c:pt>
                <c:pt idx="183">
                  <c:v>2</c:v>
                </c:pt>
                <c:pt idx="184">
                  <c:v>4</c:v>
                </c:pt>
                <c:pt idx="185">
                  <c:v>3</c:v>
                </c:pt>
                <c:pt idx="186">
                  <c:v>3</c:v>
                </c:pt>
                <c:pt idx="187">
                  <c:v>2</c:v>
                </c:pt>
                <c:pt idx="188">
                  <c:v>2</c:v>
                </c:pt>
                <c:pt idx="189">
                  <c:v>8</c:v>
                </c:pt>
                <c:pt idx="190">
                  <c:v>9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2</c:v>
                </c:pt>
                <c:pt idx="195">
                  <c:v>3</c:v>
                </c:pt>
                <c:pt idx="196">
                  <c:v>5</c:v>
                </c:pt>
                <c:pt idx="197">
                  <c:v>3</c:v>
                </c:pt>
                <c:pt idx="198">
                  <c:v>6</c:v>
                </c:pt>
                <c:pt idx="199">
                  <c:v>2</c:v>
                </c:pt>
                <c:pt idx="200">
                  <c:v>5</c:v>
                </c:pt>
                <c:pt idx="201">
                  <c:v>3</c:v>
                </c:pt>
                <c:pt idx="202">
                  <c:v>4</c:v>
                </c:pt>
                <c:pt idx="203">
                  <c:v>5</c:v>
                </c:pt>
                <c:pt idx="204">
                  <c:v>3</c:v>
                </c:pt>
                <c:pt idx="205">
                  <c:v>3</c:v>
                </c:pt>
                <c:pt idx="206">
                  <c:v>2</c:v>
                </c:pt>
                <c:pt idx="207">
                  <c:v>3</c:v>
                </c:pt>
                <c:pt idx="208">
                  <c:v>3</c:v>
                </c:pt>
                <c:pt idx="209">
                  <c:v>4</c:v>
                </c:pt>
                <c:pt idx="210">
                  <c:v>8</c:v>
                </c:pt>
                <c:pt idx="211">
                  <c:v>2</c:v>
                </c:pt>
                <c:pt idx="212">
                  <c:v>3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3</c:v>
                </c:pt>
                <c:pt idx="217">
                  <c:v>2</c:v>
                </c:pt>
                <c:pt idx="218">
                  <c:v>1</c:v>
                </c:pt>
                <c:pt idx="219">
                  <c:v>7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5</c:v>
                </c:pt>
                <c:pt idx="224">
                  <c:v>4</c:v>
                </c:pt>
                <c:pt idx="225">
                  <c:v>2</c:v>
                </c:pt>
                <c:pt idx="226">
                  <c:v>7</c:v>
                </c:pt>
                <c:pt idx="227">
                  <c:v>3</c:v>
                </c:pt>
                <c:pt idx="228">
                  <c:v>4</c:v>
                </c:pt>
                <c:pt idx="229">
                  <c:v>11</c:v>
                </c:pt>
                <c:pt idx="230">
                  <c:v>3</c:v>
                </c:pt>
                <c:pt idx="231">
                  <c:v>4</c:v>
                </c:pt>
                <c:pt idx="232">
                  <c:v>6</c:v>
                </c:pt>
                <c:pt idx="233">
                  <c:v>2</c:v>
                </c:pt>
                <c:pt idx="234">
                  <c:v>1</c:v>
                </c:pt>
                <c:pt idx="235">
                  <c:v>1</c:v>
                </c:pt>
                <c:pt idx="236">
                  <c:v>9</c:v>
                </c:pt>
                <c:pt idx="237">
                  <c:v>4</c:v>
                </c:pt>
                <c:pt idx="238">
                  <c:v>5</c:v>
                </c:pt>
                <c:pt idx="239">
                  <c:v>1</c:v>
                </c:pt>
                <c:pt idx="240">
                  <c:v>6</c:v>
                </c:pt>
                <c:pt idx="241">
                  <c:v>2</c:v>
                </c:pt>
                <c:pt idx="242">
                  <c:v>5</c:v>
                </c:pt>
                <c:pt idx="243">
                  <c:v>4</c:v>
                </c:pt>
                <c:pt idx="244">
                  <c:v>5</c:v>
                </c:pt>
                <c:pt idx="245">
                  <c:v>2</c:v>
                </c:pt>
                <c:pt idx="246">
                  <c:v>3</c:v>
                </c:pt>
                <c:pt idx="247">
                  <c:v>2</c:v>
                </c:pt>
                <c:pt idx="248">
                  <c:v>7</c:v>
                </c:pt>
                <c:pt idx="249">
                  <c:v>6</c:v>
                </c:pt>
                <c:pt idx="250">
                  <c:v>5</c:v>
                </c:pt>
                <c:pt idx="251">
                  <c:v>2</c:v>
                </c:pt>
                <c:pt idx="252">
                  <c:v>3</c:v>
                </c:pt>
                <c:pt idx="253">
                  <c:v>8</c:v>
                </c:pt>
                <c:pt idx="254">
                  <c:v>2</c:v>
                </c:pt>
                <c:pt idx="255">
                  <c:v>4</c:v>
                </c:pt>
                <c:pt idx="256">
                  <c:v>3</c:v>
                </c:pt>
                <c:pt idx="257">
                  <c:v>4</c:v>
                </c:pt>
                <c:pt idx="258">
                  <c:v>4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6</c:v>
                </c:pt>
                <c:pt idx="263">
                  <c:v>5</c:v>
                </c:pt>
                <c:pt idx="264">
                  <c:v>6</c:v>
                </c:pt>
                <c:pt idx="265">
                  <c:v>3</c:v>
                </c:pt>
                <c:pt idx="266">
                  <c:v>3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4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2</c:v>
                </c:pt>
                <c:pt idx="275">
                  <c:v>5</c:v>
                </c:pt>
                <c:pt idx="276">
                  <c:v>8</c:v>
                </c:pt>
                <c:pt idx="277">
                  <c:v>4</c:v>
                </c:pt>
                <c:pt idx="278">
                  <c:v>4</c:v>
                </c:pt>
                <c:pt idx="279">
                  <c:v>2</c:v>
                </c:pt>
                <c:pt idx="280">
                  <c:v>3</c:v>
                </c:pt>
                <c:pt idx="281">
                  <c:v>4</c:v>
                </c:pt>
                <c:pt idx="282">
                  <c:v>2</c:v>
                </c:pt>
                <c:pt idx="283">
                  <c:v>4</c:v>
                </c:pt>
                <c:pt idx="284">
                  <c:v>2</c:v>
                </c:pt>
                <c:pt idx="285">
                  <c:v>3</c:v>
                </c:pt>
                <c:pt idx="286">
                  <c:v>1</c:v>
                </c:pt>
                <c:pt idx="287">
                  <c:v>2</c:v>
                </c:pt>
                <c:pt idx="288">
                  <c:v>3</c:v>
                </c:pt>
                <c:pt idx="289">
                  <c:v>3</c:v>
                </c:pt>
                <c:pt idx="290">
                  <c:v>4</c:v>
                </c:pt>
                <c:pt idx="291">
                  <c:v>3</c:v>
                </c:pt>
                <c:pt idx="292">
                  <c:v>7</c:v>
                </c:pt>
                <c:pt idx="293">
                  <c:v>7</c:v>
                </c:pt>
                <c:pt idx="294">
                  <c:v>4</c:v>
                </c:pt>
                <c:pt idx="295">
                  <c:v>3</c:v>
                </c:pt>
                <c:pt idx="296">
                  <c:v>6</c:v>
                </c:pt>
                <c:pt idx="297">
                  <c:v>7</c:v>
                </c:pt>
                <c:pt idx="298">
                  <c:v>3</c:v>
                </c:pt>
                <c:pt idx="299">
                  <c:v>1</c:v>
                </c:pt>
                <c:pt idx="300">
                  <c:v>2</c:v>
                </c:pt>
                <c:pt idx="301">
                  <c:v>2</c:v>
                </c:pt>
                <c:pt idx="302">
                  <c:v>3</c:v>
                </c:pt>
                <c:pt idx="303">
                  <c:v>4</c:v>
                </c:pt>
                <c:pt idx="304">
                  <c:v>11</c:v>
                </c:pt>
                <c:pt idx="305">
                  <c:v>6</c:v>
                </c:pt>
                <c:pt idx="306">
                  <c:v>3</c:v>
                </c:pt>
                <c:pt idx="307">
                  <c:v>2</c:v>
                </c:pt>
                <c:pt idx="308">
                  <c:v>2</c:v>
                </c:pt>
                <c:pt idx="309">
                  <c:v>7</c:v>
                </c:pt>
                <c:pt idx="310">
                  <c:v>11</c:v>
                </c:pt>
                <c:pt idx="311">
                  <c:v>3</c:v>
                </c:pt>
                <c:pt idx="312">
                  <c:v>2</c:v>
                </c:pt>
                <c:pt idx="313">
                  <c:v>1</c:v>
                </c:pt>
                <c:pt idx="314">
                  <c:v>11</c:v>
                </c:pt>
                <c:pt idx="315">
                  <c:v>6</c:v>
                </c:pt>
                <c:pt idx="316">
                  <c:v>1</c:v>
                </c:pt>
                <c:pt idx="317">
                  <c:v>3</c:v>
                </c:pt>
                <c:pt idx="318">
                  <c:v>2</c:v>
                </c:pt>
                <c:pt idx="319">
                  <c:v>1</c:v>
                </c:pt>
                <c:pt idx="320">
                  <c:v>4</c:v>
                </c:pt>
                <c:pt idx="321">
                  <c:v>4</c:v>
                </c:pt>
                <c:pt idx="322">
                  <c:v>1</c:v>
                </c:pt>
                <c:pt idx="323">
                  <c:v>1</c:v>
                </c:pt>
                <c:pt idx="324">
                  <c:v>2</c:v>
                </c:pt>
                <c:pt idx="325">
                  <c:v>3</c:v>
                </c:pt>
                <c:pt idx="326">
                  <c:v>3</c:v>
                </c:pt>
                <c:pt idx="327">
                  <c:v>2</c:v>
                </c:pt>
                <c:pt idx="328">
                  <c:v>2</c:v>
                </c:pt>
                <c:pt idx="329">
                  <c:v>7</c:v>
                </c:pt>
                <c:pt idx="330">
                  <c:v>3</c:v>
                </c:pt>
                <c:pt idx="331">
                  <c:v>2</c:v>
                </c:pt>
                <c:pt idx="332">
                  <c:v>5</c:v>
                </c:pt>
                <c:pt idx="333">
                  <c:v>6</c:v>
                </c:pt>
                <c:pt idx="334">
                  <c:v>3</c:v>
                </c:pt>
                <c:pt idx="335">
                  <c:v>5</c:v>
                </c:pt>
                <c:pt idx="336">
                  <c:v>3</c:v>
                </c:pt>
                <c:pt idx="337">
                  <c:v>7</c:v>
                </c:pt>
                <c:pt idx="338">
                  <c:v>3</c:v>
                </c:pt>
                <c:pt idx="339">
                  <c:v>3</c:v>
                </c:pt>
                <c:pt idx="340">
                  <c:v>2</c:v>
                </c:pt>
                <c:pt idx="341">
                  <c:v>5</c:v>
                </c:pt>
                <c:pt idx="342">
                  <c:v>5</c:v>
                </c:pt>
                <c:pt idx="343">
                  <c:v>3</c:v>
                </c:pt>
                <c:pt idx="344">
                  <c:v>2</c:v>
                </c:pt>
                <c:pt idx="345">
                  <c:v>9</c:v>
                </c:pt>
                <c:pt idx="346">
                  <c:v>3</c:v>
                </c:pt>
                <c:pt idx="347">
                  <c:v>4</c:v>
                </c:pt>
                <c:pt idx="348">
                  <c:v>1</c:v>
                </c:pt>
                <c:pt idx="349">
                  <c:v>2</c:v>
                </c:pt>
                <c:pt idx="350">
                  <c:v>3</c:v>
                </c:pt>
                <c:pt idx="351">
                  <c:v>2</c:v>
                </c:pt>
                <c:pt idx="352">
                  <c:v>2</c:v>
                </c:pt>
                <c:pt idx="353">
                  <c:v>5</c:v>
                </c:pt>
                <c:pt idx="354">
                  <c:v>5</c:v>
                </c:pt>
                <c:pt idx="355">
                  <c:v>3</c:v>
                </c:pt>
                <c:pt idx="356">
                  <c:v>3</c:v>
                </c:pt>
                <c:pt idx="357">
                  <c:v>2</c:v>
                </c:pt>
                <c:pt idx="358">
                  <c:v>7</c:v>
                </c:pt>
                <c:pt idx="359">
                  <c:v>3</c:v>
                </c:pt>
                <c:pt idx="360">
                  <c:v>2</c:v>
                </c:pt>
                <c:pt idx="361">
                  <c:v>5</c:v>
                </c:pt>
                <c:pt idx="362">
                  <c:v>2</c:v>
                </c:pt>
                <c:pt idx="363">
                  <c:v>1</c:v>
                </c:pt>
                <c:pt idx="364">
                  <c:v>3</c:v>
                </c:pt>
                <c:pt idx="365">
                  <c:v>5</c:v>
                </c:pt>
                <c:pt idx="366">
                  <c:v>2</c:v>
                </c:pt>
                <c:pt idx="367">
                  <c:v>2</c:v>
                </c:pt>
                <c:pt idx="368">
                  <c:v>7</c:v>
                </c:pt>
                <c:pt idx="369">
                  <c:v>5</c:v>
                </c:pt>
                <c:pt idx="370">
                  <c:v>2</c:v>
                </c:pt>
                <c:pt idx="371">
                  <c:v>4</c:v>
                </c:pt>
                <c:pt idx="372">
                  <c:v>5</c:v>
                </c:pt>
                <c:pt idx="373">
                  <c:v>6</c:v>
                </c:pt>
                <c:pt idx="374">
                  <c:v>2</c:v>
                </c:pt>
                <c:pt idx="375">
                  <c:v>3</c:v>
                </c:pt>
                <c:pt idx="376">
                  <c:v>3</c:v>
                </c:pt>
                <c:pt idx="377">
                  <c:v>1</c:v>
                </c:pt>
                <c:pt idx="378">
                  <c:v>5</c:v>
                </c:pt>
                <c:pt idx="379">
                  <c:v>5</c:v>
                </c:pt>
                <c:pt idx="380">
                  <c:v>3</c:v>
                </c:pt>
                <c:pt idx="381">
                  <c:v>2</c:v>
                </c:pt>
                <c:pt idx="382">
                  <c:v>3</c:v>
                </c:pt>
                <c:pt idx="383">
                  <c:v>3</c:v>
                </c:pt>
                <c:pt idx="384">
                  <c:v>1</c:v>
                </c:pt>
                <c:pt idx="385">
                  <c:v>5</c:v>
                </c:pt>
                <c:pt idx="386">
                  <c:v>3</c:v>
                </c:pt>
                <c:pt idx="387">
                  <c:v>4</c:v>
                </c:pt>
                <c:pt idx="388">
                  <c:v>5</c:v>
                </c:pt>
                <c:pt idx="389">
                  <c:v>7</c:v>
                </c:pt>
                <c:pt idx="390">
                  <c:v>6</c:v>
                </c:pt>
                <c:pt idx="391">
                  <c:v>3</c:v>
                </c:pt>
                <c:pt idx="392">
                  <c:v>2</c:v>
                </c:pt>
                <c:pt idx="393">
                  <c:v>7</c:v>
                </c:pt>
                <c:pt idx="394">
                  <c:v>5</c:v>
                </c:pt>
                <c:pt idx="395">
                  <c:v>1</c:v>
                </c:pt>
                <c:pt idx="396">
                  <c:v>6</c:v>
                </c:pt>
                <c:pt idx="397">
                  <c:v>3</c:v>
                </c:pt>
                <c:pt idx="398">
                  <c:v>2</c:v>
                </c:pt>
                <c:pt idx="399">
                  <c:v>1</c:v>
                </c:pt>
                <c:pt idx="400">
                  <c:v>3</c:v>
                </c:pt>
                <c:pt idx="401">
                  <c:v>2</c:v>
                </c:pt>
                <c:pt idx="402">
                  <c:v>8</c:v>
                </c:pt>
                <c:pt idx="403">
                  <c:v>2</c:v>
                </c:pt>
                <c:pt idx="404">
                  <c:v>7</c:v>
                </c:pt>
                <c:pt idx="405">
                  <c:v>2</c:v>
                </c:pt>
                <c:pt idx="406">
                  <c:v>5</c:v>
                </c:pt>
                <c:pt idx="407">
                  <c:v>4</c:v>
                </c:pt>
                <c:pt idx="408">
                  <c:v>2</c:v>
                </c:pt>
                <c:pt idx="409">
                  <c:v>7</c:v>
                </c:pt>
                <c:pt idx="410">
                  <c:v>4</c:v>
                </c:pt>
                <c:pt idx="411">
                  <c:v>1</c:v>
                </c:pt>
                <c:pt idx="412">
                  <c:v>6</c:v>
                </c:pt>
                <c:pt idx="413">
                  <c:v>6</c:v>
                </c:pt>
                <c:pt idx="414">
                  <c:v>3</c:v>
                </c:pt>
                <c:pt idx="415">
                  <c:v>3</c:v>
                </c:pt>
                <c:pt idx="416">
                  <c:v>1</c:v>
                </c:pt>
                <c:pt idx="417">
                  <c:v>3</c:v>
                </c:pt>
                <c:pt idx="418">
                  <c:v>7</c:v>
                </c:pt>
                <c:pt idx="419">
                  <c:v>3</c:v>
                </c:pt>
                <c:pt idx="420">
                  <c:v>2</c:v>
                </c:pt>
                <c:pt idx="421">
                  <c:v>4</c:v>
                </c:pt>
                <c:pt idx="422">
                  <c:v>3</c:v>
                </c:pt>
                <c:pt idx="423">
                  <c:v>4</c:v>
                </c:pt>
                <c:pt idx="424">
                  <c:v>2</c:v>
                </c:pt>
                <c:pt idx="425">
                  <c:v>3</c:v>
                </c:pt>
                <c:pt idx="426">
                  <c:v>5</c:v>
                </c:pt>
                <c:pt idx="427">
                  <c:v>3</c:v>
                </c:pt>
                <c:pt idx="428">
                  <c:v>14</c:v>
                </c:pt>
                <c:pt idx="429">
                  <c:v>2</c:v>
                </c:pt>
                <c:pt idx="430">
                  <c:v>3</c:v>
                </c:pt>
                <c:pt idx="431">
                  <c:v>9</c:v>
                </c:pt>
                <c:pt idx="432">
                  <c:v>2</c:v>
                </c:pt>
                <c:pt idx="433">
                  <c:v>6</c:v>
                </c:pt>
                <c:pt idx="434">
                  <c:v>9</c:v>
                </c:pt>
                <c:pt idx="435">
                  <c:v>2</c:v>
                </c:pt>
                <c:pt idx="436">
                  <c:v>5</c:v>
                </c:pt>
                <c:pt idx="437">
                  <c:v>2</c:v>
                </c:pt>
                <c:pt idx="438">
                  <c:v>4</c:v>
                </c:pt>
                <c:pt idx="439">
                  <c:v>5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3</c:v>
                </c:pt>
                <c:pt idx="444">
                  <c:v>1</c:v>
                </c:pt>
                <c:pt idx="445">
                  <c:v>4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3</c:v>
                </c:pt>
                <c:pt idx="450">
                  <c:v>4</c:v>
                </c:pt>
                <c:pt idx="451">
                  <c:v>2</c:v>
                </c:pt>
                <c:pt idx="452">
                  <c:v>6</c:v>
                </c:pt>
                <c:pt idx="453">
                  <c:v>3</c:v>
                </c:pt>
                <c:pt idx="454">
                  <c:v>7</c:v>
                </c:pt>
                <c:pt idx="455">
                  <c:v>2</c:v>
                </c:pt>
                <c:pt idx="456">
                  <c:v>1</c:v>
                </c:pt>
                <c:pt idx="457">
                  <c:v>3</c:v>
                </c:pt>
                <c:pt idx="458">
                  <c:v>8</c:v>
                </c:pt>
                <c:pt idx="459">
                  <c:v>2</c:v>
                </c:pt>
                <c:pt idx="460">
                  <c:v>4</c:v>
                </c:pt>
                <c:pt idx="461">
                  <c:v>5</c:v>
                </c:pt>
                <c:pt idx="462">
                  <c:v>6</c:v>
                </c:pt>
                <c:pt idx="463">
                  <c:v>5</c:v>
                </c:pt>
                <c:pt idx="464">
                  <c:v>3</c:v>
                </c:pt>
                <c:pt idx="465">
                  <c:v>7</c:v>
                </c:pt>
                <c:pt idx="466">
                  <c:v>2</c:v>
                </c:pt>
                <c:pt idx="467">
                  <c:v>7</c:v>
                </c:pt>
                <c:pt idx="468">
                  <c:v>3</c:v>
                </c:pt>
                <c:pt idx="469">
                  <c:v>5</c:v>
                </c:pt>
                <c:pt idx="470">
                  <c:v>3</c:v>
                </c:pt>
                <c:pt idx="471">
                  <c:v>2</c:v>
                </c:pt>
                <c:pt idx="472">
                  <c:v>6</c:v>
                </c:pt>
                <c:pt idx="473">
                  <c:v>2</c:v>
                </c:pt>
                <c:pt idx="474">
                  <c:v>4</c:v>
                </c:pt>
                <c:pt idx="475">
                  <c:v>3</c:v>
                </c:pt>
                <c:pt idx="476">
                  <c:v>2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2</c:v>
                </c:pt>
                <c:pt idx="481">
                  <c:v>6</c:v>
                </c:pt>
                <c:pt idx="482">
                  <c:v>7</c:v>
                </c:pt>
                <c:pt idx="483">
                  <c:v>5</c:v>
                </c:pt>
                <c:pt idx="484">
                  <c:v>2</c:v>
                </c:pt>
                <c:pt idx="485">
                  <c:v>2</c:v>
                </c:pt>
                <c:pt idx="486">
                  <c:v>3</c:v>
                </c:pt>
                <c:pt idx="487">
                  <c:v>5</c:v>
                </c:pt>
                <c:pt idx="488">
                  <c:v>3</c:v>
                </c:pt>
                <c:pt idx="489">
                  <c:v>3</c:v>
                </c:pt>
                <c:pt idx="490">
                  <c:v>2</c:v>
                </c:pt>
                <c:pt idx="491">
                  <c:v>3</c:v>
                </c:pt>
                <c:pt idx="492">
                  <c:v>3</c:v>
                </c:pt>
                <c:pt idx="493">
                  <c:v>4</c:v>
                </c:pt>
                <c:pt idx="494">
                  <c:v>2</c:v>
                </c:pt>
                <c:pt idx="495">
                  <c:v>7</c:v>
                </c:pt>
                <c:pt idx="496">
                  <c:v>2</c:v>
                </c:pt>
                <c:pt idx="497">
                  <c:v>3</c:v>
                </c:pt>
                <c:pt idx="498">
                  <c:v>2</c:v>
                </c:pt>
                <c:pt idx="499">
                  <c:v>2</c:v>
                </c:pt>
                <c:pt idx="500">
                  <c:v>3</c:v>
                </c:pt>
                <c:pt idx="501">
                  <c:v>4</c:v>
                </c:pt>
                <c:pt idx="502">
                  <c:v>3</c:v>
                </c:pt>
                <c:pt idx="503">
                  <c:v>4</c:v>
                </c:pt>
                <c:pt idx="504">
                  <c:v>1</c:v>
                </c:pt>
                <c:pt idx="505">
                  <c:v>5</c:v>
                </c:pt>
                <c:pt idx="506">
                  <c:v>4</c:v>
                </c:pt>
                <c:pt idx="507">
                  <c:v>2</c:v>
                </c:pt>
                <c:pt idx="508">
                  <c:v>3</c:v>
                </c:pt>
                <c:pt idx="509">
                  <c:v>2</c:v>
                </c:pt>
                <c:pt idx="510">
                  <c:v>5</c:v>
                </c:pt>
                <c:pt idx="511">
                  <c:v>2</c:v>
                </c:pt>
                <c:pt idx="512">
                  <c:v>3</c:v>
                </c:pt>
                <c:pt idx="513">
                  <c:v>2</c:v>
                </c:pt>
                <c:pt idx="514">
                  <c:v>2</c:v>
                </c:pt>
                <c:pt idx="515">
                  <c:v>1</c:v>
                </c:pt>
                <c:pt idx="516">
                  <c:v>3</c:v>
                </c:pt>
                <c:pt idx="517">
                  <c:v>2</c:v>
                </c:pt>
                <c:pt idx="518">
                  <c:v>2</c:v>
                </c:pt>
                <c:pt idx="519">
                  <c:v>7</c:v>
                </c:pt>
                <c:pt idx="520">
                  <c:v>5</c:v>
                </c:pt>
                <c:pt idx="521">
                  <c:v>8</c:v>
                </c:pt>
                <c:pt idx="522">
                  <c:v>3</c:v>
                </c:pt>
                <c:pt idx="523">
                  <c:v>2</c:v>
                </c:pt>
                <c:pt idx="524">
                  <c:v>6</c:v>
                </c:pt>
                <c:pt idx="525">
                  <c:v>5</c:v>
                </c:pt>
                <c:pt idx="526">
                  <c:v>3</c:v>
                </c:pt>
                <c:pt idx="527">
                  <c:v>1</c:v>
                </c:pt>
                <c:pt idx="528">
                  <c:v>4</c:v>
                </c:pt>
                <c:pt idx="529">
                  <c:v>2</c:v>
                </c:pt>
                <c:pt idx="530">
                  <c:v>3</c:v>
                </c:pt>
                <c:pt idx="531">
                  <c:v>4</c:v>
                </c:pt>
                <c:pt idx="532">
                  <c:v>1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4</c:v>
                </c:pt>
                <c:pt idx="539">
                  <c:v>1</c:v>
                </c:pt>
                <c:pt idx="540">
                  <c:v>7</c:v>
                </c:pt>
                <c:pt idx="541">
                  <c:v>3</c:v>
                </c:pt>
                <c:pt idx="542">
                  <c:v>6</c:v>
                </c:pt>
                <c:pt idx="543">
                  <c:v>3</c:v>
                </c:pt>
                <c:pt idx="544">
                  <c:v>6</c:v>
                </c:pt>
                <c:pt idx="545">
                  <c:v>4</c:v>
                </c:pt>
                <c:pt idx="546">
                  <c:v>4</c:v>
                </c:pt>
                <c:pt idx="547">
                  <c:v>3</c:v>
                </c:pt>
                <c:pt idx="548">
                  <c:v>2</c:v>
                </c:pt>
                <c:pt idx="549">
                  <c:v>3</c:v>
                </c:pt>
                <c:pt idx="550">
                  <c:v>7</c:v>
                </c:pt>
                <c:pt idx="551">
                  <c:v>1</c:v>
                </c:pt>
                <c:pt idx="552">
                  <c:v>3</c:v>
                </c:pt>
                <c:pt idx="553">
                  <c:v>9</c:v>
                </c:pt>
                <c:pt idx="554">
                  <c:v>3</c:v>
                </c:pt>
                <c:pt idx="555">
                  <c:v>3</c:v>
                </c:pt>
                <c:pt idx="556">
                  <c:v>5</c:v>
                </c:pt>
                <c:pt idx="557">
                  <c:v>4</c:v>
                </c:pt>
                <c:pt idx="558">
                  <c:v>1</c:v>
                </c:pt>
                <c:pt idx="559">
                  <c:v>10</c:v>
                </c:pt>
                <c:pt idx="560">
                  <c:v>5</c:v>
                </c:pt>
                <c:pt idx="561">
                  <c:v>2</c:v>
                </c:pt>
                <c:pt idx="562">
                  <c:v>2</c:v>
                </c:pt>
                <c:pt idx="563">
                  <c:v>4</c:v>
                </c:pt>
                <c:pt idx="564">
                  <c:v>2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2</c:v>
                </c:pt>
                <c:pt idx="569">
                  <c:v>3</c:v>
                </c:pt>
                <c:pt idx="570">
                  <c:v>9</c:v>
                </c:pt>
                <c:pt idx="571">
                  <c:v>2</c:v>
                </c:pt>
                <c:pt idx="572">
                  <c:v>3</c:v>
                </c:pt>
                <c:pt idx="573">
                  <c:v>8</c:v>
                </c:pt>
                <c:pt idx="574">
                  <c:v>4</c:v>
                </c:pt>
                <c:pt idx="575">
                  <c:v>3</c:v>
                </c:pt>
                <c:pt idx="576">
                  <c:v>3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2</c:v>
                </c:pt>
                <c:pt idx="581">
                  <c:v>5</c:v>
                </c:pt>
                <c:pt idx="582">
                  <c:v>1</c:v>
                </c:pt>
                <c:pt idx="583">
                  <c:v>4</c:v>
                </c:pt>
                <c:pt idx="584">
                  <c:v>3</c:v>
                </c:pt>
                <c:pt idx="585">
                  <c:v>4</c:v>
                </c:pt>
                <c:pt idx="586">
                  <c:v>1</c:v>
                </c:pt>
                <c:pt idx="587">
                  <c:v>5</c:v>
                </c:pt>
                <c:pt idx="588">
                  <c:v>4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4</c:v>
                </c:pt>
                <c:pt idx="593">
                  <c:v>3</c:v>
                </c:pt>
                <c:pt idx="594">
                  <c:v>2</c:v>
                </c:pt>
                <c:pt idx="595">
                  <c:v>5</c:v>
                </c:pt>
                <c:pt idx="596">
                  <c:v>2</c:v>
                </c:pt>
                <c:pt idx="597">
                  <c:v>3</c:v>
                </c:pt>
                <c:pt idx="598">
                  <c:v>2</c:v>
                </c:pt>
                <c:pt idx="599">
                  <c:v>5</c:v>
                </c:pt>
                <c:pt idx="600">
                  <c:v>7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3</c:v>
                </c:pt>
                <c:pt idx="605">
                  <c:v>1</c:v>
                </c:pt>
                <c:pt idx="606">
                  <c:v>5</c:v>
                </c:pt>
                <c:pt idx="607">
                  <c:v>3</c:v>
                </c:pt>
                <c:pt idx="608">
                  <c:v>5</c:v>
                </c:pt>
                <c:pt idx="609">
                  <c:v>4</c:v>
                </c:pt>
                <c:pt idx="610">
                  <c:v>2</c:v>
                </c:pt>
                <c:pt idx="611">
                  <c:v>2</c:v>
                </c:pt>
                <c:pt idx="612">
                  <c:v>8</c:v>
                </c:pt>
                <c:pt idx="613">
                  <c:v>2</c:v>
                </c:pt>
                <c:pt idx="614">
                  <c:v>3</c:v>
                </c:pt>
                <c:pt idx="615">
                  <c:v>9</c:v>
                </c:pt>
                <c:pt idx="616">
                  <c:v>4</c:v>
                </c:pt>
                <c:pt idx="617">
                  <c:v>4</c:v>
                </c:pt>
                <c:pt idx="618">
                  <c:v>2</c:v>
                </c:pt>
                <c:pt idx="619">
                  <c:v>3</c:v>
                </c:pt>
                <c:pt idx="620">
                  <c:v>7</c:v>
                </c:pt>
                <c:pt idx="621">
                  <c:v>3</c:v>
                </c:pt>
                <c:pt idx="622">
                  <c:v>2</c:v>
                </c:pt>
                <c:pt idx="623">
                  <c:v>5</c:v>
                </c:pt>
                <c:pt idx="624">
                  <c:v>3</c:v>
                </c:pt>
                <c:pt idx="625">
                  <c:v>4</c:v>
                </c:pt>
                <c:pt idx="626">
                  <c:v>9</c:v>
                </c:pt>
                <c:pt idx="627">
                  <c:v>2</c:v>
                </c:pt>
                <c:pt idx="628">
                  <c:v>3</c:v>
                </c:pt>
                <c:pt idx="629">
                  <c:v>7</c:v>
                </c:pt>
                <c:pt idx="630">
                  <c:v>4</c:v>
                </c:pt>
                <c:pt idx="631">
                  <c:v>1</c:v>
                </c:pt>
                <c:pt idx="632">
                  <c:v>5</c:v>
                </c:pt>
                <c:pt idx="633">
                  <c:v>5</c:v>
                </c:pt>
                <c:pt idx="634">
                  <c:v>6</c:v>
                </c:pt>
                <c:pt idx="635">
                  <c:v>2</c:v>
                </c:pt>
                <c:pt idx="636">
                  <c:v>3</c:v>
                </c:pt>
                <c:pt idx="637">
                  <c:v>4</c:v>
                </c:pt>
                <c:pt idx="638">
                  <c:v>1</c:v>
                </c:pt>
                <c:pt idx="639">
                  <c:v>3</c:v>
                </c:pt>
                <c:pt idx="640">
                  <c:v>4</c:v>
                </c:pt>
                <c:pt idx="641">
                  <c:v>1</c:v>
                </c:pt>
                <c:pt idx="642">
                  <c:v>7</c:v>
                </c:pt>
                <c:pt idx="643">
                  <c:v>5</c:v>
                </c:pt>
                <c:pt idx="644">
                  <c:v>3</c:v>
                </c:pt>
                <c:pt idx="645">
                  <c:v>2</c:v>
                </c:pt>
                <c:pt idx="646">
                  <c:v>2</c:v>
                </c:pt>
                <c:pt idx="647">
                  <c:v>3</c:v>
                </c:pt>
                <c:pt idx="648">
                  <c:v>2</c:v>
                </c:pt>
                <c:pt idx="649">
                  <c:v>2</c:v>
                </c:pt>
                <c:pt idx="650">
                  <c:v>6</c:v>
                </c:pt>
                <c:pt idx="651">
                  <c:v>3</c:v>
                </c:pt>
                <c:pt idx="652">
                  <c:v>2</c:v>
                </c:pt>
                <c:pt idx="653">
                  <c:v>2</c:v>
                </c:pt>
                <c:pt idx="654">
                  <c:v>5</c:v>
                </c:pt>
                <c:pt idx="655">
                  <c:v>6</c:v>
                </c:pt>
                <c:pt idx="656">
                  <c:v>4</c:v>
                </c:pt>
                <c:pt idx="657">
                  <c:v>2</c:v>
                </c:pt>
                <c:pt idx="658">
                  <c:v>1</c:v>
                </c:pt>
                <c:pt idx="659">
                  <c:v>2</c:v>
                </c:pt>
                <c:pt idx="660">
                  <c:v>2</c:v>
                </c:pt>
                <c:pt idx="661">
                  <c:v>6</c:v>
                </c:pt>
                <c:pt idx="662">
                  <c:v>4</c:v>
                </c:pt>
                <c:pt idx="663">
                  <c:v>1</c:v>
                </c:pt>
                <c:pt idx="664">
                  <c:v>3</c:v>
                </c:pt>
                <c:pt idx="665">
                  <c:v>2</c:v>
                </c:pt>
                <c:pt idx="666">
                  <c:v>2</c:v>
                </c:pt>
                <c:pt idx="667">
                  <c:v>3</c:v>
                </c:pt>
                <c:pt idx="668">
                  <c:v>2</c:v>
                </c:pt>
                <c:pt idx="669">
                  <c:v>2</c:v>
                </c:pt>
                <c:pt idx="670">
                  <c:v>1</c:v>
                </c:pt>
                <c:pt idx="671">
                  <c:v>5</c:v>
                </c:pt>
                <c:pt idx="672">
                  <c:v>2</c:v>
                </c:pt>
                <c:pt idx="673">
                  <c:v>5</c:v>
                </c:pt>
                <c:pt idx="674">
                  <c:v>2</c:v>
                </c:pt>
                <c:pt idx="675">
                  <c:v>1</c:v>
                </c:pt>
                <c:pt idx="676">
                  <c:v>3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1</c:v>
                </c:pt>
                <c:pt idx="681">
                  <c:v>6</c:v>
                </c:pt>
                <c:pt idx="682">
                  <c:v>2</c:v>
                </c:pt>
                <c:pt idx="683">
                  <c:v>1</c:v>
                </c:pt>
                <c:pt idx="684">
                  <c:v>6</c:v>
                </c:pt>
                <c:pt idx="685">
                  <c:v>1</c:v>
                </c:pt>
                <c:pt idx="686">
                  <c:v>9</c:v>
                </c:pt>
                <c:pt idx="687">
                  <c:v>4</c:v>
                </c:pt>
                <c:pt idx="688">
                  <c:v>2</c:v>
                </c:pt>
                <c:pt idx="689">
                  <c:v>2</c:v>
                </c:pt>
                <c:pt idx="690">
                  <c:v>3</c:v>
                </c:pt>
                <c:pt idx="691">
                  <c:v>3</c:v>
                </c:pt>
                <c:pt idx="692">
                  <c:v>2</c:v>
                </c:pt>
                <c:pt idx="693">
                  <c:v>4</c:v>
                </c:pt>
                <c:pt idx="694">
                  <c:v>3</c:v>
                </c:pt>
                <c:pt idx="695">
                  <c:v>5</c:v>
                </c:pt>
                <c:pt idx="696">
                  <c:v>3</c:v>
                </c:pt>
                <c:pt idx="697">
                  <c:v>4</c:v>
                </c:pt>
                <c:pt idx="698">
                  <c:v>4</c:v>
                </c:pt>
                <c:pt idx="699">
                  <c:v>4</c:v>
                </c:pt>
                <c:pt idx="700">
                  <c:v>4</c:v>
                </c:pt>
                <c:pt idx="701">
                  <c:v>1</c:v>
                </c:pt>
                <c:pt idx="702">
                  <c:v>2</c:v>
                </c:pt>
                <c:pt idx="703">
                  <c:v>3</c:v>
                </c:pt>
                <c:pt idx="704">
                  <c:v>3</c:v>
                </c:pt>
                <c:pt idx="705">
                  <c:v>5</c:v>
                </c:pt>
                <c:pt idx="706">
                  <c:v>4</c:v>
                </c:pt>
                <c:pt idx="707">
                  <c:v>2</c:v>
                </c:pt>
                <c:pt idx="708">
                  <c:v>2</c:v>
                </c:pt>
                <c:pt idx="709">
                  <c:v>5</c:v>
                </c:pt>
                <c:pt idx="710">
                  <c:v>1</c:v>
                </c:pt>
                <c:pt idx="711">
                  <c:v>2</c:v>
                </c:pt>
                <c:pt idx="712">
                  <c:v>5</c:v>
                </c:pt>
                <c:pt idx="713">
                  <c:v>2</c:v>
                </c:pt>
                <c:pt idx="714">
                  <c:v>7</c:v>
                </c:pt>
                <c:pt idx="715">
                  <c:v>4</c:v>
                </c:pt>
                <c:pt idx="716">
                  <c:v>3</c:v>
                </c:pt>
                <c:pt idx="717">
                  <c:v>3</c:v>
                </c:pt>
                <c:pt idx="718">
                  <c:v>2</c:v>
                </c:pt>
                <c:pt idx="719">
                  <c:v>1</c:v>
                </c:pt>
                <c:pt idx="720">
                  <c:v>3</c:v>
                </c:pt>
                <c:pt idx="721">
                  <c:v>4</c:v>
                </c:pt>
                <c:pt idx="722">
                  <c:v>2</c:v>
                </c:pt>
                <c:pt idx="723">
                  <c:v>4</c:v>
                </c:pt>
                <c:pt idx="724">
                  <c:v>3</c:v>
                </c:pt>
                <c:pt idx="725">
                  <c:v>1</c:v>
                </c:pt>
                <c:pt idx="726">
                  <c:v>4</c:v>
                </c:pt>
                <c:pt idx="727">
                  <c:v>2</c:v>
                </c:pt>
                <c:pt idx="728">
                  <c:v>3</c:v>
                </c:pt>
                <c:pt idx="729">
                  <c:v>4</c:v>
                </c:pt>
                <c:pt idx="730">
                  <c:v>6</c:v>
                </c:pt>
                <c:pt idx="731">
                  <c:v>3</c:v>
                </c:pt>
                <c:pt idx="732">
                  <c:v>1</c:v>
                </c:pt>
                <c:pt idx="733">
                  <c:v>5</c:v>
                </c:pt>
                <c:pt idx="734">
                  <c:v>2</c:v>
                </c:pt>
                <c:pt idx="735">
                  <c:v>1</c:v>
                </c:pt>
                <c:pt idx="736">
                  <c:v>2</c:v>
                </c:pt>
                <c:pt idx="737">
                  <c:v>2</c:v>
                </c:pt>
                <c:pt idx="738">
                  <c:v>4</c:v>
                </c:pt>
                <c:pt idx="739">
                  <c:v>3</c:v>
                </c:pt>
                <c:pt idx="740">
                  <c:v>7</c:v>
                </c:pt>
                <c:pt idx="741">
                  <c:v>7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1</c:v>
                </c:pt>
                <c:pt idx="746">
                  <c:v>4</c:v>
                </c:pt>
                <c:pt idx="747">
                  <c:v>3</c:v>
                </c:pt>
                <c:pt idx="748">
                  <c:v>4</c:v>
                </c:pt>
                <c:pt idx="749">
                  <c:v>2</c:v>
                </c:pt>
                <c:pt idx="750">
                  <c:v>5</c:v>
                </c:pt>
                <c:pt idx="751">
                  <c:v>2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9</c:v>
                </c:pt>
                <c:pt idx="756">
                  <c:v>6</c:v>
                </c:pt>
                <c:pt idx="757">
                  <c:v>3</c:v>
                </c:pt>
                <c:pt idx="758">
                  <c:v>3</c:v>
                </c:pt>
                <c:pt idx="759">
                  <c:v>5</c:v>
                </c:pt>
                <c:pt idx="760">
                  <c:v>2</c:v>
                </c:pt>
                <c:pt idx="761">
                  <c:v>3</c:v>
                </c:pt>
                <c:pt idx="762">
                  <c:v>4</c:v>
                </c:pt>
                <c:pt idx="763">
                  <c:v>5</c:v>
                </c:pt>
                <c:pt idx="764">
                  <c:v>2</c:v>
                </c:pt>
                <c:pt idx="765">
                  <c:v>3</c:v>
                </c:pt>
                <c:pt idx="766">
                  <c:v>2</c:v>
                </c:pt>
                <c:pt idx="767">
                  <c:v>3</c:v>
                </c:pt>
                <c:pt idx="768">
                  <c:v>5</c:v>
                </c:pt>
                <c:pt idx="769">
                  <c:v>3</c:v>
                </c:pt>
                <c:pt idx="770">
                  <c:v>5</c:v>
                </c:pt>
                <c:pt idx="771">
                  <c:v>1</c:v>
                </c:pt>
                <c:pt idx="772">
                  <c:v>5</c:v>
                </c:pt>
                <c:pt idx="773">
                  <c:v>2</c:v>
                </c:pt>
                <c:pt idx="774">
                  <c:v>3</c:v>
                </c:pt>
                <c:pt idx="775">
                  <c:v>5</c:v>
                </c:pt>
                <c:pt idx="776">
                  <c:v>2</c:v>
                </c:pt>
                <c:pt idx="777">
                  <c:v>4</c:v>
                </c:pt>
                <c:pt idx="778">
                  <c:v>7</c:v>
                </c:pt>
                <c:pt idx="779">
                  <c:v>5</c:v>
                </c:pt>
                <c:pt idx="780">
                  <c:v>3</c:v>
                </c:pt>
                <c:pt idx="781">
                  <c:v>2</c:v>
                </c:pt>
                <c:pt idx="782">
                  <c:v>3</c:v>
                </c:pt>
                <c:pt idx="783">
                  <c:v>5</c:v>
                </c:pt>
                <c:pt idx="784">
                  <c:v>9</c:v>
                </c:pt>
                <c:pt idx="785">
                  <c:v>3</c:v>
                </c:pt>
                <c:pt idx="786">
                  <c:v>3</c:v>
                </c:pt>
                <c:pt idx="787">
                  <c:v>2</c:v>
                </c:pt>
                <c:pt idx="788">
                  <c:v>7</c:v>
                </c:pt>
                <c:pt idx="789">
                  <c:v>4</c:v>
                </c:pt>
                <c:pt idx="790">
                  <c:v>3</c:v>
                </c:pt>
                <c:pt idx="791">
                  <c:v>5</c:v>
                </c:pt>
                <c:pt idx="792">
                  <c:v>7</c:v>
                </c:pt>
                <c:pt idx="793">
                  <c:v>1</c:v>
                </c:pt>
                <c:pt idx="794">
                  <c:v>3</c:v>
                </c:pt>
                <c:pt idx="795">
                  <c:v>1</c:v>
                </c:pt>
                <c:pt idx="796">
                  <c:v>8</c:v>
                </c:pt>
                <c:pt idx="797">
                  <c:v>1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1</c:v>
                </c:pt>
                <c:pt idx="803">
                  <c:v>3</c:v>
                </c:pt>
                <c:pt idx="804">
                  <c:v>5</c:v>
                </c:pt>
                <c:pt idx="805">
                  <c:v>2</c:v>
                </c:pt>
                <c:pt idx="806">
                  <c:v>4</c:v>
                </c:pt>
                <c:pt idx="807">
                  <c:v>3</c:v>
                </c:pt>
                <c:pt idx="808">
                  <c:v>3</c:v>
                </c:pt>
                <c:pt idx="809">
                  <c:v>1</c:v>
                </c:pt>
                <c:pt idx="810">
                  <c:v>7</c:v>
                </c:pt>
                <c:pt idx="811">
                  <c:v>4</c:v>
                </c:pt>
                <c:pt idx="812">
                  <c:v>3</c:v>
                </c:pt>
                <c:pt idx="813">
                  <c:v>3</c:v>
                </c:pt>
                <c:pt idx="814">
                  <c:v>4</c:v>
                </c:pt>
                <c:pt idx="815">
                  <c:v>5</c:v>
                </c:pt>
                <c:pt idx="816">
                  <c:v>1</c:v>
                </c:pt>
                <c:pt idx="817">
                  <c:v>5</c:v>
                </c:pt>
                <c:pt idx="818">
                  <c:v>3</c:v>
                </c:pt>
                <c:pt idx="819">
                  <c:v>2</c:v>
                </c:pt>
                <c:pt idx="820">
                  <c:v>8</c:v>
                </c:pt>
                <c:pt idx="821">
                  <c:v>4</c:v>
                </c:pt>
                <c:pt idx="822">
                  <c:v>3</c:v>
                </c:pt>
                <c:pt idx="823">
                  <c:v>8</c:v>
                </c:pt>
                <c:pt idx="824">
                  <c:v>5</c:v>
                </c:pt>
                <c:pt idx="825">
                  <c:v>2</c:v>
                </c:pt>
                <c:pt idx="826">
                  <c:v>4</c:v>
                </c:pt>
                <c:pt idx="827">
                  <c:v>5</c:v>
                </c:pt>
                <c:pt idx="828">
                  <c:v>3</c:v>
                </c:pt>
                <c:pt idx="829">
                  <c:v>9</c:v>
                </c:pt>
                <c:pt idx="830">
                  <c:v>3</c:v>
                </c:pt>
                <c:pt idx="831">
                  <c:v>2</c:v>
                </c:pt>
                <c:pt idx="832">
                  <c:v>6</c:v>
                </c:pt>
                <c:pt idx="833">
                  <c:v>2</c:v>
                </c:pt>
                <c:pt idx="834">
                  <c:v>3</c:v>
                </c:pt>
                <c:pt idx="835">
                  <c:v>12</c:v>
                </c:pt>
                <c:pt idx="836">
                  <c:v>6</c:v>
                </c:pt>
                <c:pt idx="837">
                  <c:v>7</c:v>
                </c:pt>
                <c:pt idx="838">
                  <c:v>3</c:v>
                </c:pt>
                <c:pt idx="839">
                  <c:v>8</c:v>
                </c:pt>
                <c:pt idx="840">
                  <c:v>4</c:v>
                </c:pt>
                <c:pt idx="841">
                  <c:v>1</c:v>
                </c:pt>
                <c:pt idx="842">
                  <c:v>10</c:v>
                </c:pt>
                <c:pt idx="843">
                  <c:v>3</c:v>
                </c:pt>
                <c:pt idx="844">
                  <c:v>3</c:v>
                </c:pt>
                <c:pt idx="845">
                  <c:v>2</c:v>
                </c:pt>
                <c:pt idx="846">
                  <c:v>3</c:v>
                </c:pt>
                <c:pt idx="847">
                  <c:v>4</c:v>
                </c:pt>
                <c:pt idx="848">
                  <c:v>5</c:v>
                </c:pt>
                <c:pt idx="849">
                  <c:v>4</c:v>
                </c:pt>
                <c:pt idx="850">
                  <c:v>7</c:v>
                </c:pt>
                <c:pt idx="851">
                  <c:v>3</c:v>
                </c:pt>
                <c:pt idx="852">
                  <c:v>2</c:v>
                </c:pt>
                <c:pt idx="853">
                  <c:v>5</c:v>
                </c:pt>
                <c:pt idx="854">
                  <c:v>9</c:v>
                </c:pt>
                <c:pt idx="855">
                  <c:v>5</c:v>
                </c:pt>
                <c:pt idx="856">
                  <c:v>7</c:v>
                </c:pt>
                <c:pt idx="857">
                  <c:v>6</c:v>
                </c:pt>
                <c:pt idx="858">
                  <c:v>3</c:v>
                </c:pt>
                <c:pt idx="859">
                  <c:v>4</c:v>
                </c:pt>
                <c:pt idx="860">
                  <c:v>2</c:v>
                </c:pt>
                <c:pt idx="861">
                  <c:v>3</c:v>
                </c:pt>
                <c:pt idx="862">
                  <c:v>5</c:v>
                </c:pt>
                <c:pt idx="863">
                  <c:v>3</c:v>
                </c:pt>
                <c:pt idx="864">
                  <c:v>6</c:v>
                </c:pt>
                <c:pt idx="865">
                  <c:v>2</c:v>
                </c:pt>
                <c:pt idx="866">
                  <c:v>9</c:v>
                </c:pt>
                <c:pt idx="867">
                  <c:v>4</c:v>
                </c:pt>
                <c:pt idx="868">
                  <c:v>2</c:v>
                </c:pt>
                <c:pt idx="869">
                  <c:v>2</c:v>
                </c:pt>
                <c:pt idx="870">
                  <c:v>4</c:v>
                </c:pt>
                <c:pt idx="871">
                  <c:v>4</c:v>
                </c:pt>
                <c:pt idx="872">
                  <c:v>3</c:v>
                </c:pt>
                <c:pt idx="873">
                  <c:v>3</c:v>
                </c:pt>
                <c:pt idx="874">
                  <c:v>2</c:v>
                </c:pt>
                <c:pt idx="875">
                  <c:v>2</c:v>
                </c:pt>
                <c:pt idx="876">
                  <c:v>9</c:v>
                </c:pt>
                <c:pt idx="877">
                  <c:v>8</c:v>
                </c:pt>
                <c:pt idx="878">
                  <c:v>1</c:v>
                </c:pt>
                <c:pt idx="879">
                  <c:v>4</c:v>
                </c:pt>
                <c:pt idx="880">
                  <c:v>1</c:v>
                </c:pt>
                <c:pt idx="881">
                  <c:v>2</c:v>
                </c:pt>
                <c:pt idx="882">
                  <c:v>2</c:v>
                </c:pt>
                <c:pt idx="883">
                  <c:v>4</c:v>
                </c:pt>
                <c:pt idx="884">
                  <c:v>7</c:v>
                </c:pt>
                <c:pt idx="885">
                  <c:v>5</c:v>
                </c:pt>
                <c:pt idx="886">
                  <c:v>3</c:v>
                </c:pt>
                <c:pt idx="887">
                  <c:v>4</c:v>
                </c:pt>
                <c:pt idx="888">
                  <c:v>4</c:v>
                </c:pt>
                <c:pt idx="889">
                  <c:v>2</c:v>
                </c:pt>
                <c:pt idx="890">
                  <c:v>3</c:v>
                </c:pt>
                <c:pt idx="891">
                  <c:v>2</c:v>
                </c:pt>
                <c:pt idx="892">
                  <c:v>3</c:v>
                </c:pt>
                <c:pt idx="893">
                  <c:v>2</c:v>
                </c:pt>
                <c:pt idx="894">
                  <c:v>3</c:v>
                </c:pt>
                <c:pt idx="895">
                  <c:v>2</c:v>
                </c:pt>
                <c:pt idx="896">
                  <c:v>2</c:v>
                </c:pt>
                <c:pt idx="897">
                  <c:v>7</c:v>
                </c:pt>
                <c:pt idx="898">
                  <c:v>8</c:v>
                </c:pt>
                <c:pt idx="899">
                  <c:v>2</c:v>
                </c:pt>
                <c:pt idx="900">
                  <c:v>6</c:v>
                </c:pt>
                <c:pt idx="901">
                  <c:v>2</c:v>
                </c:pt>
                <c:pt idx="902">
                  <c:v>2</c:v>
                </c:pt>
                <c:pt idx="903">
                  <c:v>4</c:v>
                </c:pt>
                <c:pt idx="904">
                  <c:v>4</c:v>
                </c:pt>
                <c:pt idx="905">
                  <c:v>3</c:v>
                </c:pt>
                <c:pt idx="906">
                  <c:v>3</c:v>
                </c:pt>
                <c:pt idx="907">
                  <c:v>2</c:v>
                </c:pt>
                <c:pt idx="908">
                  <c:v>2</c:v>
                </c:pt>
                <c:pt idx="909">
                  <c:v>3</c:v>
                </c:pt>
                <c:pt idx="910">
                  <c:v>4</c:v>
                </c:pt>
                <c:pt idx="911">
                  <c:v>9</c:v>
                </c:pt>
                <c:pt idx="912">
                  <c:v>2</c:v>
                </c:pt>
                <c:pt idx="913">
                  <c:v>2</c:v>
                </c:pt>
                <c:pt idx="914">
                  <c:v>4</c:v>
                </c:pt>
                <c:pt idx="915">
                  <c:v>2</c:v>
                </c:pt>
                <c:pt idx="916">
                  <c:v>3</c:v>
                </c:pt>
                <c:pt idx="917">
                  <c:v>2</c:v>
                </c:pt>
                <c:pt idx="918">
                  <c:v>5</c:v>
                </c:pt>
                <c:pt idx="919">
                  <c:v>2</c:v>
                </c:pt>
                <c:pt idx="920">
                  <c:v>2</c:v>
                </c:pt>
                <c:pt idx="921">
                  <c:v>5</c:v>
                </c:pt>
                <c:pt idx="922">
                  <c:v>2</c:v>
                </c:pt>
                <c:pt idx="923">
                  <c:v>1</c:v>
                </c:pt>
                <c:pt idx="924">
                  <c:v>2</c:v>
                </c:pt>
                <c:pt idx="925">
                  <c:v>4</c:v>
                </c:pt>
                <c:pt idx="926">
                  <c:v>6</c:v>
                </c:pt>
                <c:pt idx="927">
                  <c:v>2</c:v>
                </c:pt>
                <c:pt idx="928">
                  <c:v>3</c:v>
                </c:pt>
                <c:pt idx="929">
                  <c:v>4</c:v>
                </c:pt>
                <c:pt idx="930">
                  <c:v>3</c:v>
                </c:pt>
                <c:pt idx="931">
                  <c:v>5</c:v>
                </c:pt>
                <c:pt idx="932">
                  <c:v>7</c:v>
                </c:pt>
                <c:pt idx="933">
                  <c:v>3</c:v>
                </c:pt>
                <c:pt idx="934">
                  <c:v>5</c:v>
                </c:pt>
                <c:pt idx="935">
                  <c:v>4</c:v>
                </c:pt>
                <c:pt idx="936">
                  <c:v>4</c:v>
                </c:pt>
                <c:pt idx="937">
                  <c:v>4</c:v>
                </c:pt>
                <c:pt idx="938">
                  <c:v>3</c:v>
                </c:pt>
                <c:pt idx="939">
                  <c:v>4</c:v>
                </c:pt>
                <c:pt idx="940">
                  <c:v>5</c:v>
                </c:pt>
                <c:pt idx="941">
                  <c:v>1</c:v>
                </c:pt>
                <c:pt idx="942">
                  <c:v>2</c:v>
                </c:pt>
                <c:pt idx="943">
                  <c:v>3</c:v>
                </c:pt>
                <c:pt idx="944">
                  <c:v>2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5</c:v>
                </c:pt>
                <c:pt idx="949">
                  <c:v>1</c:v>
                </c:pt>
                <c:pt idx="950">
                  <c:v>2</c:v>
                </c:pt>
                <c:pt idx="951">
                  <c:v>5</c:v>
                </c:pt>
                <c:pt idx="952">
                  <c:v>9</c:v>
                </c:pt>
                <c:pt idx="953">
                  <c:v>4</c:v>
                </c:pt>
                <c:pt idx="954">
                  <c:v>2</c:v>
                </c:pt>
                <c:pt idx="955">
                  <c:v>3</c:v>
                </c:pt>
                <c:pt idx="956">
                  <c:v>2</c:v>
                </c:pt>
                <c:pt idx="957">
                  <c:v>2</c:v>
                </c:pt>
                <c:pt idx="958">
                  <c:v>3</c:v>
                </c:pt>
                <c:pt idx="959">
                  <c:v>2</c:v>
                </c:pt>
                <c:pt idx="960">
                  <c:v>3</c:v>
                </c:pt>
                <c:pt idx="961">
                  <c:v>6</c:v>
                </c:pt>
                <c:pt idx="962">
                  <c:v>1</c:v>
                </c:pt>
                <c:pt idx="963">
                  <c:v>4</c:v>
                </c:pt>
                <c:pt idx="964">
                  <c:v>2</c:v>
                </c:pt>
                <c:pt idx="965">
                  <c:v>8</c:v>
                </c:pt>
                <c:pt idx="966">
                  <c:v>4</c:v>
                </c:pt>
                <c:pt idx="967">
                  <c:v>2</c:v>
                </c:pt>
                <c:pt idx="968">
                  <c:v>4</c:v>
                </c:pt>
                <c:pt idx="969">
                  <c:v>5</c:v>
                </c:pt>
                <c:pt idx="970">
                  <c:v>2</c:v>
                </c:pt>
                <c:pt idx="971">
                  <c:v>3</c:v>
                </c:pt>
                <c:pt idx="972">
                  <c:v>2</c:v>
                </c:pt>
                <c:pt idx="973">
                  <c:v>4</c:v>
                </c:pt>
                <c:pt idx="974">
                  <c:v>4</c:v>
                </c:pt>
                <c:pt idx="975">
                  <c:v>9</c:v>
                </c:pt>
                <c:pt idx="976">
                  <c:v>3</c:v>
                </c:pt>
                <c:pt idx="977">
                  <c:v>2</c:v>
                </c:pt>
                <c:pt idx="978">
                  <c:v>2</c:v>
                </c:pt>
                <c:pt idx="979">
                  <c:v>1</c:v>
                </c:pt>
                <c:pt idx="980">
                  <c:v>4</c:v>
                </c:pt>
                <c:pt idx="981">
                  <c:v>5</c:v>
                </c:pt>
                <c:pt idx="982">
                  <c:v>6</c:v>
                </c:pt>
                <c:pt idx="983">
                  <c:v>3</c:v>
                </c:pt>
                <c:pt idx="984">
                  <c:v>7</c:v>
                </c:pt>
                <c:pt idx="985">
                  <c:v>4</c:v>
                </c:pt>
                <c:pt idx="986">
                  <c:v>4</c:v>
                </c:pt>
                <c:pt idx="987">
                  <c:v>6</c:v>
                </c:pt>
                <c:pt idx="988">
                  <c:v>3</c:v>
                </c:pt>
                <c:pt idx="989">
                  <c:v>3</c:v>
                </c:pt>
                <c:pt idx="990">
                  <c:v>2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2</c:v>
                </c:pt>
                <c:pt idx="995">
                  <c:v>4</c:v>
                </c:pt>
                <c:pt idx="996">
                  <c:v>2</c:v>
                </c:pt>
                <c:pt idx="997">
                  <c:v>2</c:v>
                </c:pt>
                <c:pt idx="998">
                  <c:v>5</c:v>
                </c:pt>
                <c:pt idx="999">
                  <c:v>3</c:v>
                </c:pt>
                <c:pt idx="1000">
                  <c:v>2</c:v>
                </c:pt>
                <c:pt idx="1001">
                  <c:v>6</c:v>
                </c:pt>
                <c:pt idx="1002">
                  <c:v>7</c:v>
                </c:pt>
                <c:pt idx="1003">
                  <c:v>2</c:v>
                </c:pt>
                <c:pt idx="1004">
                  <c:v>3</c:v>
                </c:pt>
                <c:pt idx="1005">
                  <c:v>4</c:v>
                </c:pt>
                <c:pt idx="1006">
                  <c:v>2</c:v>
                </c:pt>
                <c:pt idx="1007">
                  <c:v>3</c:v>
                </c:pt>
                <c:pt idx="1008">
                  <c:v>2</c:v>
                </c:pt>
                <c:pt idx="1009">
                  <c:v>9</c:v>
                </c:pt>
                <c:pt idx="1010">
                  <c:v>6</c:v>
                </c:pt>
                <c:pt idx="1011">
                  <c:v>4</c:v>
                </c:pt>
                <c:pt idx="1012">
                  <c:v>6</c:v>
                </c:pt>
                <c:pt idx="1013">
                  <c:v>8</c:v>
                </c:pt>
                <c:pt idx="1014">
                  <c:v>1</c:v>
                </c:pt>
                <c:pt idx="1015">
                  <c:v>2</c:v>
                </c:pt>
                <c:pt idx="1016">
                  <c:v>2</c:v>
                </c:pt>
                <c:pt idx="1017">
                  <c:v>5</c:v>
                </c:pt>
                <c:pt idx="1018">
                  <c:v>2</c:v>
                </c:pt>
                <c:pt idx="1019">
                  <c:v>4</c:v>
                </c:pt>
                <c:pt idx="1020">
                  <c:v>9</c:v>
                </c:pt>
                <c:pt idx="1021">
                  <c:v>3</c:v>
                </c:pt>
                <c:pt idx="1022">
                  <c:v>1</c:v>
                </c:pt>
                <c:pt idx="1023">
                  <c:v>6</c:v>
                </c:pt>
                <c:pt idx="1024">
                  <c:v>7</c:v>
                </c:pt>
                <c:pt idx="1025">
                  <c:v>10</c:v>
                </c:pt>
                <c:pt idx="1026">
                  <c:v>2</c:v>
                </c:pt>
                <c:pt idx="1027">
                  <c:v>1</c:v>
                </c:pt>
                <c:pt idx="1028">
                  <c:v>2</c:v>
                </c:pt>
                <c:pt idx="1029">
                  <c:v>5</c:v>
                </c:pt>
                <c:pt idx="1030">
                  <c:v>2</c:v>
                </c:pt>
                <c:pt idx="1031">
                  <c:v>2</c:v>
                </c:pt>
                <c:pt idx="1032">
                  <c:v>3</c:v>
                </c:pt>
                <c:pt idx="1033">
                  <c:v>5</c:v>
                </c:pt>
                <c:pt idx="1034">
                  <c:v>3</c:v>
                </c:pt>
                <c:pt idx="1035">
                  <c:v>6</c:v>
                </c:pt>
                <c:pt idx="1036">
                  <c:v>3</c:v>
                </c:pt>
                <c:pt idx="1037">
                  <c:v>9</c:v>
                </c:pt>
                <c:pt idx="1038">
                  <c:v>8</c:v>
                </c:pt>
                <c:pt idx="1039">
                  <c:v>2</c:v>
                </c:pt>
                <c:pt idx="1040">
                  <c:v>5</c:v>
                </c:pt>
                <c:pt idx="1041">
                  <c:v>2</c:v>
                </c:pt>
                <c:pt idx="1042">
                  <c:v>2</c:v>
                </c:pt>
                <c:pt idx="1043">
                  <c:v>2</c:v>
                </c:pt>
                <c:pt idx="1044">
                  <c:v>7</c:v>
                </c:pt>
                <c:pt idx="1045">
                  <c:v>2</c:v>
                </c:pt>
                <c:pt idx="1046">
                  <c:v>4</c:v>
                </c:pt>
                <c:pt idx="1047">
                  <c:v>2</c:v>
                </c:pt>
                <c:pt idx="1048">
                  <c:v>5</c:v>
                </c:pt>
                <c:pt idx="1049">
                  <c:v>7</c:v>
                </c:pt>
                <c:pt idx="1050">
                  <c:v>3</c:v>
                </c:pt>
                <c:pt idx="1051">
                  <c:v>4</c:v>
                </c:pt>
                <c:pt idx="1052">
                  <c:v>3</c:v>
                </c:pt>
                <c:pt idx="1053">
                  <c:v>5</c:v>
                </c:pt>
                <c:pt idx="1054">
                  <c:v>1</c:v>
                </c:pt>
                <c:pt idx="1055">
                  <c:v>4</c:v>
                </c:pt>
                <c:pt idx="1056">
                  <c:v>3</c:v>
                </c:pt>
                <c:pt idx="1057">
                  <c:v>4</c:v>
                </c:pt>
                <c:pt idx="1058">
                  <c:v>3</c:v>
                </c:pt>
                <c:pt idx="1059">
                  <c:v>2</c:v>
                </c:pt>
                <c:pt idx="1060">
                  <c:v>7</c:v>
                </c:pt>
                <c:pt idx="1061">
                  <c:v>3</c:v>
                </c:pt>
                <c:pt idx="1062">
                  <c:v>5</c:v>
                </c:pt>
                <c:pt idx="1063">
                  <c:v>4</c:v>
                </c:pt>
                <c:pt idx="1064">
                  <c:v>2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4</c:v>
                </c:pt>
                <c:pt idx="1069">
                  <c:v>3</c:v>
                </c:pt>
                <c:pt idx="1070">
                  <c:v>5</c:v>
                </c:pt>
                <c:pt idx="1071">
                  <c:v>4</c:v>
                </c:pt>
                <c:pt idx="1072">
                  <c:v>6</c:v>
                </c:pt>
                <c:pt idx="1073">
                  <c:v>2</c:v>
                </c:pt>
                <c:pt idx="1074">
                  <c:v>3</c:v>
                </c:pt>
                <c:pt idx="1075">
                  <c:v>1</c:v>
                </c:pt>
                <c:pt idx="1076">
                  <c:v>6</c:v>
                </c:pt>
                <c:pt idx="1077">
                  <c:v>2</c:v>
                </c:pt>
                <c:pt idx="1078">
                  <c:v>3</c:v>
                </c:pt>
                <c:pt idx="1079">
                  <c:v>5</c:v>
                </c:pt>
                <c:pt idx="1080">
                  <c:v>3</c:v>
                </c:pt>
                <c:pt idx="1081">
                  <c:v>5</c:v>
                </c:pt>
                <c:pt idx="1082">
                  <c:v>4</c:v>
                </c:pt>
                <c:pt idx="1083">
                  <c:v>3</c:v>
                </c:pt>
                <c:pt idx="1084">
                  <c:v>5</c:v>
                </c:pt>
                <c:pt idx="1085">
                  <c:v>12</c:v>
                </c:pt>
                <c:pt idx="1086">
                  <c:v>3</c:v>
                </c:pt>
                <c:pt idx="1087">
                  <c:v>4</c:v>
                </c:pt>
                <c:pt idx="1088">
                  <c:v>2</c:v>
                </c:pt>
                <c:pt idx="1089">
                  <c:v>4</c:v>
                </c:pt>
                <c:pt idx="1090">
                  <c:v>3</c:v>
                </c:pt>
                <c:pt idx="1091">
                  <c:v>3</c:v>
                </c:pt>
                <c:pt idx="1092">
                  <c:v>1</c:v>
                </c:pt>
                <c:pt idx="1093">
                  <c:v>4</c:v>
                </c:pt>
                <c:pt idx="1094">
                  <c:v>5</c:v>
                </c:pt>
                <c:pt idx="1095">
                  <c:v>3</c:v>
                </c:pt>
                <c:pt idx="1096">
                  <c:v>2</c:v>
                </c:pt>
                <c:pt idx="1097">
                  <c:v>5</c:v>
                </c:pt>
                <c:pt idx="1098">
                  <c:v>1</c:v>
                </c:pt>
                <c:pt idx="1099">
                  <c:v>3</c:v>
                </c:pt>
                <c:pt idx="1100">
                  <c:v>5</c:v>
                </c:pt>
                <c:pt idx="1101">
                  <c:v>2</c:v>
                </c:pt>
                <c:pt idx="1102">
                  <c:v>7</c:v>
                </c:pt>
                <c:pt idx="1103">
                  <c:v>3</c:v>
                </c:pt>
                <c:pt idx="1104">
                  <c:v>3</c:v>
                </c:pt>
                <c:pt idx="1105">
                  <c:v>7</c:v>
                </c:pt>
                <c:pt idx="1106">
                  <c:v>7</c:v>
                </c:pt>
                <c:pt idx="1107">
                  <c:v>3</c:v>
                </c:pt>
                <c:pt idx="1108">
                  <c:v>5</c:v>
                </c:pt>
                <c:pt idx="1109">
                  <c:v>2</c:v>
                </c:pt>
                <c:pt idx="1110">
                  <c:v>1</c:v>
                </c:pt>
                <c:pt idx="1111">
                  <c:v>5</c:v>
                </c:pt>
                <c:pt idx="1112">
                  <c:v>2</c:v>
                </c:pt>
                <c:pt idx="1113">
                  <c:v>3</c:v>
                </c:pt>
                <c:pt idx="1114">
                  <c:v>1</c:v>
                </c:pt>
                <c:pt idx="1115">
                  <c:v>4</c:v>
                </c:pt>
                <c:pt idx="1116">
                  <c:v>5</c:v>
                </c:pt>
                <c:pt idx="1117">
                  <c:v>7</c:v>
                </c:pt>
                <c:pt idx="1118">
                  <c:v>3</c:v>
                </c:pt>
                <c:pt idx="1119">
                  <c:v>7</c:v>
                </c:pt>
                <c:pt idx="1120">
                  <c:v>2</c:v>
                </c:pt>
                <c:pt idx="1121">
                  <c:v>5</c:v>
                </c:pt>
                <c:pt idx="1122">
                  <c:v>3</c:v>
                </c:pt>
                <c:pt idx="1123">
                  <c:v>3</c:v>
                </c:pt>
                <c:pt idx="1124">
                  <c:v>2</c:v>
                </c:pt>
                <c:pt idx="1125">
                  <c:v>5</c:v>
                </c:pt>
                <c:pt idx="1126">
                  <c:v>2</c:v>
                </c:pt>
                <c:pt idx="1127">
                  <c:v>4</c:v>
                </c:pt>
                <c:pt idx="1128">
                  <c:v>6</c:v>
                </c:pt>
                <c:pt idx="1129">
                  <c:v>3</c:v>
                </c:pt>
                <c:pt idx="1130">
                  <c:v>2</c:v>
                </c:pt>
                <c:pt idx="1131">
                  <c:v>2</c:v>
                </c:pt>
                <c:pt idx="1132">
                  <c:v>1</c:v>
                </c:pt>
                <c:pt idx="1133">
                  <c:v>2</c:v>
                </c:pt>
                <c:pt idx="1134">
                  <c:v>2</c:v>
                </c:pt>
                <c:pt idx="1135">
                  <c:v>7</c:v>
                </c:pt>
                <c:pt idx="1136">
                  <c:v>3</c:v>
                </c:pt>
                <c:pt idx="1137">
                  <c:v>2</c:v>
                </c:pt>
                <c:pt idx="1138">
                  <c:v>3</c:v>
                </c:pt>
                <c:pt idx="1139">
                  <c:v>8</c:v>
                </c:pt>
                <c:pt idx="1140">
                  <c:v>4</c:v>
                </c:pt>
                <c:pt idx="1141">
                  <c:v>5</c:v>
                </c:pt>
                <c:pt idx="1142">
                  <c:v>4</c:v>
                </c:pt>
                <c:pt idx="1143">
                  <c:v>2</c:v>
                </c:pt>
                <c:pt idx="1144">
                  <c:v>3</c:v>
                </c:pt>
                <c:pt idx="1145">
                  <c:v>5</c:v>
                </c:pt>
                <c:pt idx="1146">
                  <c:v>2</c:v>
                </c:pt>
                <c:pt idx="1147">
                  <c:v>2</c:v>
                </c:pt>
                <c:pt idx="1148">
                  <c:v>1</c:v>
                </c:pt>
                <c:pt idx="1149">
                  <c:v>2</c:v>
                </c:pt>
                <c:pt idx="1150">
                  <c:v>4</c:v>
                </c:pt>
                <c:pt idx="1151">
                  <c:v>9</c:v>
                </c:pt>
                <c:pt idx="1152">
                  <c:v>5</c:v>
                </c:pt>
                <c:pt idx="1153">
                  <c:v>3</c:v>
                </c:pt>
                <c:pt idx="1154">
                  <c:v>6</c:v>
                </c:pt>
                <c:pt idx="1155">
                  <c:v>1</c:v>
                </c:pt>
                <c:pt idx="1156">
                  <c:v>4</c:v>
                </c:pt>
                <c:pt idx="1157">
                  <c:v>7</c:v>
                </c:pt>
                <c:pt idx="1158">
                  <c:v>6</c:v>
                </c:pt>
                <c:pt idx="1159">
                  <c:v>6</c:v>
                </c:pt>
                <c:pt idx="1160">
                  <c:v>3</c:v>
                </c:pt>
                <c:pt idx="1161">
                  <c:v>9</c:v>
                </c:pt>
                <c:pt idx="1162">
                  <c:v>1</c:v>
                </c:pt>
                <c:pt idx="1163">
                  <c:v>1</c:v>
                </c:pt>
                <c:pt idx="1164">
                  <c:v>3</c:v>
                </c:pt>
                <c:pt idx="1165">
                  <c:v>3</c:v>
                </c:pt>
                <c:pt idx="1166">
                  <c:v>7</c:v>
                </c:pt>
                <c:pt idx="1167">
                  <c:v>3</c:v>
                </c:pt>
                <c:pt idx="1168">
                  <c:v>3</c:v>
                </c:pt>
                <c:pt idx="1169">
                  <c:v>5</c:v>
                </c:pt>
                <c:pt idx="1170">
                  <c:v>1</c:v>
                </c:pt>
                <c:pt idx="1171">
                  <c:v>3</c:v>
                </c:pt>
                <c:pt idx="1172">
                  <c:v>3</c:v>
                </c:pt>
                <c:pt idx="1173">
                  <c:v>2</c:v>
                </c:pt>
                <c:pt idx="1174">
                  <c:v>4</c:v>
                </c:pt>
                <c:pt idx="1175">
                  <c:v>2</c:v>
                </c:pt>
                <c:pt idx="1176">
                  <c:v>5</c:v>
                </c:pt>
                <c:pt idx="1177">
                  <c:v>3</c:v>
                </c:pt>
                <c:pt idx="1178">
                  <c:v>2</c:v>
                </c:pt>
                <c:pt idx="1179">
                  <c:v>4</c:v>
                </c:pt>
                <c:pt idx="1180">
                  <c:v>2</c:v>
                </c:pt>
                <c:pt idx="1181">
                  <c:v>4</c:v>
                </c:pt>
                <c:pt idx="1182">
                  <c:v>3</c:v>
                </c:pt>
                <c:pt idx="1183">
                  <c:v>8</c:v>
                </c:pt>
                <c:pt idx="1184">
                  <c:v>3</c:v>
                </c:pt>
                <c:pt idx="1185">
                  <c:v>2</c:v>
                </c:pt>
                <c:pt idx="1186">
                  <c:v>2</c:v>
                </c:pt>
                <c:pt idx="1187">
                  <c:v>5</c:v>
                </c:pt>
                <c:pt idx="1188">
                  <c:v>3</c:v>
                </c:pt>
                <c:pt idx="1189">
                  <c:v>4</c:v>
                </c:pt>
                <c:pt idx="1190">
                  <c:v>4</c:v>
                </c:pt>
                <c:pt idx="1191">
                  <c:v>1</c:v>
                </c:pt>
                <c:pt idx="1192">
                  <c:v>5</c:v>
                </c:pt>
                <c:pt idx="1193">
                  <c:v>2</c:v>
                </c:pt>
                <c:pt idx="1194">
                  <c:v>3</c:v>
                </c:pt>
                <c:pt idx="1195">
                  <c:v>2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2</c:v>
                </c:pt>
                <c:pt idx="1200">
                  <c:v>2</c:v>
                </c:pt>
                <c:pt idx="1201">
                  <c:v>5</c:v>
                </c:pt>
                <c:pt idx="1202">
                  <c:v>3</c:v>
                </c:pt>
                <c:pt idx="1203">
                  <c:v>7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3</c:v>
                </c:pt>
                <c:pt idx="1209">
                  <c:v>2</c:v>
                </c:pt>
                <c:pt idx="1210">
                  <c:v>2</c:v>
                </c:pt>
                <c:pt idx="1211">
                  <c:v>5</c:v>
                </c:pt>
                <c:pt idx="1212">
                  <c:v>5</c:v>
                </c:pt>
                <c:pt idx="1213">
                  <c:v>8</c:v>
                </c:pt>
                <c:pt idx="1214">
                  <c:v>3</c:v>
                </c:pt>
                <c:pt idx="1215">
                  <c:v>1</c:v>
                </c:pt>
                <c:pt idx="1216">
                  <c:v>1</c:v>
                </c:pt>
                <c:pt idx="1217">
                  <c:v>5</c:v>
                </c:pt>
                <c:pt idx="1218">
                  <c:v>3</c:v>
                </c:pt>
                <c:pt idx="1219">
                  <c:v>3</c:v>
                </c:pt>
                <c:pt idx="1220">
                  <c:v>1</c:v>
                </c:pt>
                <c:pt idx="1221">
                  <c:v>2</c:v>
                </c:pt>
                <c:pt idx="1222">
                  <c:v>3</c:v>
                </c:pt>
                <c:pt idx="1223">
                  <c:v>5</c:v>
                </c:pt>
                <c:pt idx="1224">
                  <c:v>1</c:v>
                </c:pt>
                <c:pt idx="1225">
                  <c:v>3</c:v>
                </c:pt>
                <c:pt idx="1226">
                  <c:v>2</c:v>
                </c:pt>
                <c:pt idx="1227">
                  <c:v>9</c:v>
                </c:pt>
                <c:pt idx="1228">
                  <c:v>3</c:v>
                </c:pt>
                <c:pt idx="1229">
                  <c:v>4</c:v>
                </c:pt>
                <c:pt idx="1230">
                  <c:v>6</c:v>
                </c:pt>
                <c:pt idx="1231">
                  <c:v>2</c:v>
                </c:pt>
                <c:pt idx="1232">
                  <c:v>1</c:v>
                </c:pt>
                <c:pt idx="1233">
                  <c:v>3</c:v>
                </c:pt>
                <c:pt idx="1234">
                  <c:v>2</c:v>
                </c:pt>
                <c:pt idx="1235">
                  <c:v>7</c:v>
                </c:pt>
                <c:pt idx="1236">
                  <c:v>8</c:v>
                </c:pt>
                <c:pt idx="1237">
                  <c:v>2</c:v>
                </c:pt>
                <c:pt idx="1238">
                  <c:v>6</c:v>
                </c:pt>
                <c:pt idx="1239">
                  <c:v>4</c:v>
                </c:pt>
                <c:pt idx="1240">
                  <c:v>5</c:v>
                </c:pt>
                <c:pt idx="1241">
                  <c:v>1</c:v>
                </c:pt>
                <c:pt idx="1242">
                  <c:v>2</c:v>
                </c:pt>
                <c:pt idx="1243">
                  <c:v>3</c:v>
                </c:pt>
                <c:pt idx="1244">
                  <c:v>6</c:v>
                </c:pt>
                <c:pt idx="1245">
                  <c:v>9</c:v>
                </c:pt>
                <c:pt idx="1246">
                  <c:v>2</c:v>
                </c:pt>
                <c:pt idx="1247">
                  <c:v>2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2</c:v>
                </c:pt>
                <c:pt idx="1252">
                  <c:v>4</c:v>
                </c:pt>
                <c:pt idx="1253">
                  <c:v>2</c:v>
                </c:pt>
                <c:pt idx="1254">
                  <c:v>3</c:v>
                </c:pt>
                <c:pt idx="1255">
                  <c:v>5</c:v>
                </c:pt>
                <c:pt idx="1256">
                  <c:v>2</c:v>
                </c:pt>
                <c:pt idx="1257">
                  <c:v>3</c:v>
                </c:pt>
                <c:pt idx="1258">
                  <c:v>3</c:v>
                </c:pt>
                <c:pt idx="1259">
                  <c:v>12</c:v>
                </c:pt>
                <c:pt idx="1260">
                  <c:v>3</c:v>
                </c:pt>
                <c:pt idx="1261">
                  <c:v>2</c:v>
                </c:pt>
                <c:pt idx="1262">
                  <c:v>3</c:v>
                </c:pt>
                <c:pt idx="1263">
                  <c:v>2</c:v>
                </c:pt>
                <c:pt idx="1264">
                  <c:v>3</c:v>
                </c:pt>
                <c:pt idx="1265">
                  <c:v>4</c:v>
                </c:pt>
                <c:pt idx="1266">
                  <c:v>4</c:v>
                </c:pt>
                <c:pt idx="1267">
                  <c:v>2</c:v>
                </c:pt>
                <c:pt idx="1268">
                  <c:v>8</c:v>
                </c:pt>
                <c:pt idx="1269">
                  <c:v>2</c:v>
                </c:pt>
                <c:pt idx="1270">
                  <c:v>4</c:v>
                </c:pt>
                <c:pt idx="1271">
                  <c:v>7</c:v>
                </c:pt>
                <c:pt idx="1272">
                  <c:v>5</c:v>
                </c:pt>
                <c:pt idx="1273">
                  <c:v>3</c:v>
                </c:pt>
                <c:pt idx="1274">
                  <c:v>3</c:v>
                </c:pt>
                <c:pt idx="1275">
                  <c:v>5</c:v>
                </c:pt>
                <c:pt idx="1276">
                  <c:v>5</c:v>
                </c:pt>
                <c:pt idx="1277">
                  <c:v>7</c:v>
                </c:pt>
                <c:pt idx="1278">
                  <c:v>2</c:v>
                </c:pt>
                <c:pt idx="1279">
                  <c:v>1</c:v>
                </c:pt>
                <c:pt idx="1280">
                  <c:v>7</c:v>
                </c:pt>
                <c:pt idx="1281">
                  <c:v>4</c:v>
                </c:pt>
                <c:pt idx="1282">
                  <c:v>1</c:v>
                </c:pt>
                <c:pt idx="1283">
                  <c:v>2</c:v>
                </c:pt>
                <c:pt idx="1284">
                  <c:v>2</c:v>
                </c:pt>
                <c:pt idx="1285">
                  <c:v>3</c:v>
                </c:pt>
                <c:pt idx="1286">
                  <c:v>5</c:v>
                </c:pt>
                <c:pt idx="1287">
                  <c:v>4</c:v>
                </c:pt>
                <c:pt idx="1288">
                  <c:v>2</c:v>
                </c:pt>
                <c:pt idx="1289">
                  <c:v>2</c:v>
                </c:pt>
                <c:pt idx="1290">
                  <c:v>4</c:v>
                </c:pt>
                <c:pt idx="1291">
                  <c:v>8</c:v>
                </c:pt>
                <c:pt idx="1292">
                  <c:v>9</c:v>
                </c:pt>
                <c:pt idx="1293">
                  <c:v>2</c:v>
                </c:pt>
                <c:pt idx="1294">
                  <c:v>4</c:v>
                </c:pt>
                <c:pt idx="1295">
                  <c:v>2</c:v>
                </c:pt>
                <c:pt idx="1296">
                  <c:v>6</c:v>
                </c:pt>
                <c:pt idx="1297">
                  <c:v>1</c:v>
                </c:pt>
                <c:pt idx="1298">
                  <c:v>2</c:v>
                </c:pt>
                <c:pt idx="1299">
                  <c:v>11</c:v>
                </c:pt>
                <c:pt idx="1300">
                  <c:v>2</c:v>
                </c:pt>
                <c:pt idx="1301">
                  <c:v>4</c:v>
                </c:pt>
                <c:pt idx="1302">
                  <c:v>3</c:v>
                </c:pt>
                <c:pt idx="1303">
                  <c:v>2</c:v>
                </c:pt>
                <c:pt idx="1304">
                  <c:v>5</c:v>
                </c:pt>
                <c:pt idx="1305">
                  <c:v>4</c:v>
                </c:pt>
                <c:pt idx="1306">
                  <c:v>5</c:v>
                </c:pt>
                <c:pt idx="1307">
                  <c:v>3</c:v>
                </c:pt>
                <c:pt idx="1308">
                  <c:v>1</c:v>
                </c:pt>
                <c:pt idx="1309">
                  <c:v>2</c:v>
                </c:pt>
                <c:pt idx="1310">
                  <c:v>1</c:v>
                </c:pt>
                <c:pt idx="1311">
                  <c:v>1</c:v>
                </c:pt>
                <c:pt idx="1312">
                  <c:v>2</c:v>
                </c:pt>
                <c:pt idx="1313">
                  <c:v>5</c:v>
                </c:pt>
                <c:pt idx="1314">
                  <c:v>3</c:v>
                </c:pt>
                <c:pt idx="1315">
                  <c:v>2</c:v>
                </c:pt>
                <c:pt idx="1316">
                  <c:v>2</c:v>
                </c:pt>
                <c:pt idx="1317">
                  <c:v>2</c:v>
                </c:pt>
                <c:pt idx="1318">
                  <c:v>2</c:v>
                </c:pt>
                <c:pt idx="1319">
                  <c:v>3</c:v>
                </c:pt>
                <c:pt idx="1320">
                  <c:v>1</c:v>
                </c:pt>
                <c:pt idx="1321">
                  <c:v>2</c:v>
                </c:pt>
                <c:pt idx="1322">
                  <c:v>4</c:v>
                </c:pt>
                <c:pt idx="1323">
                  <c:v>2</c:v>
                </c:pt>
                <c:pt idx="1324">
                  <c:v>1</c:v>
                </c:pt>
                <c:pt idx="1325">
                  <c:v>1</c:v>
                </c:pt>
                <c:pt idx="1326">
                  <c:v>3</c:v>
                </c:pt>
                <c:pt idx="1327">
                  <c:v>4</c:v>
                </c:pt>
                <c:pt idx="1328">
                  <c:v>5</c:v>
                </c:pt>
                <c:pt idx="1329">
                  <c:v>6</c:v>
                </c:pt>
                <c:pt idx="1330">
                  <c:v>1</c:v>
                </c:pt>
                <c:pt idx="1331">
                  <c:v>3</c:v>
                </c:pt>
                <c:pt idx="1332">
                  <c:v>2</c:v>
                </c:pt>
                <c:pt idx="1333">
                  <c:v>4</c:v>
                </c:pt>
                <c:pt idx="1334">
                  <c:v>3</c:v>
                </c:pt>
                <c:pt idx="1335">
                  <c:v>2</c:v>
                </c:pt>
                <c:pt idx="1336">
                  <c:v>2</c:v>
                </c:pt>
                <c:pt idx="1337">
                  <c:v>4</c:v>
                </c:pt>
                <c:pt idx="1338">
                  <c:v>2</c:v>
                </c:pt>
                <c:pt idx="1339">
                  <c:v>4</c:v>
                </c:pt>
                <c:pt idx="1340">
                  <c:v>3</c:v>
                </c:pt>
                <c:pt idx="1341">
                  <c:v>4</c:v>
                </c:pt>
                <c:pt idx="1342">
                  <c:v>5</c:v>
                </c:pt>
                <c:pt idx="1343">
                  <c:v>2</c:v>
                </c:pt>
                <c:pt idx="1344">
                  <c:v>2</c:v>
                </c:pt>
                <c:pt idx="1345">
                  <c:v>2</c:v>
                </c:pt>
                <c:pt idx="1346">
                  <c:v>3</c:v>
                </c:pt>
                <c:pt idx="1347">
                  <c:v>5</c:v>
                </c:pt>
                <c:pt idx="1348">
                  <c:v>4</c:v>
                </c:pt>
                <c:pt idx="1349">
                  <c:v>6</c:v>
                </c:pt>
                <c:pt idx="1350">
                  <c:v>5</c:v>
                </c:pt>
                <c:pt idx="1351">
                  <c:v>2</c:v>
                </c:pt>
                <c:pt idx="1352">
                  <c:v>5</c:v>
                </c:pt>
                <c:pt idx="1353">
                  <c:v>2</c:v>
                </c:pt>
                <c:pt idx="1354">
                  <c:v>5</c:v>
                </c:pt>
                <c:pt idx="1355">
                  <c:v>1</c:v>
                </c:pt>
                <c:pt idx="1356">
                  <c:v>5</c:v>
                </c:pt>
                <c:pt idx="1357">
                  <c:v>5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2</c:v>
                </c:pt>
                <c:pt idx="1362">
                  <c:v>3</c:v>
                </c:pt>
                <c:pt idx="1363">
                  <c:v>3</c:v>
                </c:pt>
                <c:pt idx="1364">
                  <c:v>7</c:v>
                </c:pt>
                <c:pt idx="1365">
                  <c:v>7</c:v>
                </c:pt>
                <c:pt idx="1366">
                  <c:v>5</c:v>
                </c:pt>
                <c:pt idx="1367">
                  <c:v>1</c:v>
                </c:pt>
                <c:pt idx="1368">
                  <c:v>4</c:v>
                </c:pt>
                <c:pt idx="1369">
                  <c:v>4</c:v>
                </c:pt>
                <c:pt idx="1370">
                  <c:v>3</c:v>
                </c:pt>
                <c:pt idx="1371">
                  <c:v>3</c:v>
                </c:pt>
                <c:pt idx="1372">
                  <c:v>1</c:v>
                </c:pt>
                <c:pt idx="1373">
                  <c:v>7</c:v>
                </c:pt>
                <c:pt idx="1374">
                  <c:v>5</c:v>
                </c:pt>
                <c:pt idx="1375">
                  <c:v>2</c:v>
                </c:pt>
                <c:pt idx="1376">
                  <c:v>2</c:v>
                </c:pt>
                <c:pt idx="1377">
                  <c:v>6</c:v>
                </c:pt>
                <c:pt idx="1378">
                  <c:v>2</c:v>
                </c:pt>
                <c:pt idx="1379">
                  <c:v>4</c:v>
                </c:pt>
                <c:pt idx="1380">
                  <c:v>2</c:v>
                </c:pt>
                <c:pt idx="1381">
                  <c:v>8</c:v>
                </c:pt>
                <c:pt idx="1382">
                  <c:v>4</c:v>
                </c:pt>
                <c:pt idx="1383">
                  <c:v>2</c:v>
                </c:pt>
                <c:pt idx="1384">
                  <c:v>3</c:v>
                </c:pt>
                <c:pt idx="1385">
                  <c:v>3</c:v>
                </c:pt>
                <c:pt idx="1386">
                  <c:v>7</c:v>
                </c:pt>
                <c:pt idx="1387">
                  <c:v>3</c:v>
                </c:pt>
                <c:pt idx="1388">
                  <c:v>5</c:v>
                </c:pt>
                <c:pt idx="1389">
                  <c:v>2</c:v>
                </c:pt>
                <c:pt idx="1390">
                  <c:v>9</c:v>
                </c:pt>
                <c:pt idx="1391">
                  <c:v>5</c:v>
                </c:pt>
                <c:pt idx="1392">
                  <c:v>2</c:v>
                </c:pt>
                <c:pt idx="1393">
                  <c:v>9</c:v>
                </c:pt>
                <c:pt idx="1394">
                  <c:v>3</c:v>
                </c:pt>
                <c:pt idx="1395">
                  <c:v>4</c:v>
                </c:pt>
                <c:pt idx="1396">
                  <c:v>2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4</c:v>
                </c:pt>
                <c:pt idx="1401">
                  <c:v>6</c:v>
                </c:pt>
                <c:pt idx="1402">
                  <c:v>3</c:v>
                </c:pt>
                <c:pt idx="1403">
                  <c:v>3</c:v>
                </c:pt>
                <c:pt idx="1404">
                  <c:v>8</c:v>
                </c:pt>
                <c:pt idx="1405">
                  <c:v>6</c:v>
                </c:pt>
                <c:pt idx="1406">
                  <c:v>2</c:v>
                </c:pt>
                <c:pt idx="1407">
                  <c:v>2</c:v>
                </c:pt>
                <c:pt idx="1408">
                  <c:v>4</c:v>
                </c:pt>
                <c:pt idx="1409">
                  <c:v>1</c:v>
                </c:pt>
                <c:pt idx="1410">
                  <c:v>9</c:v>
                </c:pt>
                <c:pt idx="1411">
                  <c:v>1</c:v>
                </c:pt>
                <c:pt idx="1412">
                  <c:v>4</c:v>
                </c:pt>
                <c:pt idx="1413">
                  <c:v>3</c:v>
                </c:pt>
                <c:pt idx="1414">
                  <c:v>3</c:v>
                </c:pt>
                <c:pt idx="1415">
                  <c:v>1</c:v>
                </c:pt>
                <c:pt idx="1416">
                  <c:v>4</c:v>
                </c:pt>
                <c:pt idx="1417">
                  <c:v>1</c:v>
                </c:pt>
                <c:pt idx="1418">
                  <c:v>1</c:v>
                </c:pt>
                <c:pt idx="1419">
                  <c:v>2</c:v>
                </c:pt>
                <c:pt idx="1420">
                  <c:v>4</c:v>
                </c:pt>
                <c:pt idx="1421">
                  <c:v>1</c:v>
                </c:pt>
                <c:pt idx="1422">
                  <c:v>3</c:v>
                </c:pt>
                <c:pt idx="1423">
                  <c:v>7</c:v>
                </c:pt>
                <c:pt idx="1424">
                  <c:v>2</c:v>
                </c:pt>
                <c:pt idx="1425">
                  <c:v>2</c:v>
                </c:pt>
                <c:pt idx="1426">
                  <c:v>11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2</c:v>
                </c:pt>
                <c:pt idx="1431">
                  <c:v>2</c:v>
                </c:pt>
                <c:pt idx="1432">
                  <c:v>5</c:v>
                </c:pt>
                <c:pt idx="1433">
                  <c:v>3</c:v>
                </c:pt>
                <c:pt idx="1434">
                  <c:v>3</c:v>
                </c:pt>
                <c:pt idx="1435">
                  <c:v>2</c:v>
                </c:pt>
                <c:pt idx="1436">
                  <c:v>2</c:v>
                </c:pt>
                <c:pt idx="1437">
                  <c:v>3</c:v>
                </c:pt>
                <c:pt idx="1438">
                  <c:v>7</c:v>
                </c:pt>
                <c:pt idx="1439">
                  <c:v>3</c:v>
                </c:pt>
                <c:pt idx="1440">
                  <c:v>2</c:v>
                </c:pt>
                <c:pt idx="1441">
                  <c:v>2</c:v>
                </c:pt>
                <c:pt idx="1442">
                  <c:v>8</c:v>
                </c:pt>
                <c:pt idx="1443">
                  <c:v>5</c:v>
                </c:pt>
                <c:pt idx="1444">
                  <c:v>11</c:v>
                </c:pt>
                <c:pt idx="1445">
                  <c:v>4</c:v>
                </c:pt>
                <c:pt idx="1446">
                  <c:v>6</c:v>
                </c:pt>
                <c:pt idx="1447">
                  <c:v>5</c:v>
                </c:pt>
                <c:pt idx="1448">
                  <c:v>2</c:v>
                </c:pt>
                <c:pt idx="1449">
                  <c:v>2</c:v>
                </c:pt>
                <c:pt idx="1450">
                  <c:v>6</c:v>
                </c:pt>
                <c:pt idx="1451">
                  <c:v>9</c:v>
                </c:pt>
                <c:pt idx="1452">
                  <c:v>5</c:v>
                </c:pt>
                <c:pt idx="1453">
                  <c:v>5</c:v>
                </c:pt>
                <c:pt idx="1454">
                  <c:v>8</c:v>
                </c:pt>
                <c:pt idx="1455">
                  <c:v>8</c:v>
                </c:pt>
                <c:pt idx="1456">
                  <c:v>1</c:v>
                </c:pt>
                <c:pt idx="1457">
                  <c:v>5</c:v>
                </c:pt>
                <c:pt idx="1458">
                  <c:v>2</c:v>
                </c:pt>
                <c:pt idx="1459">
                  <c:v>2</c:v>
                </c:pt>
                <c:pt idx="1460">
                  <c:v>1</c:v>
                </c:pt>
                <c:pt idx="1461">
                  <c:v>3</c:v>
                </c:pt>
                <c:pt idx="1462">
                  <c:v>2</c:v>
                </c:pt>
                <c:pt idx="1463">
                  <c:v>2</c:v>
                </c:pt>
                <c:pt idx="1464">
                  <c:v>1</c:v>
                </c:pt>
                <c:pt idx="1465">
                  <c:v>1</c:v>
                </c:pt>
                <c:pt idx="1466">
                  <c:v>2</c:v>
                </c:pt>
                <c:pt idx="1467">
                  <c:v>2</c:v>
                </c:pt>
                <c:pt idx="1468">
                  <c:v>7</c:v>
                </c:pt>
                <c:pt idx="1469">
                  <c:v>2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2</c:v>
                </c:pt>
                <c:pt idx="1474">
                  <c:v>7</c:v>
                </c:pt>
                <c:pt idx="1475">
                  <c:v>10</c:v>
                </c:pt>
                <c:pt idx="1476">
                  <c:v>2</c:v>
                </c:pt>
                <c:pt idx="1477">
                  <c:v>3</c:v>
                </c:pt>
                <c:pt idx="1478">
                  <c:v>3</c:v>
                </c:pt>
                <c:pt idx="1479">
                  <c:v>3</c:v>
                </c:pt>
                <c:pt idx="1480">
                  <c:v>5</c:v>
                </c:pt>
                <c:pt idx="1481">
                  <c:v>3</c:v>
                </c:pt>
                <c:pt idx="1482">
                  <c:v>8</c:v>
                </c:pt>
                <c:pt idx="1483">
                  <c:v>5</c:v>
                </c:pt>
                <c:pt idx="1484">
                  <c:v>5</c:v>
                </c:pt>
                <c:pt idx="1485">
                  <c:v>7</c:v>
                </c:pt>
                <c:pt idx="1486">
                  <c:v>4</c:v>
                </c:pt>
                <c:pt idx="1487">
                  <c:v>7</c:v>
                </c:pt>
                <c:pt idx="1488">
                  <c:v>2</c:v>
                </c:pt>
                <c:pt idx="1489">
                  <c:v>7</c:v>
                </c:pt>
                <c:pt idx="1490">
                  <c:v>11</c:v>
                </c:pt>
                <c:pt idx="1491">
                  <c:v>1</c:v>
                </c:pt>
                <c:pt idx="1492">
                  <c:v>13</c:v>
                </c:pt>
                <c:pt idx="1493">
                  <c:v>1</c:v>
                </c:pt>
                <c:pt idx="1494">
                  <c:v>2</c:v>
                </c:pt>
                <c:pt idx="1495">
                  <c:v>2</c:v>
                </c:pt>
                <c:pt idx="1496">
                  <c:v>7</c:v>
                </c:pt>
                <c:pt idx="1497">
                  <c:v>13</c:v>
                </c:pt>
                <c:pt idx="1498">
                  <c:v>1</c:v>
                </c:pt>
                <c:pt idx="149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58-4FB3-814C-DDD40DD77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884127"/>
        <c:axId val="368888703"/>
      </c:scatterChart>
      <c:valAx>
        <c:axId val="36888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888703"/>
        <c:crosses val="autoZero"/>
        <c:crossBetween val="midCat"/>
      </c:valAx>
      <c:valAx>
        <c:axId val="36888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884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[DIY-IV(A).xlsx]Task-5!PivotTable1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Spending amount cities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'Task-5'!$C$2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'Task-5'!$B$3:$B$13</c:f>
              <c:strCache>
                <c:ptCount val="10"/>
                <c:pt idx="0">
                  <c:v>Ahmedabad</c:v>
                </c:pt>
                <c:pt idx="1">
                  <c:v>Bhopal</c:v>
                </c:pt>
                <c:pt idx="2">
                  <c:v>Chandigarh</c:v>
                </c:pt>
                <c:pt idx="3">
                  <c:v>Delhi</c:v>
                </c:pt>
                <c:pt idx="4">
                  <c:v>Indore</c:v>
                </c:pt>
                <c:pt idx="5">
                  <c:v>Kolkata</c:v>
                </c:pt>
                <c:pt idx="6">
                  <c:v>Mathura</c:v>
                </c:pt>
                <c:pt idx="7">
                  <c:v>Mumbai</c:v>
                </c:pt>
                <c:pt idx="8">
                  <c:v>Pune</c:v>
                </c:pt>
                <c:pt idx="9">
                  <c:v>Thiruvananthapuram</c:v>
                </c:pt>
              </c:strCache>
            </c:strRef>
          </c:cat>
          <c:val>
            <c:numRef>
              <c:f>'Task-5'!$C$3:$C$13</c:f>
              <c:numCache>
                <c:formatCode>General</c:formatCode>
                <c:ptCount val="10"/>
                <c:pt idx="0">
                  <c:v>14543</c:v>
                </c:pt>
                <c:pt idx="1">
                  <c:v>23783</c:v>
                </c:pt>
                <c:pt idx="2">
                  <c:v>21142</c:v>
                </c:pt>
                <c:pt idx="3">
                  <c:v>22957</c:v>
                </c:pt>
                <c:pt idx="4">
                  <c:v>63680</c:v>
                </c:pt>
                <c:pt idx="5">
                  <c:v>14328</c:v>
                </c:pt>
                <c:pt idx="6">
                  <c:v>28747</c:v>
                </c:pt>
                <c:pt idx="7">
                  <c:v>58886</c:v>
                </c:pt>
                <c:pt idx="8">
                  <c:v>43612</c:v>
                </c:pt>
                <c:pt idx="9">
                  <c:v>13871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6-4A7C-81D3-23C8FB6C8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3121600"/>
        <c:axId val="1143122848"/>
      </c:barChart>
      <c:catAx>
        <c:axId val="1143121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122848"/>
        <c:crosses val="autoZero"/>
        <c:auto val="1"/>
        <c:lblAlgn val="ctr"/>
        <c:lblOffset val="100"/>
        <c:noMultiLvlLbl val="0"/>
      </c:catAx>
      <c:valAx>
        <c:axId val="114312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121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[DIY-IV(A).xlsx]Task-7!PivotTable3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</a:t>
            </a:r>
            <a:r>
              <a:rPr lang="en-US" baseline="0"/>
              <a:t> of Sub-Category</a:t>
            </a:r>
            <a:endParaRPr lang="en-US"/>
          </a:p>
        </c:rich>
      </c:tx>
      <c:layout>
        <c:manualLayout>
          <c:xMode val="edge"/>
          <c:yMode val="edge"/>
          <c:x val="0.56194444444444447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'Task-7'!$C$2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'Task-7'!$B$3:$B$9</c:f>
              <c:strCache>
                <c:ptCount val="6"/>
                <c:pt idx="0">
                  <c:v>Bookcases</c:v>
                </c:pt>
                <c:pt idx="1">
                  <c:v>Electronic Games</c:v>
                </c:pt>
                <c:pt idx="2">
                  <c:v>Hankerchief</c:v>
                </c:pt>
                <c:pt idx="3">
                  <c:v>Phones</c:v>
                </c:pt>
                <c:pt idx="4">
                  <c:v>Saree</c:v>
                </c:pt>
                <c:pt idx="5">
                  <c:v>Stole</c:v>
                </c:pt>
              </c:strCache>
            </c:strRef>
          </c:cat>
          <c:val>
            <c:numRef>
              <c:f>'Task-7'!$C$3:$C$9</c:f>
              <c:numCache>
                <c:formatCode>General</c:formatCode>
                <c:ptCount val="6"/>
                <c:pt idx="0">
                  <c:v>79</c:v>
                </c:pt>
                <c:pt idx="1">
                  <c:v>79</c:v>
                </c:pt>
                <c:pt idx="2">
                  <c:v>197</c:v>
                </c:pt>
                <c:pt idx="3">
                  <c:v>83</c:v>
                </c:pt>
                <c:pt idx="4">
                  <c:v>211</c:v>
                </c:pt>
                <c:pt idx="5">
                  <c:v>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F-4B52-A56C-8CFA7B5BE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[DIY-IV(A).xlsx]Task-8!PivotTable4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profit state-wise</a:t>
            </a:r>
            <a:endParaRPr lang="en-IN"/>
          </a:p>
        </c:rich>
      </c:tx>
      <c:layout>
        <c:manualLayout>
          <c:xMode val="edge"/>
          <c:yMode val="edge"/>
          <c:x val="0.41179855643044622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'Task-8'!$C$2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'Task-8'!$B$3:$B$22</c:f>
              <c:strCache>
                <c:ptCount val="19"/>
                <c:pt idx="0">
                  <c:v>Andhra Pradesh</c:v>
                </c:pt>
                <c:pt idx="1">
                  <c:v>Bihar</c:v>
                </c:pt>
                <c:pt idx="2">
                  <c:v>Delhi</c:v>
                </c:pt>
                <c:pt idx="3">
                  <c:v>Goa</c:v>
                </c:pt>
                <c:pt idx="4">
                  <c:v>Gujarat</c:v>
                </c:pt>
                <c:pt idx="5">
                  <c:v>Haryana</c:v>
                </c:pt>
                <c:pt idx="6">
                  <c:v>Himachal Pradesh</c:v>
                </c:pt>
                <c:pt idx="7">
                  <c:v>Jammu and Kashmir</c:v>
                </c:pt>
                <c:pt idx="8">
                  <c:v>Karnataka</c:v>
                </c:pt>
                <c:pt idx="9">
                  <c:v>Kerala</c:v>
                </c:pt>
                <c:pt idx="10">
                  <c:v>Madhya Pradesh</c:v>
                </c:pt>
                <c:pt idx="11">
                  <c:v>Maharashtra</c:v>
                </c:pt>
                <c:pt idx="12">
                  <c:v>Nagaland</c:v>
                </c:pt>
                <c:pt idx="13">
                  <c:v>Punjab</c:v>
                </c:pt>
                <c:pt idx="14">
                  <c:v>Rajasthan</c:v>
                </c:pt>
                <c:pt idx="15">
                  <c:v>Sikkim</c:v>
                </c:pt>
                <c:pt idx="16">
                  <c:v>Tamil Nadu</c:v>
                </c:pt>
                <c:pt idx="17">
                  <c:v>Uttar Pradesh</c:v>
                </c:pt>
                <c:pt idx="18">
                  <c:v>West Bengal</c:v>
                </c:pt>
              </c:strCache>
            </c:strRef>
          </c:cat>
          <c:val>
            <c:numRef>
              <c:f>'Task-8'!$C$3:$C$22</c:f>
              <c:numCache>
                <c:formatCode>General</c:formatCode>
                <c:ptCount val="19"/>
                <c:pt idx="0">
                  <c:v>-6.666666666666667</c:v>
                </c:pt>
                <c:pt idx="1">
                  <c:v>28.822580645161292</c:v>
                </c:pt>
                <c:pt idx="2">
                  <c:v>25.763157894736842</c:v>
                </c:pt>
                <c:pt idx="3">
                  <c:v>8.1395348837209305</c:v>
                </c:pt>
                <c:pt idx="4">
                  <c:v>34.494252873563219</c:v>
                </c:pt>
                <c:pt idx="5">
                  <c:v>50.96153846153846</c:v>
                </c:pt>
                <c:pt idx="6">
                  <c:v>57.310344827586206</c:v>
                </c:pt>
                <c:pt idx="7">
                  <c:v>4.2448979591836737</c:v>
                </c:pt>
                <c:pt idx="8">
                  <c:v>8.98</c:v>
                </c:pt>
                <c:pt idx="9">
                  <c:v>54.111111111111114</c:v>
                </c:pt>
                <c:pt idx="10">
                  <c:v>23.509554140127388</c:v>
                </c:pt>
                <c:pt idx="11">
                  <c:v>23.287625418060202</c:v>
                </c:pt>
                <c:pt idx="12">
                  <c:v>0.88888888888888884</c:v>
                </c:pt>
                <c:pt idx="13">
                  <c:v>26.183333333333334</c:v>
                </c:pt>
                <c:pt idx="14">
                  <c:v>-4.3648648648648649</c:v>
                </c:pt>
                <c:pt idx="15">
                  <c:v>16.708333333333332</c:v>
                </c:pt>
                <c:pt idx="16">
                  <c:v>104.08</c:v>
                </c:pt>
                <c:pt idx="17">
                  <c:v>38.597701149425291</c:v>
                </c:pt>
                <c:pt idx="18">
                  <c:v>32.920634920634917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05-4958-8CA2-D034A572D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2055056"/>
        <c:axId val="1392061712"/>
      </c:barChart>
      <c:catAx>
        <c:axId val="139205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61712"/>
        <c:crosses val="autoZero"/>
        <c:auto val="1"/>
        <c:lblAlgn val="ctr"/>
        <c:lblOffset val="100"/>
        <c:noMultiLvlLbl val="0"/>
      </c:catAx>
      <c:valAx>
        <c:axId val="139206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05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vs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'Task-9'!$B$1</c:f>
              <c:strCache>
                <c:ptCount val="1"/>
                <c:pt idx="0">
                  <c:v>Quantity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'Task-9'!$B$2:$B$1501</c:f>
              <c:numCache>
                <c:formatCode>General</c:formatCode>
                <c:ptCount val="1500"/>
                <c:pt idx="0">
                  <c:v>7</c:v>
                </c:pt>
                <c:pt idx="1">
                  <c:v>14</c:v>
                </c:pt>
                <c:pt idx="2">
                  <c:v>8</c:v>
                </c:pt>
                <c:pt idx="3">
                  <c:v>8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2</c:v>
                </c:pt>
                <c:pt idx="9">
                  <c:v>5</c:v>
                </c:pt>
                <c:pt idx="10">
                  <c:v>9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  <c:pt idx="15">
                  <c:v>1</c:v>
                </c:pt>
                <c:pt idx="16">
                  <c:v>5</c:v>
                </c:pt>
                <c:pt idx="17">
                  <c:v>1</c:v>
                </c:pt>
                <c:pt idx="18">
                  <c:v>5</c:v>
                </c:pt>
                <c:pt idx="19">
                  <c:v>2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4</c:v>
                </c:pt>
                <c:pt idx="24">
                  <c:v>2</c:v>
                </c:pt>
                <c:pt idx="25">
                  <c:v>3</c:v>
                </c:pt>
                <c:pt idx="26">
                  <c:v>8</c:v>
                </c:pt>
                <c:pt idx="27">
                  <c:v>6</c:v>
                </c:pt>
                <c:pt idx="28">
                  <c:v>6</c:v>
                </c:pt>
                <c:pt idx="29">
                  <c:v>3</c:v>
                </c:pt>
                <c:pt idx="30">
                  <c:v>5</c:v>
                </c:pt>
                <c:pt idx="31">
                  <c:v>8</c:v>
                </c:pt>
                <c:pt idx="32">
                  <c:v>8</c:v>
                </c:pt>
                <c:pt idx="33">
                  <c:v>4</c:v>
                </c:pt>
                <c:pt idx="34">
                  <c:v>2</c:v>
                </c:pt>
                <c:pt idx="35">
                  <c:v>5</c:v>
                </c:pt>
                <c:pt idx="36">
                  <c:v>1</c:v>
                </c:pt>
                <c:pt idx="37">
                  <c:v>5</c:v>
                </c:pt>
                <c:pt idx="38">
                  <c:v>2</c:v>
                </c:pt>
                <c:pt idx="39">
                  <c:v>2</c:v>
                </c:pt>
                <c:pt idx="40">
                  <c:v>3</c:v>
                </c:pt>
                <c:pt idx="41">
                  <c:v>1</c:v>
                </c:pt>
                <c:pt idx="42">
                  <c:v>3</c:v>
                </c:pt>
                <c:pt idx="43">
                  <c:v>2</c:v>
                </c:pt>
                <c:pt idx="44">
                  <c:v>3</c:v>
                </c:pt>
                <c:pt idx="45">
                  <c:v>3</c:v>
                </c:pt>
                <c:pt idx="46">
                  <c:v>6</c:v>
                </c:pt>
                <c:pt idx="47">
                  <c:v>4</c:v>
                </c:pt>
                <c:pt idx="48">
                  <c:v>9</c:v>
                </c:pt>
                <c:pt idx="49">
                  <c:v>4</c:v>
                </c:pt>
                <c:pt idx="50">
                  <c:v>4</c:v>
                </c:pt>
                <c:pt idx="51">
                  <c:v>8</c:v>
                </c:pt>
                <c:pt idx="52">
                  <c:v>13</c:v>
                </c:pt>
                <c:pt idx="53">
                  <c:v>6</c:v>
                </c:pt>
                <c:pt idx="54">
                  <c:v>1</c:v>
                </c:pt>
                <c:pt idx="55">
                  <c:v>3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5</c:v>
                </c:pt>
                <c:pt idx="60">
                  <c:v>7</c:v>
                </c:pt>
                <c:pt idx="61">
                  <c:v>1</c:v>
                </c:pt>
                <c:pt idx="62">
                  <c:v>5</c:v>
                </c:pt>
                <c:pt idx="63">
                  <c:v>7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5</c:v>
                </c:pt>
                <c:pt idx="68">
                  <c:v>3</c:v>
                </c:pt>
                <c:pt idx="69">
                  <c:v>4</c:v>
                </c:pt>
                <c:pt idx="70">
                  <c:v>5</c:v>
                </c:pt>
                <c:pt idx="71">
                  <c:v>8</c:v>
                </c:pt>
                <c:pt idx="72">
                  <c:v>4</c:v>
                </c:pt>
                <c:pt idx="73">
                  <c:v>9</c:v>
                </c:pt>
                <c:pt idx="74">
                  <c:v>6</c:v>
                </c:pt>
                <c:pt idx="75">
                  <c:v>4</c:v>
                </c:pt>
                <c:pt idx="76">
                  <c:v>4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7</c:v>
                </c:pt>
                <c:pt idx="82">
                  <c:v>9</c:v>
                </c:pt>
                <c:pt idx="83">
                  <c:v>2</c:v>
                </c:pt>
                <c:pt idx="84">
                  <c:v>11</c:v>
                </c:pt>
                <c:pt idx="85">
                  <c:v>9</c:v>
                </c:pt>
                <c:pt idx="86">
                  <c:v>4</c:v>
                </c:pt>
                <c:pt idx="87">
                  <c:v>3</c:v>
                </c:pt>
                <c:pt idx="88">
                  <c:v>6</c:v>
                </c:pt>
                <c:pt idx="89">
                  <c:v>2</c:v>
                </c:pt>
                <c:pt idx="90">
                  <c:v>2</c:v>
                </c:pt>
                <c:pt idx="91">
                  <c:v>8</c:v>
                </c:pt>
                <c:pt idx="92">
                  <c:v>7</c:v>
                </c:pt>
                <c:pt idx="93">
                  <c:v>7</c:v>
                </c:pt>
                <c:pt idx="94">
                  <c:v>9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2</c:v>
                </c:pt>
                <c:pt idx="99">
                  <c:v>3</c:v>
                </c:pt>
                <c:pt idx="100">
                  <c:v>2</c:v>
                </c:pt>
                <c:pt idx="101">
                  <c:v>3</c:v>
                </c:pt>
                <c:pt idx="102">
                  <c:v>6</c:v>
                </c:pt>
                <c:pt idx="103">
                  <c:v>9</c:v>
                </c:pt>
                <c:pt idx="104">
                  <c:v>5</c:v>
                </c:pt>
                <c:pt idx="105">
                  <c:v>7</c:v>
                </c:pt>
                <c:pt idx="106">
                  <c:v>2</c:v>
                </c:pt>
                <c:pt idx="107">
                  <c:v>7</c:v>
                </c:pt>
                <c:pt idx="108">
                  <c:v>6</c:v>
                </c:pt>
                <c:pt idx="109">
                  <c:v>6</c:v>
                </c:pt>
                <c:pt idx="110">
                  <c:v>4</c:v>
                </c:pt>
                <c:pt idx="111">
                  <c:v>2</c:v>
                </c:pt>
                <c:pt idx="112">
                  <c:v>5</c:v>
                </c:pt>
                <c:pt idx="113">
                  <c:v>2</c:v>
                </c:pt>
                <c:pt idx="114">
                  <c:v>3</c:v>
                </c:pt>
                <c:pt idx="115">
                  <c:v>8</c:v>
                </c:pt>
                <c:pt idx="116">
                  <c:v>2</c:v>
                </c:pt>
                <c:pt idx="117">
                  <c:v>1</c:v>
                </c:pt>
                <c:pt idx="118">
                  <c:v>5</c:v>
                </c:pt>
                <c:pt idx="119">
                  <c:v>6</c:v>
                </c:pt>
                <c:pt idx="120">
                  <c:v>1</c:v>
                </c:pt>
                <c:pt idx="121">
                  <c:v>4</c:v>
                </c:pt>
                <c:pt idx="122">
                  <c:v>7</c:v>
                </c:pt>
                <c:pt idx="123">
                  <c:v>6</c:v>
                </c:pt>
                <c:pt idx="124">
                  <c:v>2</c:v>
                </c:pt>
                <c:pt idx="125">
                  <c:v>5</c:v>
                </c:pt>
                <c:pt idx="126">
                  <c:v>6</c:v>
                </c:pt>
                <c:pt idx="127">
                  <c:v>2</c:v>
                </c:pt>
                <c:pt idx="128">
                  <c:v>6</c:v>
                </c:pt>
                <c:pt idx="129">
                  <c:v>2</c:v>
                </c:pt>
                <c:pt idx="130">
                  <c:v>4</c:v>
                </c:pt>
                <c:pt idx="131">
                  <c:v>4</c:v>
                </c:pt>
                <c:pt idx="132">
                  <c:v>5</c:v>
                </c:pt>
                <c:pt idx="133">
                  <c:v>3</c:v>
                </c:pt>
                <c:pt idx="134">
                  <c:v>6</c:v>
                </c:pt>
                <c:pt idx="135">
                  <c:v>4</c:v>
                </c:pt>
                <c:pt idx="136">
                  <c:v>2</c:v>
                </c:pt>
                <c:pt idx="137">
                  <c:v>2</c:v>
                </c:pt>
                <c:pt idx="138">
                  <c:v>1</c:v>
                </c:pt>
                <c:pt idx="139">
                  <c:v>4</c:v>
                </c:pt>
                <c:pt idx="140">
                  <c:v>2</c:v>
                </c:pt>
                <c:pt idx="141">
                  <c:v>5</c:v>
                </c:pt>
                <c:pt idx="142">
                  <c:v>3</c:v>
                </c:pt>
                <c:pt idx="143">
                  <c:v>1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6</c:v>
                </c:pt>
                <c:pt idx="148">
                  <c:v>6</c:v>
                </c:pt>
                <c:pt idx="149">
                  <c:v>3</c:v>
                </c:pt>
                <c:pt idx="150">
                  <c:v>6</c:v>
                </c:pt>
                <c:pt idx="151">
                  <c:v>4</c:v>
                </c:pt>
                <c:pt idx="152">
                  <c:v>3</c:v>
                </c:pt>
                <c:pt idx="153">
                  <c:v>5</c:v>
                </c:pt>
                <c:pt idx="154">
                  <c:v>3</c:v>
                </c:pt>
                <c:pt idx="155">
                  <c:v>13</c:v>
                </c:pt>
                <c:pt idx="156">
                  <c:v>5</c:v>
                </c:pt>
                <c:pt idx="157">
                  <c:v>7</c:v>
                </c:pt>
                <c:pt idx="158">
                  <c:v>4</c:v>
                </c:pt>
                <c:pt idx="159">
                  <c:v>3</c:v>
                </c:pt>
                <c:pt idx="160">
                  <c:v>2</c:v>
                </c:pt>
                <c:pt idx="161">
                  <c:v>6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11</c:v>
                </c:pt>
                <c:pt idx="166">
                  <c:v>3</c:v>
                </c:pt>
                <c:pt idx="167">
                  <c:v>3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3</c:v>
                </c:pt>
                <c:pt idx="172">
                  <c:v>1</c:v>
                </c:pt>
                <c:pt idx="173">
                  <c:v>1</c:v>
                </c:pt>
                <c:pt idx="174">
                  <c:v>7</c:v>
                </c:pt>
                <c:pt idx="175">
                  <c:v>2</c:v>
                </c:pt>
                <c:pt idx="176">
                  <c:v>8</c:v>
                </c:pt>
                <c:pt idx="177">
                  <c:v>3</c:v>
                </c:pt>
                <c:pt idx="178">
                  <c:v>4</c:v>
                </c:pt>
                <c:pt idx="179">
                  <c:v>6</c:v>
                </c:pt>
                <c:pt idx="180">
                  <c:v>2</c:v>
                </c:pt>
                <c:pt idx="181">
                  <c:v>4</c:v>
                </c:pt>
                <c:pt idx="182">
                  <c:v>6</c:v>
                </c:pt>
                <c:pt idx="183">
                  <c:v>2</c:v>
                </c:pt>
                <c:pt idx="184">
                  <c:v>4</c:v>
                </c:pt>
                <c:pt idx="185">
                  <c:v>3</c:v>
                </c:pt>
                <c:pt idx="186">
                  <c:v>3</c:v>
                </c:pt>
                <c:pt idx="187">
                  <c:v>2</c:v>
                </c:pt>
                <c:pt idx="188">
                  <c:v>2</c:v>
                </c:pt>
                <c:pt idx="189">
                  <c:v>8</c:v>
                </c:pt>
                <c:pt idx="190">
                  <c:v>9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2</c:v>
                </c:pt>
                <c:pt idx="195">
                  <c:v>3</c:v>
                </c:pt>
                <c:pt idx="196">
                  <c:v>5</c:v>
                </c:pt>
                <c:pt idx="197">
                  <c:v>3</c:v>
                </c:pt>
                <c:pt idx="198">
                  <c:v>6</c:v>
                </c:pt>
                <c:pt idx="199">
                  <c:v>2</c:v>
                </c:pt>
                <c:pt idx="200">
                  <c:v>5</c:v>
                </c:pt>
                <c:pt idx="201">
                  <c:v>3</c:v>
                </c:pt>
                <c:pt idx="202">
                  <c:v>4</c:v>
                </c:pt>
                <c:pt idx="203">
                  <c:v>5</c:v>
                </c:pt>
                <c:pt idx="204">
                  <c:v>3</c:v>
                </c:pt>
                <c:pt idx="205">
                  <c:v>3</c:v>
                </c:pt>
                <c:pt idx="206">
                  <c:v>2</c:v>
                </c:pt>
                <c:pt idx="207">
                  <c:v>3</c:v>
                </c:pt>
                <c:pt idx="208">
                  <c:v>3</c:v>
                </c:pt>
                <c:pt idx="209">
                  <c:v>4</c:v>
                </c:pt>
                <c:pt idx="210">
                  <c:v>8</c:v>
                </c:pt>
                <c:pt idx="211">
                  <c:v>2</c:v>
                </c:pt>
                <c:pt idx="212">
                  <c:v>3</c:v>
                </c:pt>
                <c:pt idx="213">
                  <c:v>1</c:v>
                </c:pt>
                <c:pt idx="214">
                  <c:v>2</c:v>
                </c:pt>
                <c:pt idx="215">
                  <c:v>2</c:v>
                </c:pt>
                <c:pt idx="216">
                  <c:v>3</c:v>
                </c:pt>
                <c:pt idx="217">
                  <c:v>2</c:v>
                </c:pt>
                <c:pt idx="218">
                  <c:v>1</c:v>
                </c:pt>
                <c:pt idx="219">
                  <c:v>7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5</c:v>
                </c:pt>
                <c:pt idx="224">
                  <c:v>4</c:v>
                </c:pt>
                <c:pt idx="225">
                  <c:v>2</c:v>
                </c:pt>
                <c:pt idx="226">
                  <c:v>7</c:v>
                </c:pt>
                <c:pt idx="227">
                  <c:v>3</c:v>
                </c:pt>
                <c:pt idx="228">
                  <c:v>4</c:v>
                </c:pt>
                <c:pt idx="229">
                  <c:v>11</c:v>
                </c:pt>
                <c:pt idx="230">
                  <c:v>3</c:v>
                </c:pt>
                <c:pt idx="231">
                  <c:v>4</c:v>
                </c:pt>
                <c:pt idx="232">
                  <c:v>6</c:v>
                </c:pt>
                <c:pt idx="233">
                  <c:v>2</c:v>
                </c:pt>
                <c:pt idx="234">
                  <c:v>1</c:v>
                </c:pt>
                <c:pt idx="235">
                  <c:v>1</c:v>
                </c:pt>
                <c:pt idx="236">
                  <c:v>9</c:v>
                </c:pt>
                <c:pt idx="237">
                  <c:v>4</c:v>
                </c:pt>
                <c:pt idx="238">
                  <c:v>5</c:v>
                </c:pt>
                <c:pt idx="239">
                  <c:v>1</c:v>
                </c:pt>
                <c:pt idx="240">
                  <c:v>6</c:v>
                </c:pt>
                <c:pt idx="241">
                  <c:v>2</c:v>
                </c:pt>
                <c:pt idx="242">
                  <c:v>5</c:v>
                </c:pt>
                <c:pt idx="243">
                  <c:v>4</c:v>
                </c:pt>
                <c:pt idx="244">
                  <c:v>5</c:v>
                </c:pt>
                <c:pt idx="245">
                  <c:v>2</c:v>
                </c:pt>
                <c:pt idx="246">
                  <c:v>3</c:v>
                </c:pt>
                <c:pt idx="247">
                  <c:v>2</c:v>
                </c:pt>
                <c:pt idx="248">
                  <c:v>7</c:v>
                </c:pt>
                <c:pt idx="249">
                  <c:v>6</c:v>
                </c:pt>
                <c:pt idx="250">
                  <c:v>5</c:v>
                </c:pt>
                <c:pt idx="251">
                  <c:v>2</c:v>
                </c:pt>
                <c:pt idx="252">
                  <c:v>3</c:v>
                </c:pt>
                <c:pt idx="253">
                  <c:v>8</c:v>
                </c:pt>
                <c:pt idx="254">
                  <c:v>2</c:v>
                </c:pt>
                <c:pt idx="255">
                  <c:v>4</c:v>
                </c:pt>
                <c:pt idx="256">
                  <c:v>3</c:v>
                </c:pt>
                <c:pt idx="257">
                  <c:v>4</c:v>
                </c:pt>
                <c:pt idx="258">
                  <c:v>4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6</c:v>
                </c:pt>
                <c:pt idx="263">
                  <c:v>5</c:v>
                </c:pt>
                <c:pt idx="264">
                  <c:v>6</c:v>
                </c:pt>
                <c:pt idx="265">
                  <c:v>3</c:v>
                </c:pt>
                <c:pt idx="266">
                  <c:v>3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4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2</c:v>
                </c:pt>
                <c:pt idx="275">
                  <c:v>5</c:v>
                </c:pt>
                <c:pt idx="276">
                  <c:v>8</c:v>
                </c:pt>
                <c:pt idx="277">
                  <c:v>4</c:v>
                </c:pt>
                <c:pt idx="278">
                  <c:v>4</c:v>
                </c:pt>
                <c:pt idx="279">
                  <c:v>2</c:v>
                </c:pt>
                <c:pt idx="280">
                  <c:v>3</c:v>
                </c:pt>
                <c:pt idx="281">
                  <c:v>4</c:v>
                </c:pt>
                <c:pt idx="282">
                  <c:v>2</c:v>
                </c:pt>
                <c:pt idx="283">
                  <c:v>4</c:v>
                </c:pt>
                <c:pt idx="284">
                  <c:v>2</c:v>
                </c:pt>
                <c:pt idx="285">
                  <c:v>3</c:v>
                </c:pt>
                <c:pt idx="286">
                  <c:v>1</c:v>
                </c:pt>
                <c:pt idx="287">
                  <c:v>2</c:v>
                </c:pt>
                <c:pt idx="288">
                  <c:v>3</c:v>
                </c:pt>
                <c:pt idx="289">
                  <c:v>3</c:v>
                </c:pt>
                <c:pt idx="290">
                  <c:v>4</c:v>
                </c:pt>
                <c:pt idx="291">
                  <c:v>3</c:v>
                </c:pt>
                <c:pt idx="292">
                  <c:v>7</c:v>
                </c:pt>
                <c:pt idx="293">
                  <c:v>7</c:v>
                </c:pt>
                <c:pt idx="294">
                  <c:v>4</c:v>
                </c:pt>
                <c:pt idx="295">
                  <c:v>3</c:v>
                </c:pt>
                <c:pt idx="296">
                  <c:v>6</c:v>
                </c:pt>
                <c:pt idx="297">
                  <c:v>7</c:v>
                </c:pt>
                <c:pt idx="298">
                  <c:v>3</c:v>
                </c:pt>
                <c:pt idx="299">
                  <c:v>1</c:v>
                </c:pt>
                <c:pt idx="300">
                  <c:v>2</c:v>
                </c:pt>
                <c:pt idx="301">
                  <c:v>2</c:v>
                </c:pt>
                <c:pt idx="302">
                  <c:v>3</c:v>
                </c:pt>
                <c:pt idx="303">
                  <c:v>4</c:v>
                </c:pt>
                <c:pt idx="304">
                  <c:v>11</c:v>
                </c:pt>
                <c:pt idx="305">
                  <c:v>6</c:v>
                </c:pt>
                <c:pt idx="306">
                  <c:v>3</c:v>
                </c:pt>
                <c:pt idx="307">
                  <c:v>2</c:v>
                </c:pt>
                <c:pt idx="308">
                  <c:v>2</c:v>
                </c:pt>
                <c:pt idx="309">
                  <c:v>7</c:v>
                </c:pt>
                <c:pt idx="310">
                  <c:v>11</c:v>
                </c:pt>
                <c:pt idx="311">
                  <c:v>3</c:v>
                </c:pt>
                <c:pt idx="312">
                  <c:v>2</c:v>
                </c:pt>
                <c:pt idx="313">
                  <c:v>1</c:v>
                </c:pt>
                <c:pt idx="314">
                  <c:v>11</c:v>
                </c:pt>
                <c:pt idx="315">
                  <c:v>6</c:v>
                </c:pt>
                <c:pt idx="316">
                  <c:v>1</c:v>
                </c:pt>
                <c:pt idx="317">
                  <c:v>3</c:v>
                </c:pt>
                <c:pt idx="318">
                  <c:v>2</c:v>
                </c:pt>
                <c:pt idx="319">
                  <c:v>1</c:v>
                </c:pt>
                <c:pt idx="320">
                  <c:v>4</c:v>
                </c:pt>
                <c:pt idx="321">
                  <c:v>4</c:v>
                </c:pt>
                <c:pt idx="322">
                  <c:v>1</c:v>
                </c:pt>
                <c:pt idx="323">
                  <c:v>1</c:v>
                </c:pt>
                <c:pt idx="324">
                  <c:v>2</c:v>
                </c:pt>
                <c:pt idx="325">
                  <c:v>3</c:v>
                </c:pt>
                <c:pt idx="326">
                  <c:v>3</c:v>
                </c:pt>
                <c:pt idx="327">
                  <c:v>2</c:v>
                </c:pt>
                <c:pt idx="328">
                  <c:v>2</c:v>
                </c:pt>
                <c:pt idx="329">
                  <c:v>7</c:v>
                </c:pt>
                <c:pt idx="330">
                  <c:v>3</c:v>
                </c:pt>
                <c:pt idx="331">
                  <c:v>2</c:v>
                </c:pt>
                <c:pt idx="332">
                  <c:v>5</c:v>
                </c:pt>
                <c:pt idx="333">
                  <c:v>6</c:v>
                </c:pt>
                <c:pt idx="334">
                  <c:v>3</c:v>
                </c:pt>
                <c:pt idx="335">
                  <c:v>5</c:v>
                </c:pt>
                <c:pt idx="336">
                  <c:v>3</c:v>
                </c:pt>
                <c:pt idx="337">
                  <c:v>7</c:v>
                </c:pt>
                <c:pt idx="338">
                  <c:v>3</c:v>
                </c:pt>
                <c:pt idx="339">
                  <c:v>3</c:v>
                </c:pt>
                <c:pt idx="340">
                  <c:v>2</c:v>
                </c:pt>
                <c:pt idx="341">
                  <c:v>5</c:v>
                </c:pt>
                <c:pt idx="342">
                  <c:v>5</c:v>
                </c:pt>
                <c:pt idx="343">
                  <c:v>3</c:v>
                </c:pt>
                <c:pt idx="344">
                  <c:v>2</c:v>
                </c:pt>
                <c:pt idx="345">
                  <c:v>9</c:v>
                </c:pt>
                <c:pt idx="346">
                  <c:v>3</c:v>
                </c:pt>
                <c:pt idx="347">
                  <c:v>4</c:v>
                </c:pt>
                <c:pt idx="348">
                  <c:v>1</c:v>
                </c:pt>
                <c:pt idx="349">
                  <c:v>2</c:v>
                </c:pt>
                <c:pt idx="350">
                  <c:v>3</c:v>
                </c:pt>
                <c:pt idx="351">
                  <c:v>2</c:v>
                </c:pt>
                <c:pt idx="352">
                  <c:v>2</c:v>
                </c:pt>
                <c:pt idx="353">
                  <c:v>5</c:v>
                </c:pt>
                <c:pt idx="354">
                  <c:v>5</c:v>
                </c:pt>
                <c:pt idx="355">
                  <c:v>3</c:v>
                </c:pt>
                <c:pt idx="356">
                  <c:v>3</c:v>
                </c:pt>
                <c:pt idx="357">
                  <c:v>2</c:v>
                </c:pt>
                <c:pt idx="358">
                  <c:v>7</c:v>
                </c:pt>
                <c:pt idx="359">
                  <c:v>3</c:v>
                </c:pt>
                <c:pt idx="360">
                  <c:v>2</c:v>
                </c:pt>
                <c:pt idx="361">
                  <c:v>5</c:v>
                </c:pt>
                <c:pt idx="362">
                  <c:v>2</c:v>
                </c:pt>
                <c:pt idx="363">
                  <c:v>1</c:v>
                </c:pt>
                <c:pt idx="364">
                  <c:v>3</c:v>
                </c:pt>
                <c:pt idx="365">
                  <c:v>5</c:v>
                </c:pt>
                <c:pt idx="366">
                  <c:v>2</c:v>
                </c:pt>
                <c:pt idx="367">
                  <c:v>2</c:v>
                </c:pt>
                <c:pt idx="368">
                  <c:v>7</c:v>
                </c:pt>
                <c:pt idx="369">
                  <c:v>5</c:v>
                </c:pt>
                <c:pt idx="370">
                  <c:v>2</c:v>
                </c:pt>
                <c:pt idx="371">
                  <c:v>4</c:v>
                </c:pt>
                <c:pt idx="372">
                  <c:v>5</c:v>
                </c:pt>
                <c:pt idx="373">
                  <c:v>6</c:v>
                </c:pt>
                <c:pt idx="374">
                  <c:v>2</c:v>
                </c:pt>
                <c:pt idx="375">
                  <c:v>3</c:v>
                </c:pt>
                <c:pt idx="376">
                  <c:v>3</c:v>
                </c:pt>
                <c:pt idx="377">
                  <c:v>1</c:v>
                </c:pt>
                <c:pt idx="378">
                  <c:v>5</c:v>
                </c:pt>
                <c:pt idx="379">
                  <c:v>5</c:v>
                </c:pt>
                <c:pt idx="380">
                  <c:v>3</c:v>
                </c:pt>
                <c:pt idx="381">
                  <c:v>2</c:v>
                </c:pt>
                <c:pt idx="382">
                  <c:v>3</c:v>
                </c:pt>
                <c:pt idx="383">
                  <c:v>3</c:v>
                </c:pt>
                <c:pt idx="384">
                  <c:v>1</c:v>
                </c:pt>
                <c:pt idx="385">
                  <c:v>5</c:v>
                </c:pt>
                <c:pt idx="386">
                  <c:v>3</c:v>
                </c:pt>
                <c:pt idx="387">
                  <c:v>4</c:v>
                </c:pt>
                <c:pt idx="388">
                  <c:v>5</c:v>
                </c:pt>
                <c:pt idx="389">
                  <c:v>7</c:v>
                </c:pt>
                <c:pt idx="390">
                  <c:v>6</c:v>
                </c:pt>
                <c:pt idx="391">
                  <c:v>3</c:v>
                </c:pt>
                <c:pt idx="392">
                  <c:v>2</c:v>
                </c:pt>
                <c:pt idx="393">
                  <c:v>7</c:v>
                </c:pt>
                <c:pt idx="394">
                  <c:v>5</c:v>
                </c:pt>
                <c:pt idx="395">
                  <c:v>1</c:v>
                </c:pt>
                <c:pt idx="396">
                  <c:v>6</c:v>
                </c:pt>
                <c:pt idx="397">
                  <c:v>3</c:v>
                </c:pt>
                <c:pt idx="398">
                  <c:v>2</c:v>
                </c:pt>
                <c:pt idx="399">
                  <c:v>1</c:v>
                </c:pt>
                <c:pt idx="400">
                  <c:v>3</c:v>
                </c:pt>
                <c:pt idx="401">
                  <c:v>2</c:v>
                </c:pt>
                <c:pt idx="402">
                  <c:v>8</c:v>
                </c:pt>
                <c:pt idx="403">
                  <c:v>2</c:v>
                </c:pt>
                <c:pt idx="404">
                  <c:v>7</c:v>
                </c:pt>
                <c:pt idx="405">
                  <c:v>2</c:v>
                </c:pt>
                <c:pt idx="406">
                  <c:v>5</c:v>
                </c:pt>
                <c:pt idx="407">
                  <c:v>4</c:v>
                </c:pt>
                <c:pt idx="408">
                  <c:v>2</c:v>
                </c:pt>
                <c:pt idx="409">
                  <c:v>7</c:v>
                </c:pt>
                <c:pt idx="410">
                  <c:v>4</c:v>
                </c:pt>
                <c:pt idx="411">
                  <c:v>1</c:v>
                </c:pt>
                <c:pt idx="412">
                  <c:v>6</c:v>
                </c:pt>
                <c:pt idx="413">
                  <c:v>6</c:v>
                </c:pt>
                <c:pt idx="414">
                  <c:v>3</c:v>
                </c:pt>
                <c:pt idx="415">
                  <c:v>3</c:v>
                </c:pt>
                <c:pt idx="416">
                  <c:v>1</c:v>
                </c:pt>
                <c:pt idx="417">
                  <c:v>3</c:v>
                </c:pt>
                <c:pt idx="418">
                  <c:v>7</c:v>
                </c:pt>
                <c:pt idx="419">
                  <c:v>3</c:v>
                </c:pt>
                <c:pt idx="420">
                  <c:v>2</c:v>
                </c:pt>
                <c:pt idx="421">
                  <c:v>4</c:v>
                </c:pt>
                <c:pt idx="422">
                  <c:v>3</c:v>
                </c:pt>
                <c:pt idx="423">
                  <c:v>4</c:v>
                </c:pt>
                <c:pt idx="424">
                  <c:v>2</c:v>
                </c:pt>
                <c:pt idx="425">
                  <c:v>3</c:v>
                </c:pt>
                <c:pt idx="426">
                  <c:v>5</c:v>
                </c:pt>
                <c:pt idx="427">
                  <c:v>3</c:v>
                </c:pt>
                <c:pt idx="428">
                  <c:v>14</c:v>
                </c:pt>
                <c:pt idx="429">
                  <c:v>2</c:v>
                </c:pt>
                <c:pt idx="430">
                  <c:v>3</c:v>
                </c:pt>
                <c:pt idx="431">
                  <c:v>9</c:v>
                </c:pt>
                <c:pt idx="432">
                  <c:v>2</c:v>
                </c:pt>
                <c:pt idx="433">
                  <c:v>6</c:v>
                </c:pt>
                <c:pt idx="434">
                  <c:v>9</c:v>
                </c:pt>
                <c:pt idx="435">
                  <c:v>2</c:v>
                </c:pt>
                <c:pt idx="436">
                  <c:v>5</c:v>
                </c:pt>
                <c:pt idx="437">
                  <c:v>2</c:v>
                </c:pt>
                <c:pt idx="438">
                  <c:v>4</c:v>
                </c:pt>
                <c:pt idx="439">
                  <c:v>5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3</c:v>
                </c:pt>
                <c:pt idx="444">
                  <c:v>1</c:v>
                </c:pt>
                <c:pt idx="445">
                  <c:v>4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3</c:v>
                </c:pt>
                <c:pt idx="450">
                  <c:v>4</c:v>
                </c:pt>
                <c:pt idx="451">
                  <c:v>2</c:v>
                </c:pt>
                <c:pt idx="452">
                  <c:v>6</c:v>
                </c:pt>
                <c:pt idx="453">
                  <c:v>3</c:v>
                </c:pt>
                <c:pt idx="454">
                  <c:v>7</c:v>
                </c:pt>
                <c:pt idx="455">
                  <c:v>2</c:v>
                </c:pt>
                <c:pt idx="456">
                  <c:v>1</c:v>
                </c:pt>
                <c:pt idx="457">
                  <c:v>3</c:v>
                </c:pt>
                <c:pt idx="458">
                  <c:v>8</c:v>
                </c:pt>
                <c:pt idx="459">
                  <c:v>2</c:v>
                </c:pt>
                <c:pt idx="460">
                  <c:v>4</c:v>
                </c:pt>
                <c:pt idx="461">
                  <c:v>5</c:v>
                </c:pt>
                <c:pt idx="462">
                  <c:v>6</c:v>
                </c:pt>
                <c:pt idx="463">
                  <c:v>5</c:v>
                </c:pt>
                <c:pt idx="464">
                  <c:v>3</c:v>
                </c:pt>
                <c:pt idx="465">
                  <c:v>7</c:v>
                </c:pt>
                <c:pt idx="466">
                  <c:v>2</c:v>
                </c:pt>
                <c:pt idx="467">
                  <c:v>7</c:v>
                </c:pt>
                <c:pt idx="468">
                  <c:v>3</c:v>
                </c:pt>
                <c:pt idx="469">
                  <c:v>5</c:v>
                </c:pt>
                <c:pt idx="470">
                  <c:v>3</c:v>
                </c:pt>
                <c:pt idx="471">
                  <c:v>2</c:v>
                </c:pt>
                <c:pt idx="472">
                  <c:v>6</c:v>
                </c:pt>
                <c:pt idx="473">
                  <c:v>2</c:v>
                </c:pt>
                <c:pt idx="474">
                  <c:v>4</c:v>
                </c:pt>
                <c:pt idx="475">
                  <c:v>3</c:v>
                </c:pt>
                <c:pt idx="476">
                  <c:v>2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2</c:v>
                </c:pt>
                <c:pt idx="481">
                  <c:v>6</c:v>
                </c:pt>
                <c:pt idx="482">
                  <c:v>7</c:v>
                </c:pt>
                <c:pt idx="483">
                  <c:v>5</c:v>
                </c:pt>
                <c:pt idx="484">
                  <c:v>2</c:v>
                </c:pt>
                <c:pt idx="485">
                  <c:v>2</c:v>
                </c:pt>
                <c:pt idx="486">
                  <c:v>3</c:v>
                </c:pt>
                <c:pt idx="487">
                  <c:v>5</c:v>
                </c:pt>
                <c:pt idx="488">
                  <c:v>3</c:v>
                </c:pt>
                <c:pt idx="489">
                  <c:v>3</c:v>
                </c:pt>
                <c:pt idx="490">
                  <c:v>2</c:v>
                </c:pt>
                <c:pt idx="491">
                  <c:v>3</c:v>
                </c:pt>
                <c:pt idx="492">
                  <c:v>3</c:v>
                </c:pt>
                <c:pt idx="493">
                  <c:v>4</c:v>
                </c:pt>
                <c:pt idx="494">
                  <c:v>2</c:v>
                </c:pt>
                <c:pt idx="495">
                  <c:v>7</c:v>
                </c:pt>
                <c:pt idx="496">
                  <c:v>2</c:v>
                </c:pt>
                <c:pt idx="497">
                  <c:v>3</c:v>
                </c:pt>
                <c:pt idx="498">
                  <c:v>2</c:v>
                </c:pt>
                <c:pt idx="499">
                  <c:v>2</c:v>
                </c:pt>
                <c:pt idx="500">
                  <c:v>3</c:v>
                </c:pt>
                <c:pt idx="501">
                  <c:v>4</c:v>
                </c:pt>
                <c:pt idx="502">
                  <c:v>3</c:v>
                </c:pt>
                <c:pt idx="503">
                  <c:v>4</c:v>
                </c:pt>
                <c:pt idx="504">
                  <c:v>1</c:v>
                </c:pt>
                <c:pt idx="505">
                  <c:v>5</c:v>
                </c:pt>
                <c:pt idx="506">
                  <c:v>4</c:v>
                </c:pt>
                <c:pt idx="507">
                  <c:v>2</c:v>
                </c:pt>
                <c:pt idx="508">
                  <c:v>3</c:v>
                </c:pt>
                <c:pt idx="509">
                  <c:v>2</c:v>
                </c:pt>
                <c:pt idx="510">
                  <c:v>5</c:v>
                </c:pt>
                <c:pt idx="511">
                  <c:v>2</c:v>
                </c:pt>
                <c:pt idx="512">
                  <c:v>3</c:v>
                </c:pt>
                <c:pt idx="513">
                  <c:v>2</c:v>
                </c:pt>
                <c:pt idx="514">
                  <c:v>2</c:v>
                </c:pt>
                <c:pt idx="515">
                  <c:v>1</c:v>
                </c:pt>
                <c:pt idx="516">
                  <c:v>3</c:v>
                </c:pt>
                <c:pt idx="517">
                  <c:v>2</c:v>
                </c:pt>
                <c:pt idx="518">
                  <c:v>2</c:v>
                </c:pt>
                <c:pt idx="519">
                  <c:v>7</c:v>
                </c:pt>
                <c:pt idx="520">
                  <c:v>5</c:v>
                </c:pt>
                <c:pt idx="521">
                  <c:v>8</c:v>
                </c:pt>
                <c:pt idx="522">
                  <c:v>3</c:v>
                </c:pt>
                <c:pt idx="523">
                  <c:v>2</c:v>
                </c:pt>
                <c:pt idx="524">
                  <c:v>6</c:v>
                </c:pt>
                <c:pt idx="525">
                  <c:v>5</c:v>
                </c:pt>
                <c:pt idx="526">
                  <c:v>3</c:v>
                </c:pt>
                <c:pt idx="527">
                  <c:v>1</c:v>
                </c:pt>
                <c:pt idx="528">
                  <c:v>4</c:v>
                </c:pt>
                <c:pt idx="529">
                  <c:v>2</c:v>
                </c:pt>
                <c:pt idx="530">
                  <c:v>3</c:v>
                </c:pt>
                <c:pt idx="531">
                  <c:v>4</c:v>
                </c:pt>
                <c:pt idx="532">
                  <c:v>1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4</c:v>
                </c:pt>
                <c:pt idx="539">
                  <c:v>1</c:v>
                </c:pt>
                <c:pt idx="540">
                  <c:v>7</c:v>
                </c:pt>
                <c:pt idx="541">
                  <c:v>3</c:v>
                </c:pt>
                <c:pt idx="542">
                  <c:v>6</c:v>
                </c:pt>
                <c:pt idx="543">
                  <c:v>3</c:v>
                </c:pt>
                <c:pt idx="544">
                  <c:v>6</c:v>
                </c:pt>
                <c:pt idx="545">
                  <c:v>4</c:v>
                </c:pt>
                <c:pt idx="546">
                  <c:v>4</c:v>
                </c:pt>
                <c:pt idx="547">
                  <c:v>3</c:v>
                </c:pt>
                <c:pt idx="548">
                  <c:v>2</c:v>
                </c:pt>
                <c:pt idx="549">
                  <c:v>3</c:v>
                </c:pt>
                <c:pt idx="550">
                  <c:v>7</c:v>
                </c:pt>
                <c:pt idx="551">
                  <c:v>1</c:v>
                </c:pt>
                <c:pt idx="552">
                  <c:v>3</c:v>
                </c:pt>
                <c:pt idx="553">
                  <c:v>9</c:v>
                </c:pt>
                <c:pt idx="554">
                  <c:v>3</c:v>
                </c:pt>
                <c:pt idx="555">
                  <c:v>3</c:v>
                </c:pt>
                <c:pt idx="556">
                  <c:v>5</c:v>
                </c:pt>
                <c:pt idx="557">
                  <c:v>4</c:v>
                </c:pt>
                <c:pt idx="558">
                  <c:v>1</c:v>
                </c:pt>
                <c:pt idx="559">
                  <c:v>10</c:v>
                </c:pt>
                <c:pt idx="560">
                  <c:v>5</c:v>
                </c:pt>
                <c:pt idx="561">
                  <c:v>2</c:v>
                </c:pt>
                <c:pt idx="562">
                  <c:v>2</c:v>
                </c:pt>
                <c:pt idx="563">
                  <c:v>4</c:v>
                </c:pt>
                <c:pt idx="564">
                  <c:v>2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2</c:v>
                </c:pt>
                <c:pt idx="569">
                  <c:v>3</c:v>
                </c:pt>
                <c:pt idx="570">
                  <c:v>9</c:v>
                </c:pt>
                <c:pt idx="571">
                  <c:v>2</c:v>
                </c:pt>
                <c:pt idx="572">
                  <c:v>3</c:v>
                </c:pt>
                <c:pt idx="573">
                  <c:v>8</c:v>
                </c:pt>
                <c:pt idx="574">
                  <c:v>4</c:v>
                </c:pt>
                <c:pt idx="575">
                  <c:v>3</c:v>
                </c:pt>
                <c:pt idx="576">
                  <c:v>3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2</c:v>
                </c:pt>
                <c:pt idx="581">
                  <c:v>5</c:v>
                </c:pt>
                <c:pt idx="582">
                  <c:v>1</c:v>
                </c:pt>
                <c:pt idx="583">
                  <c:v>4</c:v>
                </c:pt>
                <c:pt idx="584">
                  <c:v>3</c:v>
                </c:pt>
                <c:pt idx="585">
                  <c:v>4</c:v>
                </c:pt>
                <c:pt idx="586">
                  <c:v>1</c:v>
                </c:pt>
                <c:pt idx="587">
                  <c:v>5</c:v>
                </c:pt>
                <c:pt idx="588">
                  <c:v>4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4</c:v>
                </c:pt>
                <c:pt idx="593">
                  <c:v>3</c:v>
                </c:pt>
                <c:pt idx="594">
                  <c:v>2</c:v>
                </c:pt>
                <c:pt idx="595">
                  <c:v>5</c:v>
                </c:pt>
                <c:pt idx="596">
                  <c:v>2</c:v>
                </c:pt>
                <c:pt idx="597">
                  <c:v>3</c:v>
                </c:pt>
                <c:pt idx="598">
                  <c:v>2</c:v>
                </c:pt>
                <c:pt idx="599">
                  <c:v>5</c:v>
                </c:pt>
                <c:pt idx="600">
                  <c:v>7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3</c:v>
                </c:pt>
                <c:pt idx="605">
                  <c:v>1</c:v>
                </c:pt>
                <c:pt idx="606">
                  <c:v>5</c:v>
                </c:pt>
                <c:pt idx="607">
                  <c:v>3</c:v>
                </c:pt>
                <c:pt idx="608">
                  <c:v>5</c:v>
                </c:pt>
                <c:pt idx="609">
                  <c:v>4</c:v>
                </c:pt>
                <c:pt idx="610">
                  <c:v>2</c:v>
                </c:pt>
                <c:pt idx="611">
                  <c:v>2</c:v>
                </c:pt>
                <c:pt idx="612">
                  <c:v>8</c:v>
                </c:pt>
                <c:pt idx="613">
                  <c:v>2</c:v>
                </c:pt>
                <c:pt idx="614">
                  <c:v>3</c:v>
                </c:pt>
                <c:pt idx="615">
                  <c:v>9</c:v>
                </c:pt>
                <c:pt idx="616">
                  <c:v>4</c:v>
                </c:pt>
                <c:pt idx="617">
                  <c:v>4</c:v>
                </c:pt>
                <c:pt idx="618">
                  <c:v>2</c:v>
                </c:pt>
                <c:pt idx="619">
                  <c:v>3</c:v>
                </c:pt>
                <c:pt idx="620">
                  <c:v>7</c:v>
                </c:pt>
                <c:pt idx="621">
                  <c:v>3</c:v>
                </c:pt>
                <c:pt idx="622">
                  <c:v>2</c:v>
                </c:pt>
                <c:pt idx="623">
                  <c:v>5</c:v>
                </c:pt>
                <c:pt idx="624">
                  <c:v>3</c:v>
                </c:pt>
                <c:pt idx="625">
                  <c:v>4</c:v>
                </c:pt>
                <c:pt idx="626">
                  <c:v>9</c:v>
                </c:pt>
                <c:pt idx="627">
                  <c:v>2</c:v>
                </c:pt>
                <c:pt idx="628">
                  <c:v>3</c:v>
                </c:pt>
                <c:pt idx="629">
                  <c:v>7</c:v>
                </c:pt>
                <c:pt idx="630">
                  <c:v>4</c:v>
                </c:pt>
                <c:pt idx="631">
                  <c:v>1</c:v>
                </c:pt>
                <c:pt idx="632">
                  <c:v>5</c:v>
                </c:pt>
                <c:pt idx="633">
                  <c:v>5</c:v>
                </c:pt>
                <c:pt idx="634">
                  <c:v>6</c:v>
                </c:pt>
                <c:pt idx="635">
                  <c:v>2</c:v>
                </c:pt>
                <c:pt idx="636">
                  <c:v>3</c:v>
                </c:pt>
                <c:pt idx="637">
                  <c:v>4</c:v>
                </c:pt>
                <c:pt idx="638">
                  <c:v>1</c:v>
                </c:pt>
                <c:pt idx="639">
                  <c:v>3</c:v>
                </c:pt>
                <c:pt idx="640">
                  <c:v>4</c:v>
                </c:pt>
                <c:pt idx="641">
                  <c:v>1</c:v>
                </c:pt>
                <c:pt idx="642">
                  <c:v>7</c:v>
                </c:pt>
                <c:pt idx="643">
                  <c:v>5</c:v>
                </c:pt>
                <c:pt idx="644">
                  <c:v>3</c:v>
                </c:pt>
                <c:pt idx="645">
                  <c:v>2</c:v>
                </c:pt>
                <c:pt idx="646">
                  <c:v>2</c:v>
                </c:pt>
                <c:pt idx="647">
                  <c:v>3</c:v>
                </c:pt>
                <c:pt idx="648">
                  <c:v>2</c:v>
                </c:pt>
                <c:pt idx="649">
                  <c:v>2</c:v>
                </c:pt>
                <c:pt idx="650">
                  <c:v>6</c:v>
                </c:pt>
                <c:pt idx="651">
                  <c:v>3</c:v>
                </c:pt>
                <c:pt idx="652">
                  <c:v>2</c:v>
                </c:pt>
                <c:pt idx="653">
                  <c:v>2</c:v>
                </c:pt>
                <c:pt idx="654">
                  <c:v>5</c:v>
                </c:pt>
                <c:pt idx="655">
                  <c:v>6</c:v>
                </c:pt>
                <c:pt idx="656">
                  <c:v>4</c:v>
                </c:pt>
                <c:pt idx="657">
                  <c:v>2</c:v>
                </c:pt>
                <c:pt idx="658">
                  <c:v>1</c:v>
                </c:pt>
                <c:pt idx="659">
                  <c:v>2</c:v>
                </c:pt>
                <c:pt idx="660">
                  <c:v>2</c:v>
                </c:pt>
                <c:pt idx="661">
                  <c:v>6</c:v>
                </c:pt>
                <c:pt idx="662">
                  <c:v>4</c:v>
                </c:pt>
                <c:pt idx="663">
                  <c:v>1</c:v>
                </c:pt>
                <c:pt idx="664">
                  <c:v>3</c:v>
                </c:pt>
                <c:pt idx="665">
                  <c:v>2</c:v>
                </c:pt>
                <c:pt idx="666">
                  <c:v>2</c:v>
                </c:pt>
                <c:pt idx="667">
                  <c:v>3</c:v>
                </c:pt>
                <c:pt idx="668">
                  <c:v>2</c:v>
                </c:pt>
                <c:pt idx="669">
                  <c:v>2</c:v>
                </c:pt>
                <c:pt idx="670">
                  <c:v>1</c:v>
                </c:pt>
                <c:pt idx="671">
                  <c:v>5</c:v>
                </c:pt>
                <c:pt idx="672">
                  <c:v>2</c:v>
                </c:pt>
                <c:pt idx="673">
                  <c:v>5</c:v>
                </c:pt>
                <c:pt idx="674">
                  <c:v>2</c:v>
                </c:pt>
                <c:pt idx="675">
                  <c:v>1</c:v>
                </c:pt>
                <c:pt idx="676">
                  <c:v>3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1</c:v>
                </c:pt>
                <c:pt idx="681">
                  <c:v>6</c:v>
                </c:pt>
                <c:pt idx="682">
                  <c:v>2</c:v>
                </c:pt>
                <c:pt idx="683">
                  <c:v>1</c:v>
                </c:pt>
                <c:pt idx="684">
                  <c:v>6</c:v>
                </c:pt>
                <c:pt idx="685">
                  <c:v>1</c:v>
                </c:pt>
                <c:pt idx="686">
                  <c:v>9</c:v>
                </c:pt>
                <c:pt idx="687">
                  <c:v>4</c:v>
                </c:pt>
                <c:pt idx="688">
                  <c:v>2</c:v>
                </c:pt>
                <c:pt idx="689">
                  <c:v>2</c:v>
                </c:pt>
                <c:pt idx="690">
                  <c:v>3</c:v>
                </c:pt>
                <c:pt idx="691">
                  <c:v>3</c:v>
                </c:pt>
                <c:pt idx="692">
                  <c:v>2</c:v>
                </c:pt>
                <c:pt idx="693">
                  <c:v>4</c:v>
                </c:pt>
                <c:pt idx="694">
                  <c:v>3</c:v>
                </c:pt>
                <c:pt idx="695">
                  <c:v>5</c:v>
                </c:pt>
                <c:pt idx="696">
                  <c:v>3</c:v>
                </c:pt>
                <c:pt idx="697">
                  <c:v>4</c:v>
                </c:pt>
                <c:pt idx="698">
                  <c:v>4</c:v>
                </c:pt>
                <c:pt idx="699">
                  <c:v>4</c:v>
                </c:pt>
                <c:pt idx="700">
                  <c:v>4</c:v>
                </c:pt>
                <c:pt idx="701">
                  <c:v>1</c:v>
                </c:pt>
                <c:pt idx="702">
                  <c:v>2</c:v>
                </c:pt>
                <c:pt idx="703">
                  <c:v>3</c:v>
                </c:pt>
                <c:pt idx="704">
                  <c:v>3</c:v>
                </c:pt>
                <c:pt idx="705">
                  <c:v>5</c:v>
                </c:pt>
                <c:pt idx="706">
                  <c:v>4</c:v>
                </c:pt>
                <c:pt idx="707">
                  <c:v>2</c:v>
                </c:pt>
                <c:pt idx="708">
                  <c:v>2</c:v>
                </c:pt>
                <c:pt idx="709">
                  <c:v>5</c:v>
                </c:pt>
                <c:pt idx="710">
                  <c:v>1</c:v>
                </c:pt>
                <c:pt idx="711">
                  <c:v>2</c:v>
                </c:pt>
                <c:pt idx="712">
                  <c:v>5</c:v>
                </c:pt>
                <c:pt idx="713">
                  <c:v>2</c:v>
                </c:pt>
                <c:pt idx="714">
                  <c:v>7</c:v>
                </c:pt>
                <c:pt idx="715">
                  <c:v>4</c:v>
                </c:pt>
                <c:pt idx="716">
                  <c:v>3</c:v>
                </c:pt>
                <c:pt idx="717">
                  <c:v>3</c:v>
                </c:pt>
                <c:pt idx="718">
                  <c:v>2</c:v>
                </c:pt>
                <c:pt idx="719">
                  <c:v>1</c:v>
                </c:pt>
                <c:pt idx="720">
                  <c:v>3</c:v>
                </c:pt>
                <c:pt idx="721">
                  <c:v>4</c:v>
                </c:pt>
                <c:pt idx="722">
                  <c:v>2</c:v>
                </c:pt>
                <c:pt idx="723">
                  <c:v>4</c:v>
                </c:pt>
                <c:pt idx="724">
                  <c:v>3</c:v>
                </c:pt>
                <c:pt idx="725">
                  <c:v>1</c:v>
                </c:pt>
                <c:pt idx="726">
                  <c:v>4</c:v>
                </c:pt>
                <c:pt idx="727">
                  <c:v>2</c:v>
                </c:pt>
                <c:pt idx="728">
                  <c:v>3</c:v>
                </c:pt>
                <c:pt idx="729">
                  <c:v>4</c:v>
                </c:pt>
                <c:pt idx="730">
                  <c:v>6</c:v>
                </c:pt>
                <c:pt idx="731">
                  <c:v>3</c:v>
                </c:pt>
                <c:pt idx="732">
                  <c:v>1</c:v>
                </c:pt>
                <c:pt idx="733">
                  <c:v>5</c:v>
                </c:pt>
                <c:pt idx="734">
                  <c:v>2</c:v>
                </c:pt>
                <c:pt idx="735">
                  <c:v>1</c:v>
                </c:pt>
                <c:pt idx="736">
                  <c:v>2</c:v>
                </c:pt>
                <c:pt idx="737">
                  <c:v>2</c:v>
                </c:pt>
                <c:pt idx="738">
                  <c:v>4</c:v>
                </c:pt>
                <c:pt idx="739">
                  <c:v>3</c:v>
                </c:pt>
                <c:pt idx="740">
                  <c:v>7</c:v>
                </c:pt>
                <c:pt idx="741">
                  <c:v>7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1</c:v>
                </c:pt>
                <c:pt idx="746">
                  <c:v>4</c:v>
                </c:pt>
                <c:pt idx="747">
                  <c:v>3</c:v>
                </c:pt>
                <c:pt idx="748">
                  <c:v>4</c:v>
                </c:pt>
                <c:pt idx="749">
                  <c:v>2</c:v>
                </c:pt>
                <c:pt idx="750">
                  <c:v>5</c:v>
                </c:pt>
                <c:pt idx="751">
                  <c:v>2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9</c:v>
                </c:pt>
                <c:pt idx="756">
                  <c:v>6</c:v>
                </c:pt>
                <c:pt idx="757">
                  <c:v>3</c:v>
                </c:pt>
                <c:pt idx="758">
                  <c:v>3</c:v>
                </c:pt>
                <c:pt idx="759">
                  <c:v>5</c:v>
                </c:pt>
                <c:pt idx="760">
                  <c:v>2</c:v>
                </c:pt>
                <c:pt idx="761">
                  <c:v>3</c:v>
                </c:pt>
                <c:pt idx="762">
                  <c:v>4</c:v>
                </c:pt>
                <c:pt idx="763">
                  <c:v>5</c:v>
                </c:pt>
                <c:pt idx="764">
                  <c:v>2</c:v>
                </c:pt>
                <c:pt idx="765">
                  <c:v>3</c:v>
                </c:pt>
                <c:pt idx="766">
                  <c:v>2</c:v>
                </c:pt>
                <c:pt idx="767">
                  <c:v>3</c:v>
                </c:pt>
                <c:pt idx="768">
                  <c:v>5</c:v>
                </c:pt>
                <c:pt idx="769">
                  <c:v>3</c:v>
                </c:pt>
                <c:pt idx="770">
                  <c:v>5</c:v>
                </c:pt>
                <c:pt idx="771">
                  <c:v>1</c:v>
                </c:pt>
                <c:pt idx="772">
                  <c:v>5</c:v>
                </c:pt>
                <c:pt idx="773">
                  <c:v>2</c:v>
                </c:pt>
                <c:pt idx="774">
                  <c:v>3</c:v>
                </c:pt>
                <c:pt idx="775">
                  <c:v>5</c:v>
                </c:pt>
                <c:pt idx="776">
                  <c:v>2</c:v>
                </c:pt>
                <c:pt idx="777">
                  <c:v>4</c:v>
                </c:pt>
                <c:pt idx="778">
                  <c:v>7</c:v>
                </c:pt>
                <c:pt idx="779">
                  <c:v>5</c:v>
                </c:pt>
                <c:pt idx="780">
                  <c:v>3</c:v>
                </c:pt>
                <c:pt idx="781">
                  <c:v>2</c:v>
                </c:pt>
                <c:pt idx="782">
                  <c:v>3</c:v>
                </c:pt>
                <c:pt idx="783">
                  <c:v>5</c:v>
                </c:pt>
                <c:pt idx="784">
                  <c:v>9</c:v>
                </c:pt>
                <c:pt idx="785">
                  <c:v>3</c:v>
                </c:pt>
                <c:pt idx="786">
                  <c:v>3</c:v>
                </c:pt>
                <c:pt idx="787">
                  <c:v>2</c:v>
                </c:pt>
                <c:pt idx="788">
                  <c:v>7</c:v>
                </c:pt>
                <c:pt idx="789">
                  <c:v>4</c:v>
                </c:pt>
                <c:pt idx="790">
                  <c:v>3</c:v>
                </c:pt>
                <c:pt idx="791">
                  <c:v>5</c:v>
                </c:pt>
                <c:pt idx="792">
                  <c:v>7</c:v>
                </c:pt>
                <c:pt idx="793">
                  <c:v>1</c:v>
                </c:pt>
                <c:pt idx="794">
                  <c:v>3</c:v>
                </c:pt>
                <c:pt idx="795">
                  <c:v>1</c:v>
                </c:pt>
                <c:pt idx="796">
                  <c:v>8</c:v>
                </c:pt>
                <c:pt idx="797">
                  <c:v>1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1</c:v>
                </c:pt>
                <c:pt idx="803">
                  <c:v>3</c:v>
                </c:pt>
                <c:pt idx="804">
                  <c:v>5</c:v>
                </c:pt>
                <c:pt idx="805">
                  <c:v>2</c:v>
                </c:pt>
                <c:pt idx="806">
                  <c:v>4</c:v>
                </c:pt>
                <c:pt idx="807">
                  <c:v>3</c:v>
                </c:pt>
                <c:pt idx="808">
                  <c:v>3</c:v>
                </c:pt>
                <c:pt idx="809">
                  <c:v>1</c:v>
                </c:pt>
                <c:pt idx="810">
                  <c:v>7</c:v>
                </c:pt>
                <c:pt idx="811">
                  <c:v>4</c:v>
                </c:pt>
                <c:pt idx="812">
                  <c:v>3</c:v>
                </c:pt>
                <c:pt idx="813">
                  <c:v>3</c:v>
                </c:pt>
                <c:pt idx="814">
                  <c:v>4</c:v>
                </c:pt>
                <c:pt idx="815">
                  <c:v>5</c:v>
                </c:pt>
                <c:pt idx="816">
                  <c:v>1</c:v>
                </c:pt>
                <c:pt idx="817">
                  <c:v>5</c:v>
                </c:pt>
                <c:pt idx="818">
                  <c:v>3</c:v>
                </c:pt>
                <c:pt idx="819">
                  <c:v>2</c:v>
                </c:pt>
                <c:pt idx="820">
                  <c:v>8</c:v>
                </c:pt>
                <c:pt idx="821">
                  <c:v>4</c:v>
                </c:pt>
                <c:pt idx="822">
                  <c:v>3</c:v>
                </c:pt>
                <c:pt idx="823">
                  <c:v>8</c:v>
                </c:pt>
                <c:pt idx="824">
                  <c:v>5</c:v>
                </c:pt>
                <c:pt idx="825">
                  <c:v>2</c:v>
                </c:pt>
                <c:pt idx="826">
                  <c:v>4</c:v>
                </c:pt>
                <c:pt idx="827">
                  <c:v>5</c:v>
                </c:pt>
                <c:pt idx="828">
                  <c:v>3</c:v>
                </c:pt>
                <c:pt idx="829">
                  <c:v>9</c:v>
                </c:pt>
                <c:pt idx="830">
                  <c:v>3</c:v>
                </c:pt>
                <c:pt idx="831">
                  <c:v>2</c:v>
                </c:pt>
                <c:pt idx="832">
                  <c:v>6</c:v>
                </c:pt>
                <c:pt idx="833">
                  <c:v>2</c:v>
                </c:pt>
                <c:pt idx="834">
                  <c:v>3</c:v>
                </c:pt>
                <c:pt idx="835">
                  <c:v>12</c:v>
                </c:pt>
                <c:pt idx="836">
                  <c:v>6</c:v>
                </c:pt>
                <c:pt idx="837">
                  <c:v>7</c:v>
                </c:pt>
                <c:pt idx="838">
                  <c:v>3</c:v>
                </c:pt>
                <c:pt idx="839">
                  <c:v>8</c:v>
                </c:pt>
                <c:pt idx="840">
                  <c:v>4</c:v>
                </c:pt>
                <c:pt idx="841">
                  <c:v>1</c:v>
                </c:pt>
                <c:pt idx="842">
                  <c:v>10</c:v>
                </c:pt>
                <c:pt idx="843">
                  <c:v>3</c:v>
                </c:pt>
                <c:pt idx="844">
                  <c:v>3</c:v>
                </c:pt>
                <c:pt idx="845">
                  <c:v>2</c:v>
                </c:pt>
                <c:pt idx="846">
                  <c:v>3</c:v>
                </c:pt>
                <c:pt idx="847">
                  <c:v>4</c:v>
                </c:pt>
                <c:pt idx="848">
                  <c:v>5</c:v>
                </c:pt>
                <c:pt idx="849">
                  <c:v>4</c:v>
                </c:pt>
                <c:pt idx="850">
                  <c:v>7</c:v>
                </c:pt>
                <c:pt idx="851">
                  <c:v>3</c:v>
                </c:pt>
                <c:pt idx="852">
                  <c:v>2</c:v>
                </c:pt>
                <c:pt idx="853">
                  <c:v>5</c:v>
                </c:pt>
                <c:pt idx="854">
                  <c:v>9</c:v>
                </c:pt>
                <c:pt idx="855">
                  <c:v>5</c:v>
                </c:pt>
                <c:pt idx="856">
                  <c:v>7</c:v>
                </c:pt>
                <c:pt idx="857">
                  <c:v>6</c:v>
                </c:pt>
                <c:pt idx="858">
                  <c:v>3</c:v>
                </c:pt>
                <c:pt idx="859">
                  <c:v>4</c:v>
                </c:pt>
                <c:pt idx="860">
                  <c:v>2</c:v>
                </c:pt>
                <c:pt idx="861">
                  <c:v>3</c:v>
                </c:pt>
                <c:pt idx="862">
                  <c:v>5</c:v>
                </c:pt>
                <c:pt idx="863">
                  <c:v>3</c:v>
                </c:pt>
                <c:pt idx="864">
                  <c:v>6</c:v>
                </c:pt>
                <c:pt idx="865">
                  <c:v>2</c:v>
                </c:pt>
                <c:pt idx="866">
                  <c:v>9</c:v>
                </c:pt>
                <c:pt idx="867">
                  <c:v>4</c:v>
                </c:pt>
                <c:pt idx="868">
                  <c:v>2</c:v>
                </c:pt>
                <c:pt idx="869">
                  <c:v>2</c:v>
                </c:pt>
                <c:pt idx="870">
                  <c:v>4</c:v>
                </c:pt>
                <c:pt idx="871">
                  <c:v>4</c:v>
                </c:pt>
                <c:pt idx="872">
                  <c:v>3</c:v>
                </c:pt>
                <c:pt idx="873">
                  <c:v>3</c:v>
                </c:pt>
                <c:pt idx="874">
                  <c:v>2</c:v>
                </c:pt>
                <c:pt idx="875">
                  <c:v>2</c:v>
                </c:pt>
                <c:pt idx="876">
                  <c:v>9</c:v>
                </c:pt>
                <c:pt idx="877">
                  <c:v>8</c:v>
                </c:pt>
                <c:pt idx="878">
                  <c:v>1</c:v>
                </c:pt>
                <c:pt idx="879">
                  <c:v>4</c:v>
                </c:pt>
                <c:pt idx="880">
                  <c:v>1</c:v>
                </c:pt>
                <c:pt idx="881">
                  <c:v>2</c:v>
                </c:pt>
                <c:pt idx="882">
                  <c:v>2</c:v>
                </c:pt>
                <c:pt idx="883">
                  <c:v>4</c:v>
                </c:pt>
                <c:pt idx="884">
                  <c:v>7</c:v>
                </c:pt>
                <c:pt idx="885">
                  <c:v>5</c:v>
                </c:pt>
                <c:pt idx="886">
                  <c:v>3</c:v>
                </c:pt>
                <c:pt idx="887">
                  <c:v>4</c:v>
                </c:pt>
                <c:pt idx="888">
                  <c:v>4</c:v>
                </c:pt>
                <c:pt idx="889">
                  <c:v>2</c:v>
                </c:pt>
                <c:pt idx="890">
                  <c:v>3</c:v>
                </c:pt>
                <c:pt idx="891">
                  <c:v>2</c:v>
                </c:pt>
                <c:pt idx="892">
                  <c:v>3</c:v>
                </c:pt>
                <c:pt idx="893">
                  <c:v>2</c:v>
                </c:pt>
                <c:pt idx="894">
                  <c:v>3</c:v>
                </c:pt>
                <c:pt idx="895">
                  <c:v>2</c:v>
                </c:pt>
                <c:pt idx="896">
                  <c:v>2</c:v>
                </c:pt>
                <c:pt idx="897">
                  <c:v>7</c:v>
                </c:pt>
                <c:pt idx="898">
                  <c:v>8</c:v>
                </c:pt>
                <c:pt idx="899">
                  <c:v>2</c:v>
                </c:pt>
                <c:pt idx="900">
                  <c:v>6</c:v>
                </c:pt>
                <c:pt idx="901">
                  <c:v>2</c:v>
                </c:pt>
                <c:pt idx="902">
                  <c:v>2</c:v>
                </c:pt>
                <c:pt idx="903">
                  <c:v>4</c:v>
                </c:pt>
                <c:pt idx="904">
                  <c:v>4</c:v>
                </c:pt>
                <c:pt idx="905">
                  <c:v>3</c:v>
                </c:pt>
                <c:pt idx="906">
                  <c:v>3</c:v>
                </c:pt>
                <c:pt idx="907">
                  <c:v>2</c:v>
                </c:pt>
                <c:pt idx="908">
                  <c:v>2</c:v>
                </c:pt>
                <c:pt idx="909">
                  <c:v>3</c:v>
                </c:pt>
                <c:pt idx="910">
                  <c:v>4</c:v>
                </c:pt>
                <c:pt idx="911">
                  <c:v>9</c:v>
                </c:pt>
                <c:pt idx="912">
                  <c:v>2</c:v>
                </c:pt>
                <c:pt idx="913">
                  <c:v>2</c:v>
                </c:pt>
                <c:pt idx="914">
                  <c:v>4</c:v>
                </c:pt>
                <c:pt idx="915">
                  <c:v>2</c:v>
                </c:pt>
                <c:pt idx="916">
                  <c:v>3</c:v>
                </c:pt>
                <c:pt idx="917">
                  <c:v>2</c:v>
                </c:pt>
                <c:pt idx="918">
                  <c:v>5</c:v>
                </c:pt>
                <c:pt idx="919">
                  <c:v>2</c:v>
                </c:pt>
                <c:pt idx="920">
                  <c:v>2</c:v>
                </c:pt>
                <c:pt idx="921">
                  <c:v>5</c:v>
                </c:pt>
                <c:pt idx="922">
                  <c:v>2</c:v>
                </c:pt>
                <c:pt idx="923">
                  <c:v>1</c:v>
                </c:pt>
                <c:pt idx="924">
                  <c:v>2</c:v>
                </c:pt>
                <c:pt idx="925">
                  <c:v>4</c:v>
                </c:pt>
                <c:pt idx="926">
                  <c:v>6</c:v>
                </c:pt>
                <c:pt idx="927">
                  <c:v>2</c:v>
                </c:pt>
                <c:pt idx="928">
                  <c:v>3</c:v>
                </c:pt>
                <c:pt idx="929">
                  <c:v>4</c:v>
                </c:pt>
                <c:pt idx="930">
                  <c:v>3</c:v>
                </c:pt>
                <c:pt idx="931">
                  <c:v>5</c:v>
                </c:pt>
                <c:pt idx="932">
                  <c:v>7</c:v>
                </c:pt>
                <c:pt idx="933">
                  <c:v>3</c:v>
                </c:pt>
                <c:pt idx="934">
                  <c:v>5</c:v>
                </c:pt>
                <c:pt idx="935">
                  <c:v>4</c:v>
                </c:pt>
                <c:pt idx="936">
                  <c:v>4</c:v>
                </c:pt>
                <c:pt idx="937">
                  <c:v>4</c:v>
                </c:pt>
                <c:pt idx="938">
                  <c:v>3</c:v>
                </c:pt>
                <c:pt idx="939">
                  <c:v>4</c:v>
                </c:pt>
                <c:pt idx="940">
                  <c:v>5</c:v>
                </c:pt>
                <c:pt idx="941">
                  <c:v>1</c:v>
                </c:pt>
                <c:pt idx="942">
                  <c:v>2</c:v>
                </c:pt>
                <c:pt idx="943">
                  <c:v>3</c:v>
                </c:pt>
                <c:pt idx="944">
                  <c:v>2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5</c:v>
                </c:pt>
                <c:pt idx="949">
                  <c:v>1</c:v>
                </c:pt>
                <c:pt idx="950">
                  <c:v>2</c:v>
                </c:pt>
                <c:pt idx="951">
                  <c:v>5</c:v>
                </c:pt>
                <c:pt idx="952">
                  <c:v>9</c:v>
                </c:pt>
                <c:pt idx="953">
                  <c:v>4</c:v>
                </c:pt>
                <c:pt idx="954">
                  <c:v>2</c:v>
                </c:pt>
                <c:pt idx="955">
                  <c:v>3</c:v>
                </c:pt>
                <c:pt idx="956">
                  <c:v>2</c:v>
                </c:pt>
                <c:pt idx="957">
                  <c:v>2</c:v>
                </c:pt>
                <c:pt idx="958">
                  <c:v>3</c:v>
                </c:pt>
                <c:pt idx="959">
                  <c:v>2</c:v>
                </c:pt>
                <c:pt idx="960">
                  <c:v>3</c:v>
                </c:pt>
                <c:pt idx="961">
                  <c:v>6</c:v>
                </c:pt>
                <c:pt idx="962">
                  <c:v>1</c:v>
                </c:pt>
                <c:pt idx="963">
                  <c:v>4</c:v>
                </c:pt>
                <c:pt idx="964">
                  <c:v>2</c:v>
                </c:pt>
                <c:pt idx="965">
                  <c:v>8</c:v>
                </c:pt>
                <c:pt idx="966">
                  <c:v>4</c:v>
                </c:pt>
                <c:pt idx="967">
                  <c:v>2</c:v>
                </c:pt>
                <c:pt idx="968">
                  <c:v>4</c:v>
                </c:pt>
                <c:pt idx="969">
                  <c:v>5</c:v>
                </c:pt>
                <c:pt idx="970">
                  <c:v>2</c:v>
                </c:pt>
                <c:pt idx="971">
                  <c:v>3</c:v>
                </c:pt>
                <c:pt idx="972">
                  <c:v>2</c:v>
                </c:pt>
                <c:pt idx="973">
                  <c:v>4</c:v>
                </c:pt>
                <c:pt idx="974">
                  <c:v>4</c:v>
                </c:pt>
                <c:pt idx="975">
                  <c:v>9</c:v>
                </c:pt>
                <c:pt idx="976">
                  <c:v>3</c:v>
                </c:pt>
                <c:pt idx="977">
                  <c:v>2</c:v>
                </c:pt>
                <c:pt idx="978">
                  <c:v>2</c:v>
                </c:pt>
                <c:pt idx="979">
                  <c:v>1</c:v>
                </c:pt>
                <c:pt idx="980">
                  <c:v>4</c:v>
                </c:pt>
                <c:pt idx="981">
                  <c:v>5</c:v>
                </c:pt>
                <c:pt idx="982">
                  <c:v>6</c:v>
                </c:pt>
                <c:pt idx="983">
                  <c:v>3</c:v>
                </c:pt>
                <c:pt idx="984">
                  <c:v>7</c:v>
                </c:pt>
                <c:pt idx="985">
                  <c:v>4</c:v>
                </c:pt>
                <c:pt idx="986">
                  <c:v>4</c:v>
                </c:pt>
                <c:pt idx="987">
                  <c:v>6</c:v>
                </c:pt>
                <c:pt idx="988">
                  <c:v>3</c:v>
                </c:pt>
                <c:pt idx="989">
                  <c:v>3</c:v>
                </c:pt>
                <c:pt idx="990">
                  <c:v>2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2</c:v>
                </c:pt>
                <c:pt idx="995">
                  <c:v>4</c:v>
                </c:pt>
                <c:pt idx="996">
                  <c:v>2</c:v>
                </c:pt>
                <c:pt idx="997">
                  <c:v>2</c:v>
                </c:pt>
                <c:pt idx="998">
                  <c:v>5</c:v>
                </c:pt>
                <c:pt idx="999">
                  <c:v>3</c:v>
                </c:pt>
                <c:pt idx="1000">
                  <c:v>2</c:v>
                </c:pt>
                <c:pt idx="1001">
                  <c:v>6</c:v>
                </c:pt>
                <c:pt idx="1002">
                  <c:v>7</c:v>
                </c:pt>
                <c:pt idx="1003">
                  <c:v>2</c:v>
                </c:pt>
                <c:pt idx="1004">
                  <c:v>3</c:v>
                </c:pt>
                <c:pt idx="1005">
                  <c:v>4</c:v>
                </c:pt>
                <c:pt idx="1006">
                  <c:v>2</c:v>
                </c:pt>
                <c:pt idx="1007">
                  <c:v>3</c:v>
                </c:pt>
                <c:pt idx="1008">
                  <c:v>2</c:v>
                </c:pt>
                <c:pt idx="1009">
                  <c:v>9</c:v>
                </c:pt>
                <c:pt idx="1010">
                  <c:v>6</c:v>
                </c:pt>
                <c:pt idx="1011">
                  <c:v>4</c:v>
                </c:pt>
                <c:pt idx="1012">
                  <c:v>6</c:v>
                </c:pt>
                <c:pt idx="1013">
                  <c:v>8</c:v>
                </c:pt>
                <c:pt idx="1014">
                  <c:v>1</c:v>
                </c:pt>
                <c:pt idx="1015">
                  <c:v>2</c:v>
                </c:pt>
                <c:pt idx="1016">
                  <c:v>2</c:v>
                </c:pt>
                <c:pt idx="1017">
                  <c:v>5</c:v>
                </c:pt>
                <c:pt idx="1018">
                  <c:v>2</c:v>
                </c:pt>
                <c:pt idx="1019">
                  <c:v>4</c:v>
                </c:pt>
                <c:pt idx="1020">
                  <c:v>9</c:v>
                </c:pt>
                <c:pt idx="1021">
                  <c:v>3</c:v>
                </c:pt>
                <c:pt idx="1022">
                  <c:v>1</c:v>
                </c:pt>
                <c:pt idx="1023">
                  <c:v>6</c:v>
                </c:pt>
                <c:pt idx="1024">
                  <c:v>7</c:v>
                </c:pt>
                <c:pt idx="1025">
                  <c:v>10</c:v>
                </c:pt>
                <c:pt idx="1026">
                  <c:v>2</c:v>
                </c:pt>
                <c:pt idx="1027">
                  <c:v>1</c:v>
                </c:pt>
                <c:pt idx="1028">
                  <c:v>2</c:v>
                </c:pt>
                <c:pt idx="1029">
                  <c:v>5</c:v>
                </c:pt>
                <c:pt idx="1030">
                  <c:v>2</c:v>
                </c:pt>
                <c:pt idx="1031">
                  <c:v>2</c:v>
                </c:pt>
                <c:pt idx="1032">
                  <c:v>3</c:v>
                </c:pt>
                <c:pt idx="1033">
                  <c:v>5</c:v>
                </c:pt>
                <c:pt idx="1034">
                  <c:v>3</c:v>
                </c:pt>
                <c:pt idx="1035">
                  <c:v>6</c:v>
                </c:pt>
                <c:pt idx="1036">
                  <c:v>3</c:v>
                </c:pt>
                <c:pt idx="1037">
                  <c:v>9</c:v>
                </c:pt>
                <c:pt idx="1038">
                  <c:v>8</c:v>
                </c:pt>
                <c:pt idx="1039">
                  <c:v>2</c:v>
                </c:pt>
                <c:pt idx="1040">
                  <c:v>5</c:v>
                </c:pt>
                <c:pt idx="1041">
                  <c:v>2</c:v>
                </c:pt>
                <c:pt idx="1042">
                  <c:v>2</c:v>
                </c:pt>
                <c:pt idx="1043">
                  <c:v>2</c:v>
                </c:pt>
                <c:pt idx="1044">
                  <c:v>7</c:v>
                </c:pt>
                <c:pt idx="1045">
                  <c:v>2</c:v>
                </c:pt>
                <c:pt idx="1046">
                  <c:v>4</c:v>
                </c:pt>
                <c:pt idx="1047">
                  <c:v>2</c:v>
                </c:pt>
                <c:pt idx="1048">
                  <c:v>5</c:v>
                </c:pt>
                <c:pt idx="1049">
                  <c:v>7</c:v>
                </c:pt>
                <c:pt idx="1050">
                  <c:v>3</c:v>
                </c:pt>
                <c:pt idx="1051">
                  <c:v>4</c:v>
                </c:pt>
                <c:pt idx="1052">
                  <c:v>3</c:v>
                </c:pt>
                <c:pt idx="1053">
                  <c:v>5</c:v>
                </c:pt>
                <c:pt idx="1054">
                  <c:v>1</c:v>
                </c:pt>
                <c:pt idx="1055">
                  <c:v>4</c:v>
                </c:pt>
                <c:pt idx="1056">
                  <c:v>3</c:v>
                </c:pt>
                <c:pt idx="1057">
                  <c:v>4</c:v>
                </c:pt>
                <c:pt idx="1058">
                  <c:v>3</c:v>
                </c:pt>
                <c:pt idx="1059">
                  <c:v>2</c:v>
                </c:pt>
                <c:pt idx="1060">
                  <c:v>7</c:v>
                </c:pt>
                <c:pt idx="1061">
                  <c:v>3</c:v>
                </c:pt>
                <c:pt idx="1062">
                  <c:v>5</c:v>
                </c:pt>
                <c:pt idx="1063">
                  <c:v>4</c:v>
                </c:pt>
                <c:pt idx="1064">
                  <c:v>2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4</c:v>
                </c:pt>
                <c:pt idx="1069">
                  <c:v>3</c:v>
                </c:pt>
                <c:pt idx="1070">
                  <c:v>5</c:v>
                </c:pt>
                <c:pt idx="1071">
                  <c:v>4</c:v>
                </c:pt>
                <c:pt idx="1072">
                  <c:v>6</c:v>
                </c:pt>
                <c:pt idx="1073">
                  <c:v>2</c:v>
                </c:pt>
                <c:pt idx="1074">
                  <c:v>3</c:v>
                </c:pt>
                <c:pt idx="1075">
                  <c:v>1</c:v>
                </c:pt>
                <c:pt idx="1076">
                  <c:v>6</c:v>
                </c:pt>
                <c:pt idx="1077">
                  <c:v>2</c:v>
                </c:pt>
                <c:pt idx="1078">
                  <c:v>3</c:v>
                </c:pt>
                <c:pt idx="1079">
                  <c:v>5</c:v>
                </c:pt>
                <c:pt idx="1080">
                  <c:v>3</c:v>
                </c:pt>
                <c:pt idx="1081">
                  <c:v>5</c:v>
                </c:pt>
                <c:pt idx="1082">
                  <c:v>4</c:v>
                </c:pt>
                <c:pt idx="1083">
                  <c:v>3</c:v>
                </c:pt>
                <c:pt idx="1084">
                  <c:v>5</c:v>
                </c:pt>
                <c:pt idx="1085">
                  <c:v>12</c:v>
                </c:pt>
                <c:pt idx="1086">
                  <c:v>3</c:v>
                </c:pt>
                <c:pt idx="1087">
                  <c:v>4</c:v>
                </c:pt>
                <c:pt idx="1088">
                  <c:v>2</c:v>
                </c:pt>
                <c:pt idx="1089">
                  <c:v>4</c:v>
                </c:pt>
                <c:pt idx="1090">
                  <c:v>3</c:v>
                </c:pt>
                <c:pt idx="1091">
                  <c:v>3</c:v>
                </c:pt>
                <c:pt idx="1092">
                  <c:v>1</c:v>
                </c:pt>
                <c:pt idx="1093">
                  <c:v>4</c:v>
                </c:pt>
                <c:pt idx="1094">
                  <c:v>5</c:v>
                </c:pt>
                <c:pt idx="1095">
                  <c:v>3</c:v>
                </c:pt>
                <c:pt idx="1096">
                  <c:v>2</c:v>
                </c:pt>
                <c:pt idx="1097">
                  <c:v>5</c:v>
                </c:pt>
                <c:pt idx="1098">
                  <c:v>1</c:v>
                </c:pt>
                <c:pt idx="1099">
                  <c:v>3</c:v>
                </c:pt>
                <c:pt idx="1100">
                  <c:v>5</c:v>
                </c:pt>
                <c:pt idx="1101">
                  <c:v>2</c:v>
                </c:pt>
                <c:pt idx="1102">
                  <c:v>7</c:v>
                </c:pt>
                <c:pt idx="1103">
                  <c:v>3</c:v>
                </c:pt>
                <c:pt idx="1104">
                  <c:v>3</c:v>
                </c:pt>
                <c:pt idx="1105">
                  <c:v>7</c:v>
                </c:pt>
                <c:pt idx="1106">
                  <c:v>7</c:v>
                </c:pt>
                <c:pt idx="1107">
                  <c:v>3</c:v>
                </c:pt>
                <c:pt idx="1108">
                  <c:v>5</c:v>
                </c:pt>
                <c:pt idx="1109">
                  <c:v>2</c:v>
                </c:pt>
                <c:pt idx="1110">
                  <c:v>1</c:v>
                </c:pt>
                <c:pt idx="1111">
                  <c:v>5</c:v>
                </c:pt>
                <c:pt idx="1112">
                  <c:v>2</c:v>
                </c:pt>
                <c:pt idx="1113">
                  <c:v>3</c:v>
                </c:pt>
                <c:pt idx="1114">
                  <c:v>1</c:v>
                </c:pt>
                <c:pt idx="1115">
                  <c:v>4</c:v>
                </c:pt>
                <c:pt idx="1116">
                  <c:v>5</c:v>
                </c:pt>
                <c:pt idx="1117">
                  <c:v>7</c:v>
                </c:pt>
                <c:pt idx="1118">
                  <c:v>3</c:v>
                </c:pt>
                <c:pt idx="1119">
                  <c:v>7</c:v>
                </c:pt>
                <c:pt idx="1120">
                  <c:v>2</c:v>
                </c:pt>
                <c:pt idx="1121">
                  <c:v>5</c:v>
                </c:pt>
                <c:pt idx="1122">
                  <c:v>3</c:v>
                </c:pt>
                <c:pt idx="1123">
                  <c:v>3</c:v>
                </c:pt>
                <c:pt idx="1124">
                  <c:v>2</c:v>
                </c:pt>
                <c:pt idx="1125">
                  <c:v>5</c:v>
                </c:pt>
                <c:pt idx="1126">
                  <c:v>2</c:v>
                </c:pt>
                <c:pt idx="1127">
                  <c:v>4</c:v>
                </c:pt>
                <c:pt idx="1128">
                  <c:v>6</c:v>
                </c:pt>
                <c:pt idx="1129">
                  <c:v>3</c:v>
                </c:pt>
                <c:pt idx="1130">
                  <c:v>2</c:v>
                </c:pt>
                <c:pt idx="1131">
                  <c:v>2</c:v>
                </c:pt>
                <c:pt idx="1132">
                  <c:v>1</c:v>
                </c:pt>
                <c:pt idx="1133">
                  <c:v>2</c:v>
                </c:pt>
                <c:pt idx="1134">
                  <c:v>2</c:v>
                </c:pt>
                <c:pt idx="1135">
                  <c:v>7</c:v>
                </c:pt>
                <c:pt idx="1136">
                  <c:v>3</c:v>
                </c:pt>
                <c:pt idx="1137">
                  <c:v>2</c:v>
                </c:pt>
                <c:pt idx="1138">
                  <c:v>3</c:v>
                </c:pt>
                <c:pt idx="1139">
                  <c:v>8</c:v>
                </c:pt>
                <c:pt idx="1140">
                  <c:v>4</c:v>
                </c:pt>
                <c:pt idx="1141">
                  <c:v>5</c:v>
                </c:pt>
                <c:pt idx="1142">
                  <c:v>4</c:v>
                </c:pt>
                <c:pt idx="1143">
                  <c:v>2</c:v>
                </c:pt>
                <c:pt idx="1144">
                  <c:v>3</c:v>
                </c:pt>
                <c:pt idx="1145">
                  <c:v>5</c:v>
                </c:pt>
                <c:pt idx="1146">
                  <c:v>2</c:v>
                </c:pt>
                <c:pt idx="1147">
                  <c:v>2</c:v>
                </c:pt>
                <c:pt idx="1148">
                  <c:v>1</c:v>
                </c:pt>
                <c:pt idx="1149">
                  <c:v>2</c:v>
                </c:pt>
                <c:pt idx="1150">
                  <c:v>4</c:v>
                </c:pt>
                <c:pt idx="1151">
                  <c:v>9</c:v>
                </c:pt>
                <c:pt idx="1152">
                  <c:v>5</c:v>
                </c:pt>
                <c:pt idx="1153">
                  <c:v>3</c:v>
                </c:pt>
                <c:pt idx="1154">
                  <c:v>6</c:v>
                </c:pt>
                <c:pt idx="1155">
                  <c:v>1</c:v>
                </c:pt>
                <c:pt idx="1156">
                  <c:v>4</c:v>
                </c:pt>
                <c:pt idx="1157">
                  <c:v>7</c:v>
                </c:pt>
                <c:pt idx="1158">
                  <c:v>6</c:v>
                </c:pt>
                <c:pt idx="1159">
                  <c:v>6</c:v>
                </c:pt>
                <c:pt idx="1160">
                  <c:v>3</c:v>
                </c:pt>
                <c:pt idx="1161">
                  <c:v>9</c:v>
                </c:pt>
                <c:pt idx="1162">
                  <c:v>1</c:v>
                </c:pt>
                <c:pt idx="1163">
                  <c:v>1</c:v>
                </c:pt>
                <c:pt idx="1164">
                  <c:v>3</c:v>
                </c:pt>
                <c:pt idx="1165">
                  <c:v>3</c:v>
                </c:pt>
                <c:pt idx="1166">
                  <c:v>7</c:v>
                </c:pt>
                <c:pt idx="1167">
                  <c:v>3</c:v>
                </c:pt>
                <c:pt idx="1168">
                  <c:v>3</c:v>
                </c:pt>
                <c:pt idx="1169">
                  <c:v>5</c:v>
                </c:pt>
                <c:pt idx="1170">
                  <c:v>1</c:v>
                </c:pt>
                <c:pt idx="1171">
                  <c:v>3</c:v>
                </c:pt>
                <c:pt idx="1172">
                  <c:v>3</c:v>
                </c:pt>
                <c:pt idx="1173">
                  <c:v>2</c:v>
                </c:pt>
                <c:pt idx="1174">
                  <c:v>4</c:v>
                </c:pt>
                <c:pt idx="1175">
                  <c:v>2</c:v>
                </c:pt>
                <c:pt idx="1176">
                  <c:v>5</c:v>
                </c:pt>
                <c:pt idx="1177">
                  <c:v>3</c:v>
                </c:pt>
                <c:pt idx="1178">
                  <c:v>2</c:v>
                </c:pt>
                <c:pt idx="1179">
                  <c:v>4</c:v>
                </c:pt>
                <c:pt idx="1180">
                  <c:v>2</c:v>
                </c:pt>
                <c:pt idx="1181">
                  <c:v>4</c:v>
                </c:pt>
                <c:pt idx="1182">
                  <c:v>3</c:v>
                </c:pt>
                <c:pt idx="1183">
                  <c:v>8</c:v>
                </c:pt>
                <c:pt idx="1184">
                  <c:v>3</c:v>
                </c:pt>
                <c:pt idx="1185">
                  <c:v>2</c:v>
                </c:pt>
                <c:pt idx="1186">
                  <c:v>2</c:v>
                </c:pt>
                <c:pt idx="1187">
                  <c:v>5</c:v>
                </c:pt>
                <c:pt idx="1188">
                  <c:v>3</c:v>
                </c:pt>
                <c:pt idx="1189">
                  <c:v>4</c:v>
                </c:pt>
                <c:pt idx="1190">
                  <c:v>4</c:v>
                </c:pt>
                <c:pt idx="1191">
                  <c:v>1</c:v>
                </c:pt>
                <c:pt idx="1192">
                  <c:v>5</c:v>
                </c:pt>
                <c:pt idx="1193">
                  <c:v>2</c:v>
                </c:pt>
                <c:pt idx="1194">
                  <c:v>3</c:v>
                </c:pt>
                <c:pt idx="1195">
                  <c:v>2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2</c:v>
                </c:pt>
                <c:pt idx="1200">
                  <c:v>2</c:v>
                </c:pt>
                <c:pt idx="1201">
                  <c:v>5</c:v>
                </c:pt>
                <c:pt idx="1202">
                  <c:v>3</c:v>
                </c:pt>
                <c:pt idx="1203">
                  <c:v>7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3</c:v>
                </c:pt>
                <c:pt idx="1209">
                  <c:v>2</c:v>
                </c:pt>
                <c:pt idx="1210">
                  <c:v>2</c:v>
                </c:pt>
                <c:pt idx="1211">
                  <c:v>5</c:v>
                </c:pt>
                <c:pt idx="1212">
                  <c:v>5</c:v>
                </c:pt>
                <c:pt idx="1213">
                  <c:v>8</c:v>
                </c:pt>
                <c:pt idx="1214">
                  <c:v>3</c:v>
                </c:pt>
                <c:pt idx="1215">
                  <c:v>1</c:v>
                </c:pt>
                <c:pt idx="1216">
                  <c:v>1</c:v>
                </c:pt>
                <c:pt idx="1217">
                  <c:v>5</c:v>
                </c:pt>
                <c:pt idx="1218">
                  <c:v>3</c:v>
                </c:pt>
                <c:pt idx="1219">
                  <c:v>3</c:v>
                </c:pt>
                <c:pt idx="1220">
                  <c:v>1</c:v>
                </c:pt>
                <c:pt idx="1221">
                  <c:v>2</c:v>
                </c:pt>
                <c:pt idx="1222">
                  <c:v>3</c:v>
                </c:pt>
                <c:pt idx="1223">
                  <c:v>5</c:v>
                </c:pt>
                <c:pt idx="1224">
                  <c:v>1</c:v>
                </c:pt>
                <c:pt idx="1225">
                  <c:v>3</c:v>
                </c:pt>
                <c:pt idx="1226">
                  <c:v>2</c:v>
                </c:pt>
                <c:pt idx="1227">
                  <c:v>9</c:v>
                </c:pt>
                <c:pt idx="1228">
                  <c:v>3</c:v>
                </c:pt>
                <c:pt idx="1229">
                  <c:v>4</c:v>
                </c:pt>
                <c:pt idx="1230">
                  <c:v>6</c:v>
                </c:pt>
                <c:pt idx="1231">
                  <c:v>2</c:v>
                </c:pt>
                <c:pt idx="1232">
                  <c:v>1</c:v>
                </c:pt>
                <c:pt idx="1233">
                  <c:v>3</c:v>
                </c:pt>
                <c:pt idx="1234">
                  <c:v>2</c:v>
                </c:pt>
                <c:pt idx="1235">
                  <c:v>7</c:v>
                </c:pt>
                <c:pt idx="1236">
                  <c:v>8</c:v>
                </c:pt>
                <c:pt idx="1237">
                  <c:v>2</c:v>
                </c:pt>
                <c:pt idx="1238">
                  <c:v>6</c:v>
                </c:pt>
                <c:pt idx="1239">
                  <c:v>4</c:v>
                </c:pt>
                <c:pt idx="1240">
                  <c:v>5</c:v>
                </c:pt>
                <c:pt idx="1241">
                  <c:v>1</c:v>
                </c:pt>
                <c:pt idx="1242">
                  <c:v>2</c:v>
                </c:pt>
                <c:pt idx="1243">
                  <c:v>3</c:v>
                </c:pt>
                <c:pt idx="1244">
                  <c:v>6</c:v>
                </c:pt>
                <c:pt idx="1245">
                  <c:v>9</c:v>
                </c:pt>
                <c:pt idx="1246">
                  <c:v>2</c:v>
                </c:pt>
                <c:pt idx="1247">
                  <c:v>2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2</c:v>
                </c:pt>
                <c:pt idx="1252">
                  <c:v>4</c:v>
                </c:pt>
                <c:pt idx="1253">
                  <c:v>2</c:v>
                </c:pt>
                <c:pt idx="1254">
                  <c:v>3</c:v>
                </c:pt>
                <c:pt idx="1255">
                  <c:v>5</c:v>
                </c:pt>
                <c:pt idx="1256">
                  <c:v>2</c:v>
                </c:pt>
                <c:pt idx="1257">
                  <c:v>3</c:v>
                </c:pt>
                <c:pt idx="1258">
                  <c:v>3</c:v>
                </c:pt>
                <c:pt idx="1259">
                  <c:v>12</c:v>
                </c:pt>
                <c:pt idx="1260">
                  <c:v>3</c:v>
                </c:pt>
                <c:pt idx="1261">
                  <c:v>2</c:v>
                </c:pt>
                <c:pt idx="1262">
                  <c:v>3</c:v>
                </c:pt>
                <c:pt idx="1263">
                  <c:v>2</c:v>
                </c:pt>
                <c:pt idx="1264">
                  <c:v>3</c:v>
                </c:pt>
                <c:pt idx="1265">
                  <c:v>4</c:v>
                </c:pt>
                <c:pt idx="1266">
                  <c:v>4</c:v>
                </c:pt>
                <c:pt idx="1267">
                  <c:v>2</c:v>
                </c:pt>
                <c:pt idx="1268">
                  <c:v>8</c:v>
                </c:pt>
                <c:pt idx="1269">
                  <c:v>2</c:v>
                </c:pt>
                <c:pt idx="1270">
                  <c:v>4</c:v>
                </c:pt>
                <c:pt idx="1271">
                  <c:v>7</c:v>
                </c:pt>
                <c:pt idx="1272">
                  <c:v>5</c:v>
                </c:pt>
                <c:pt idx="1273">
                  <c:v>3</c:v>
                </c:pt>
                <c:pt idx="1274">
                  <c:v>3</c:v>
                </c:pt>
                <c:pt idx="1275">
                  <c:v>5</c:v>
                </c:pt>
                <c:pt idx="1276">
                  <c:v>5</c:v>
                </c:pt>
                <c:pt idx="1277">
                  <c:v>7</c:v>
                </c:pt>
                <c:pt idx="1278">
                  <c:v>2</c:v>
                </c:pt>
                <c:pt idx="1279">
                  <c:v>1</c:v>
                </c:pt>
                <c:pt idx="1280">
                  <c:v>7</c:v>
                </c:pt>
                <c:pt idx="1281">
                  <c:v>4</c:v>
                </c:pt>
                <c:pt idx="1282">
                  <c:v>1</c:v>
                </c:pt>
                <c:pt idx="1283">
                  <c:v>2</c:v>
                </c:pt>
                <c:pt idx="1284">
                  <c:v>2</c:v>
                </c:pt>
                <c:pt idx="1285">
                  <c:v>3</c:v>
                </c:pt>
                <c:pt idx="1286">
                  <c:v>5</c:v>
                </c:pt>
                <c:pt idx="1287">
                  <c:v>4</c:v>
                </c:pt>
                <c:pt idx="1288">
                  <c:v>2</c:v>
                </c:pt>
                <c:pt idx="1289">
                  <c:v>2</c:v>
                </c:pt>
                <c:pt idx="1290">
                  <c:v>4</c:v>
                </c:pt>
                <c:pt idx="1291">
                  <c:v>8</c:v>
                </c:pt>
                <c:pt idx="1292">
                  <c:v>9</c:v>
                </c:pt>
                <c:pt idx="1293">
                  <c:v>2</c:v>
                </c:pt>
                <c:pt idx="1294">
                  <c:v>4</c:v>
                </c:pt>
                <c:pt idx="1295">
                  <c:v>2</c:v>
                </c:pt>
                <c:pt idx="1296">
                  <c:v>6</c:v>
                </c:pt>
                <c:pt idx="1297">
                  <c:v>1</c:v>
                </c:pt>
                <c:pt idx="1298">
                  <c:v>2</c:v>
                </c:pt>
                <c:pt idx="1299">
                  <c:v>11</c:v>
                </c:pt>
                <c:pt idx="1300">
                  <c:v>2</c:v>
                </c:pt>
                <c:pt idx="1301">
                  <c:v>4</c:v>
                </c:pt>
                <c:pt idx="1302">
                  <c:v>3</c:v>
                </c:pt>
                <c:pt idx="1303">
                  <c:v>2</c:v>
                </c:pt>
                <c:pt idx="1304">
                  <c:v>5</c:v>
                </c:pt>
                <c:pt idx="1305">
                  <c:v>4</c:v>
                </c:pt>
                <c:pt idx="1306">
                  <c:v>5</c:v>
                </c:pt>
                <c:pt idx="1307">
                  <c:v>3</c:v>
                </c:pt>
                <c:pt idx="1308">
                  <c:v>1</c:v>
                </c:pt>
                <c:pt idx="1309">
                  <c:v>2</c:v>
                </c:pt>
                <c:pt idx="1310">
                  <c:v>1</c:v>
                </c:pt>
                <c:pt idx="1311">
                  <c:v>1</c:v>
                </c:pt>
                <c:pt idx="1312">
                  <c:v>2</c:v>
                </c:pt>
                <c:pt idx="1313">
                  <c:v>5</c:v>
                </c:pt>
                <c:pt idx="1314">
                  <c:v>3</c:v>
                </c:pt>
                <c:pt idx="1315">
                  <c:v>2</c:v>
                </c:pt>
                <c:pt idx="1316">
                  <c:v>2</c:v>
                </c:pt>
                <c:pt idx="1317">
                  <c:v>2</c:v>
                </c:pt>
                <c:pt idx="1318">
                  <c:v>2</c:v>
                </c:pt>
                <c:pt idx="1319">
                  <c:v>3</c:v>
                </c:pt>
                <c:pt idx="1320">
                  <c:v>1</c:v>
                </c:pt>
                <c:pt idx="1321">
                  <c:v>2</c:v>
                </c:pt>
                <c:pt idx="1322">
                  <c:v>4</c:v>
                </c:pt>
                <c:pt idx="1323">
                  <c:v>2</c:v>
                </c:pt>
                <c:pt idx="1324">
                  <c:v>1</c:v>
                </c:pt>
                <c:pt idx="1325">
                  <c:v>1</c:v>
                </c:pt>
                <c:pt idx="1326">
                  <c:v>3</c:v>
                </c:pt>
                <c:pt idx="1327">
                  <c:v>4</c:v>
                </c:pt>
                <c:pt idx="1328">
                  <c:v>5</c:v>
                </c:pt>
                <c:pt idx="1329">
                  <c:v>6</c:v>
                </c:pt>
                <c:pt idx="1330">
                  <c:v>1</c:v>
                </c:pt>
                <c:pt idx="1331">
                  <c:v>3</c:v>
                </c:pt>
                <c:pt idx="1332">
                  <c:v>2</c:v>
                </c:pt>
                <c:pt idx="1333">
                  <c:v>4</c:v>
                </c:pt>
                <c:pt idx="1334">
                  <c:v>3</c:v>
                </c:pt>
                <c:pt idx="1335">
                  <c:v>2</c:v>
                </c:pt>
                <c:pt idx="1336">
                  <c:v>2</c:v>
                </c:pt>
                <c:pt idx="1337">
                  <c:v>4</c:v>
                </c:pt>
                <c:pt idx="1338">
                  <c:v>2</c:v>
                </c:pt>
                <c:pt idx="1339">
                  <c:v>4</c:v>
                </c:pt>
                <c:pt idx="1340">
                  <c:v>3</c:v>
                </c:pt>
                <c:pt idx="1341">
                  <c:v>4</c:v>
                </c:pt>
                <c:pt idx="1342">
                  <c:v>5</c:v>
                </c:pt>
                <c:pt idx="1343">
                  <c:v>2</c:v>
                </c:pt>
                <c:pt idx="1344">
                  <c:v>2</c:v>
                </c:pt>
                <c:pt idx="1345">
                  <c:v>2</c:v>
                </c:pt>
                <c:pt idx="1346">
                  <c:v>3</c:v>
                </c:pt>
                <c:pt idx="1347">
                  <c:v>5</c:v>
                </c:pt>
                <c:pt idx="1348">
                  <c:v>4</c:v>
                </c:pt>
                <c:pt idx="1349">
                  <c:v>6</c:v>
                </c:pt>
                <c:pt idx="1350">
                  <c:v>5</c:v>
                </c:pt>
                <c:pt idx="1351">
                  <c:v>2</c:v>
                </c:pt>
                <c:pt idx="1352">
                  <c:v>5</c:v>
                </c:pt>
                <c:pt idx="1353">
                  <c:v>2</c:v>
                </c:pt>
                <c:pt idx="1354">
                  <c:v>5</c:v>
                </c:pt>
                <c:pt idx="1355">
                  <c:v>1</c:v>
                </c:pt>
                <c:pt idx="1356">
                  <c:v>5</c:v>
                </c:pt>
                <c:pt idx="1357">
                  <c:v>5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2</c:v>
                </c:pt>
                <c:pt idx="1362">
                  <c:v>3</c:v>
                </c:pt>
                <c:pt idx="1363">
                  <c:v>3</c:v>
                </c:pt>
                <c:pt idx="1364">
                  <c:v>7</c:v>
                </c:pt>
                <c:pt idx="1365">
                  <c:v>7</c:v>
                </c:pt>
                <c:pt idx="1366">
                  <c:v>5</c:v>
                </c:pt>
                <c:pt idx="1367">
                  <c:v>1</c:v>
                </c:pt>
                <c:pt idx="1368">
                  <c:v>4</c:v>
                </c:pt>
                <c:pt idx="1369">
                  <c:v>4</c:v>
                </c:pt>
                <c:pt idx="1370">
                  <c:v>3</c:v>
                </c:pt>
                <c:pt idx="1371">
                  <c:v>3</c:v>
                </c:pt>
                <c:pt idx="1372">
                  <c:v>1</c:v>
                </c:pt>
                <c:pt idx="1373">
                  <c:v>7</c:v>
                </c:pt>
                <c:pt idx="1374">
                  <c:v>5</c:v>
                </c:pt>
                <c:pt idx="1375">
                  <c:v>2</c:v>
                </c:pt>
                <c:pt idx="1376">
                  <c:v>2</c:v>
                </c:pt>
                <c:pt idx="1377">
                  <c:v>6</c:v>
                </c:pt>
                <c:pt idx="1378">
                  <c:v>2</c:v>
                </c:pt>
                <c:pt idx="1379">
                  <c:v>4</c:v>
                </c:pt>
                <c:pt idx="1380">
                  <c:v>2</c:v>
                </c:pt>
                <c:pt idx="1381">
                  <c:v>8</c:v>
                </c:pt>
                <c:pt idx="1382">
                  <c:v>4</c:v>
                </c:pt>
                <c:pt idx="1383">
                  <c:v>2</c:v>
                </c:pt>
                <c:pt idx="1384">
                  <c:v>3</c:v>
                </c:pt>
                <c:pt idx="1385">
                  <c:v>3</c:v>
                </c:pt>
                <c:pt idx="1386">
                  <c:v>7</c:v>
                </c:pt>
                <c:pt idx="1387">
                  <c:v>3</c:v>
                </c:pt>
                <c:pt idx="1388">
                  <c:v>5</c:v>
                </c:pt>
                <c:pt idx="1389">
                  <c:v>2</c:v>
                </c:pt>
                <c:pt idx="1390">
                  <c:v>9</c:v>
                </c:pt>
                <c:pt idx="1391">
                  <c:v>5</c:v>
                </c:pt>
                <c:pt idx="1392">
                  <c:v>2</c:v>
                </c:pt>
                <c:pt idx="1393">
                  <c:v>9</c:v>
                </c:pt>
                <c:pt idx="1394">
                  <c:v>3</c:v>
                </c:pt>
                <c:pt idx="1395">
                  <c:v>4</c:v>
                </c:pt>
                <c:pt idx="1396">
                  <c:v>2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4</c:v>
                </c:pt>
                <c:pt idx="1401">
                  <c:v>6</c:v>
                </c:pt>
                <c:pt idx="1402">
                  <c:v>3</c:v>
                </c:pt>
                <c:pt idx="1403">
                  <c:v>3</c:v>
                </c:pt>
                <c:pt idx="1404">
                  <c:v>8</c:v>
                </c:pt>
                <c:pt idx="1405">
                  <c:v>6</c:v>
                </c:pt>
                <c:pt idx="1406">
                  <c:v>2</c:v>
                </c:pt>
                <c:pt idx="1407">
                  <c:v>2</c:v>
                </c:pt>
                <c:pt idx="1408">
                  <c:v>4</c:v>
                </c:pt>
                <c:pt idx="1409">
                  <c:v>1</c:v>
                </c:pt>
                <c:pt idx="1410">
                  <c:v>9</c:v>
                </c:pt>
                <c:pt idx="1411">
                  <c:v>1</c:v>
                </c:pt>
                <c:pt idx="1412">
                  <c:v>4</c:v>
                </c:pt>
                <c:pt idx="1413">
                  <c:v>3</c:v>
                </c:pt>
                <c:pt idx="1414">
                  <c:v>3</c:v>
                </c:pt>
                <c:pt idx="1415">
                  <c:v>1</c:v>
                </c:pt>
                <c:pt idx="1416">
                  <c:v>4</c:v>
                </c:pt>
                <c:pt idx="1417">
                  <c:v>1</c:v>
                </c:pt>
                <c:pt idx="1418">
                  <c:v>1</c:v>
                </c:pt>
                <c:pt idx="1419">
                  <c:v>2</c:v>
                </c:pt>
                <c:pt idx="1420">
                  <c:v>4</c:v>
                </c:pt>
                <c:pt idx="1421">
                  <c:v>1</c:v>
                </c:pt>
                <c:pt idx="1422">
                  <c:v>3</c:v>
                </c:pt>
                <c:pt idx="1423">
                  <c:v>7</c:v>
                </c:pt>
                <c:pt idx="1424">
                  <c:v>2</c:v>
                </c:pt>
                <c:pt idx="1425">
                  <c:v>2</c:v>
                </c:pt>
                <c:pt idx="1426">
                  <c:v>11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2</c:v>
                </c:pt>
                <c:pt idx="1431">
                  <c:v>2</c:v>
                </c:pt>
                <c:pt idx="1432">
                  <c:v>5</c:v>
                </c:pt>
                <c:pt idx="1433">
                  <c:v>3</c:v>
                </c:pt>
                <c:pt idx="1434">
                  <c:v>3</c:v>
                </c:pt>
                <c:pt idx="1435">
                  <c:v>2</c:v>
                </c:pt>
                <c:pt idx="1436">
                  <c:v>2</c:v>
                </c:pt>
                <c:pt idx="1437">
                  <c:v>3</c:v>
                </c:pt>
                <c:pt idx="1438">
                  <c:v>7</c:v>
                </c:pt>
                <c:pt idx="1439">
                  <c:v>3</c:v>
                </c:pt>
                <c:pt idx="1440">
                  <c:v>2</c:v>
                </c:pt>
                <c:pt idx="1441">
                  <c:v>2</c:v>
                </c:pt>
                <c:pt idx="1442">
                  <c:v>8</c:v>
                </c:pt>
                <c:pt idx="1443">
                  <c:v>5</c:v>
                </c:pt>
                <c:pt idx="1444">
                  <c:v>11</c:v>
                </c:pt>
                <c:pt idx="1445">
                  <c:v>4</c:v>
                </c:pt>
                <c:pt idx="1446">
                  <c:v>6</c:v>
                </c:pt>
                <c:pt idx="1447">
                  <c:v>5</c:v>
                </c:pt>
                <c:pt idx="1448">
                  <c:v>2</c:v>
                </c:pt>
                <c:pt idx="1449">
                  <c:v>2</c:v>
                </c:pt>
                <c:pt idx="1450">
                  <c:v>6</c:v>
                </c:pt>
                <c:pt idx="1451">
                  <c:v>9</c:v>
                </c:pt>
                <c:pt idx="1452">
                  <c:v>5</c:v>
                </c:pt>
                <c:pt idx="1453">
                  <c:v>5</c:v>
                </c:pt>
                <c:pt idx="1454">
                  <c:v>8</c:v>
                </c:pt>
                <c:pt idx="1455">
                  <c:v>8</c:v>
                </c:pt>
                <c:pt idx="1456">
                  <c:v>1</c:v>
                </c:pt>
                <c:pt idx="1457">
                  <c:v>5</c:v>
                </c:pt>
                <c:pt idx="1458">
                  <c:v>2</c:v>
                </c:pt>
                <c:pt idx="1459">
                  <c:v>2</c:v>
                </c:pt>
                <c:pt idx="1460">
                  <c:v>1</c:v>
                </c:pt>
                <c:pt idx="1461">
                  <c:v>3</c:v>
                </c:pt>
                <c:pt idx="1462">
                  <c:v>2</c:v>
                </c:pt>
                <c:pt idx="1463">
                  <c:v>2</c:v>
                </c:pt>
                <c:pt idx="1464">
                  <c:v>1</c:v>
                </c:pt>
                <c:pt idx="1465">
                  <c:v>1</c:v>
                </c:pt>
                <c:pt idx="1466">
                  <c:v>2</c:v>
                </c:pt>
                <c:pt idx="1467">
                  <c:v>2</c:v>
                </c:pt>
                <c:pt idx="1468">
                  <c:v>7</c:v>
                </c:pt>
                <c:pt idx="1469">
                  <c:v>2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2</c:v>
                </c:pt>
                <c:pt idx="1474">
                  <c:v>7</c:v>
                </c:pt>
                <c:pt idx="1475">
                  <c:v>10</c:v>
                </c:pt>
                <c:pt idx="1476">
                  <c:v>2</c:v>
                </c:pt>
                <c:pt idx="1477">
                  <c:v>3</c:v>
                </c:pt>
                <c:pt idx="1478">
                  <c:v>3</c:v>
                </c:pt>
                <c:pt idx="1479">
                  <c:v>3</c:v>
                </c:pt>
                <c:pt idx="1480">
                  <c:v>5</c:v>
                </c:pt>
                <c:pt idx="1481">
                  <c:v>3</c:v>
                </c:pt>
                <c:pt idx="1482">
                  <c:v>8</c:v>
                </c:pt>
                <c:pt idx="1483">
                  <c:v>5</c:v>
                </c:pt>
                <c:pt idx="1484">
                  <c:v>5</c:v>
                </c:pt>
                <c:pt idx="1485">
                  <c:v>7</c:v>
                </c:pt>
                <c:pt idx="1486">
                  <c:v>4</c:v>
                </c:pt>
                <c:pt idx="1487">
                  <c:v>7</c:v>
                </c:pt>
                <c:pt idx="1488">
                  <c:v>2</c:v>
                </c:pt>
                <c:pt idx="1489">
                  <c:v>7</c:v>
                </c:pt>
                <c:pt idx="1490">
                  <c:v>11</c:v>
                </c:pt>
                <c:pt idx="1491">
                  <c:v>1</c:v>
                </c:pt>
                <c:pt idx="1492">
                  <c:v>13</c:v>
                </c:pt>
                <c:pt idx="1493">
                  <c:v>1</c:v>
                </c:pt>
                <c:pt idx="1494">
                  <c:v>2</c:v>
                </c:pt>
                <c:pt idx="1495">
                  <c:v>2</c:v>
                </c:pt>
                <c:pt idx="1496">
                  <c:v>7</c:v>
                </c:pt>
                <c:pt idx="1497">
                  <c:v>13</c:v>
                </c:pt>
                <c:pt idx="1498">
                  <c:v>1</c:v>
                </c:pt>
                <c:pt idx="1499">
                  <c:v>5</c:v>
                </c:pt>
              </c:numCache>
            </c:numRef>
          </c:xVal>
          <c:yVal>
            <c:numRef>
              <c:f>'Task-9'!$A$2:$A$1501</c:f>
              <c:numCache>
                <c:formatCode>General</c:formatCode>
                <c:ptCount val="1500"/>
                <c:pt idx="0">
                  <c:v>1096</c:v>
                </c:pt>
                <c:pt idx="1">
                  <c:v>5729</c:v>
                </c:pt>
                <c:pt idx="2">
                  <c:v>2927</c:v>
                </c:pt>
                <c:pt idx="3">
                  <c:v>2847</c:v>
                </c:pt>
                <c:pt idx="4">
                  <c:v>2617</c:v>
                </c:pt>
                <c:pt idx="5">
                  <c:v>2244</c:v>
                </c:pt>
                <c:pt idx="6">
                  <c:v>275</c:v>
                </c:pt>
                <c:pt idx="7">
                  <c:v>387</c:v>
                </c:pt>
                <c:pt idx="8">
                  <c:v>50</c:v>
                </c:pt>
                <c:pt idx="9">
                  <c:v>135</c:v>
                </c:pt>
                <c:pt idx="10">
                  <c:v>231</c:v>
                </c:pt>
                <c:pt idx="11">
                  <c:v>2125</c:v>
                </c:pt>
                <c:pt idx="12">
                  <c:v>3873</c:v>
                </c:pt>
                <c:pt idx="13">
                  <c:v>729</c:v>
                </c:pt>
                <c:pt idx="14">
                  <c:v>2188</c:v>
                </c:pt>
                <c:pt idx="15">
                  <c:v>6</c:v>
                </c:pt>
                <c:pt idx="16">
                  <c:v>1854</c:v>
                </c:pt>
                <c:pt idx="17">
                  <c:v>6</c:v>
                </c:pt>
                <c:pt idx="18">
                  <c:v>2093</c:v>
                </c:pt>
                <c:pt idx="19">
                  <c:v>7</c:v>
                </c:pt>
                <c:pt idx="20">
                  <c:v>1622</c:v>
                </c:pt>
                <c:pt idx="21">
                  <c:v>1622</c:v>
                </c:pt>
                <c:pt idx="22">
                  <c:v>373</c:v>
                </c:pt>
                <c:pt idx="23">
                  <c:v>82</c:v>
                </c:pt>
                <c:pt idx="24">
                  <c:v>8</c:v>
                </c:pt>
                <c:pt idx="25">
                  <c:v>1954</c:v>
                </c:pt>
                <c:pt idx="26">
                  <c:v>1543</c:v>
                </c:pt>
                <c:pt idx="27">
                  <c:v>1506</c:v>
                </c:pt>
                <c:pt idx="28">
                  <c:v>1829</c:v>
                </c:pt>
                <c:pt idx="29">
                  <c:v>9</c:v>
                </c:pt>
                <c:pt idx="30">
                  <c:v>1461</c:v>
                </c:pt>
                <c:pt idx="31">
                  <c:v>391</c:v>
                </c:pt>
                <c:pt idx="32">
                  <c:v>1824</c:v>
                </c:pt>
                <c:pt idx="33">
                  <c:v>16</c:v>
                </c:pt>
                <c:pt idx="34">
                  <c:v>1745</c:v>
                </c:pt>
                <c:pt idx="35">
                  <c:v>663</c:v>
                </c:pt>
                <c:pt idx="36">
                  <c:v>10</c:v>
                </c:pt>
                <c:pt idx="37">
                  <c:v>1630</c:v>
                </c:pt>
                <c:pt idx="38">
                  <c:v>12</c:v>
                </c:pt>
                <c:pt idx="39">
                  <c:v>12</c:v>
                </c:pt>
                <c:pt idx="40">
                  <c:v>1709</c:v>
                </c:pt>
                <c:pt idx="41">
                  <c:v>12</c:v>
                </c:pt>
                <c:pt idx="42">
                  <c:v>1625</c:v>
                </c:pt>
                <c:pt idx="43">
                  <c:v>13</c:v>
                </c:pt>
                <c:pt idx="44">
                  <c:v>1361</c:v>
                </c:pt>
                <c:pt idx="45">
                  <c:v>1622</c:v>
                </c:pt>
                <c:pt idx="46">
                  <c:v>1547</c:v>
                </c:pt>
                <c:pt idx="47">
                  <c:v>1657</c:v>
                </c:pt>
                <c:pt idx="48">
                  <c:v>1603</c:v>
                </c:pt>
                <c:pt idx="49">
                  <c:v>1549</c:v>
                </c:pt>
                <c:pt idx="50">
                  <c:v>1183</c:v>
                </c:pt>
                <c:pt idx="51">
                  <c:v>74</c:v>
                </c:pt>
                <c:pt idx="52">
                  <c:v>1499</c:v>
                </c:pt>
                <c:pt idx="53">
                  <c:v>1120</c:v>
                </c:pt>
                <c:pt idx="54">
                  <c:v>15</c:v>
                </c:pt>
                <c:pt idx="55">
                  <c:v>1487</c:v>
                </c:pt>
                <c:pt idx="56">
                  <c:v>1118</c:v>
                </c:pt>
                <c:pt idx="57">
                  <c:v>11</c:v>
                </c:pt>
                <c:pt idx="58">
                  <c:v>15</c:v>
                </c:pt>
                <c:pt idx="59">
                  <c:v>1364</c:v>
                </c:pt>
                <c:pt idx="60">
                  <c:v>1337</c:v>
                </c:pt>
                <c:pt idx="61">
                  <c:v>15</c:v>
                </c:pt>
                <c:pt idx="62">
                  <c:v>322</c:v>
                </c:pt>
                <c:pt idx="63">
                  <c:v>1316</c:v>
                </c:pt>
                <c:pt idx="64">
                  <c:v>1314</c:v>
                </c:pt>
                <c:pt idx="65">
                  <c:v>17</c:v>
                </c:pt>
                <c:pt idx="66">
                  <c:v>17</c:v>
                </c:pt>
                <c:pt idx="67">
                  <c:v>17</c:v>
                </c:pt>
                <c:pt idx="68">
                  <c:v>1308</c:v>
                </c:pt>
                <c:pt idx="69">
                  <c:v>1076</c:v>
                </c:pt>
                <c:pt idx="70">
                  <c:v>1301</c:v>
                </c:pt>
                <c:pt idx="71">
                  <c:v>1300</c:v>
                </c:pt>
                <c:pt idx="72">
                  <c:v>11</c:v>
                </c:pt>
                <c:pt idx="73">
                  <c:v>1298</c:v>
                </c:pt>
                <c:pt idx="74">
                  <c:v>304</c:v>
                </c:pt>
                <c:pt idx="75">
                  <c:v>1055</c:v>
                </c:pt>
                <c:pt idx="76">
                  <c:v>17</c:v>
                </c:pt>
                <c:pt idx="77">
                  <c:v>147</c:v>
                </c:pt>
                <c:pt idx="78">
                  <c:v>965</c:v>
                </c:pt>
                <c:pt idx="79">
                  <c:v>12</c:v>
                </c:pt>
                <c:pt idx="80">
                  <c:v>14</c:v>
                </c:pt>
                <c:pt idx="81">
                  <c:v>934</c:v>
                </c:pt>
                <c:pt idx="82">
                  <c:v>929</c:v>
                </c:pt>
                <c:pt idx="83">
                  <c:v>18</c:v>
                </c:pt>
                <c:pt idx="84">
                  <c:v>916</c:v>
                </c:pt>
                <c:pt idx="85">
                  <c:v>76</c:v>
                </c:pt>
                <c:pt idx="86">
                  <c:v>869</c:v>
                </c:pt>
                <c:pt idx="87">
                  <c:v>112</c:v>
                </c:pt>
                <c:pt idx="88">
                  <c:v>39</c:v>
                </c:pt>
                <c:pt idx="89">
                  <c:v>857</c:v>
                </c:pt>
                <c:pt idx="90">
                  <c:v>828</c:v>
                </c:pt>
                <c:pt idx="91">
                  <c:v>1279</c:v>
                </c:pt>
                <c:pt idx="92">
                  <c:v>1250</c:v>
                </c:pt>
                <c:pt idx="93">
                  <c:v>823</c:v>
                </c:pt>
                <c:pt idx="94">
                  <c:v>1157</c:v>
                </c:pt>
                <c:pt idx="95">
                  <c:v>126</c:v>
                </c:pt>
                <c:pt idx="96">
                  <c:v>1145</c:v>
                </c:pt>
                <c:pt idx="97">
                  <c:v>774</c:v>
                </c:pt>
                <c:pt idx="98">
                  <c:v>24</c:v>
                </c:pt>
                <c:pt idx="99">
                  <c:v>774</c:v>
                </c:pt>
                <c:pt idx="100">
                  <c:v>93</c:v>
                </c:pt>
                <c:pt idx="101">
                  <c:v>765</c:v>
                </c:pt>
                <c:pt idx="102">
                  <c:v>762</c:v>
                </c:pt>
                <c:pt idx="103">
                  <c:v>761</c:v>
                </c:pt>
                <c:pt idx="104">
                  <c:v>96</c:v>
                </c:pt>
                <c:pt idx="105">
                  <c:v>1137</c:v>
                </c:pt>
                <c:pt idx="106">
                  <c:v>18</c:v>
                </c:pt>
                <c:pt idx="107">
                  <c:v>749</c:v>
                </c:pt>
                <c:pt idx="108">
                  <c:v>1120</c:v>
                </c:pt>
                <c:pt idx="109">
                  <c:v>744</c:v>
                </c:pt>
                <c:pt idx="110">
                  <c:v>14</c:v>
                </c:pt>
                <c:pt idx="111">
                  <c:v>19</c:v>
                </c:pt>
                <c:pt idx="112">
                  <c:v>512</c:v>
                </c:pt>
                <c:pt idx="113">
                  <c:v>742</c:v>
                </c:pt>
                <c:pt idx="114">
                  <c:v>44</c:v>
                </c:pt>
                <c:pt idx="115">
                  <c:v>1061</c:v>
                </c:pt>
                <c:pt idx="116">
                  <c:v>19</c:v>
                </c:pt>
                <c:pt idx="117">
                  <c:v>17</c:v>
                </c:pt>
                <c:pt idx="118">
                  <c:v>741</c:v>
                </c:pt>
                <c:pt idx="119">
                  <c:v>735</c:v>
                </c:pt>
                <c:pt idx="120">
                  <c:v>19</c:v>
                </c:pt>
                <c:pt idx="121">
                  <c:v>1021</c:v>
                </c:pt>
                <c:pt idx="122">
                  <c:v>556</c:v>
                </c:pt>
                <c:pt idx="123">
                  <c:v>63</c:v>
                </c:pt>
                <c:pt idx="124">
                  <c:v>734</c:v>
                </c:pt>
                <c:pt idx="125">
                  <c:v>933</c:v>
                </c:pt>
                <c:pt idx="126">
                  <c:v>20</c:v>
                </c:pt>
                <c:pt idx="127">
                  <c:v>877</c:v>
                </c:pt>
                <c:pt idx="128">
                  <c:v>719</c:v>
                </c:pt>
                <c:pt idx="129">
                  <c:v>12</c:v>
                </c:pt>
                <c:pt idx="130">
                  <c:v>714</c:v>
                </c:pt>
                <c:pt idx="131">
                  <c:v>50</c:v>
                </c:pt>
                <c:pt idx="132">
                  <c:v>709</c:v>
                </c:pt>
                <c:pt idx="133">
                  <c:v>21</c:v>
                </c:pt>
                <c:pt idx="134">
                  <c:v>693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21</c:v>
                </c:pt>
                <c:pt idx="139">
                  <c:v>681</c:v>
                </c:pt>
                <c:pt idx="140">
                  <c:v>674</c:v>
                </c:pt>
                <c:pt idx="141">
                  <c:v>671</c:v>
                </c:pt>
                <c:pt idx="142">
                  <c:v>646</c:v>
                </c:pt>
                <c:pt idx="143">
                  <c:v>40</c:v>
                </c:pt>
                <c:pt idx="144">
                  <c:v>24</c:v>
                </c:pt>
                <c:pt idx="145">
                  <c:v>644</c:v>
                </c:pt>
                <c:pt idx="146">
                  <c:v>643</c:v>
                </c:pt>
                <c:pt idx="147">
                  <c:v>632</c:v>
                </c:pt>
                <c:pt idx="148">
                  <c:v>632</c:v>
                </c:pt>
                <c:pt idx="149">
                  <c:v>610</c:v>
                </c:pt>
                <c:pt idx="150">
                  <c:v>78</c:v>
                </c:pt>
                <c:pt idx="151">
                  <c:v>595</c:v>
                </c:pt>
                <c:pt idx="152">
                  <c:v>595</c:v>
                </c:pt>
                <c:pt idx="153">
                  <c:v>852</c:v>
                </c:pt>
                <c:pt idx="154">
                  <c:v>594</c:v>
                </c:pt>
                <c:pt idx="155">
                  <c:v>585</c:v>
                </c:pt>
                <c:pt idx="156">
                  <c:v>582</c:v>
                </c:pt>
                <c:pt idx="157">
                  <c:v>845</c:v>
                </c:pt>
                <c:pt idx="158">
                  <c:v>829</c:v>
                </c:pt>
                <c:pt idx="159">
                  <c:v>561</c:v>
                </c:pt>
                <c:pt idx="160">
                  <c:v>771</c:v>
                </c:pt>
                <c:pt idx="161">
                  <c:v>765</c:v>
                </c:pt>
                <c:pt idx="162">
                  <c:v>31</c:v>
                </c:pt>
                <c:pt idx="163">
                  <c:v>557</c:v>
                </c:pt>
                <c:pt idx="164">
                  <c:v>757</c:v>
                </c:pt>
                <c:pt idx="165">
                  <c:v>545</c:v>
                </c:pt>
                <c:pt idx="166">
                  <c:v>1052</c:v>
                </c:pt>
                <c:pt idx="167">
                  <c:v>544</c:v>
                </c:pt>
                <c:pt idx="168">
                  <c:v>22</c:v>
                </c:pt>
                <c:pt idx="169">
                  <c:v>757</c:v>
                </c:pt>
                <c:pt idx="170">
                  <c:v>742</c:v>
                </c:pt>
                <c:pt idx="171">
                  <c:v>537</c:v>
                </c:pt>
                <c:pt idx="172">
                  <c:v>536</c:v>
                </c:pt>
                <c:pt idx="173">
                  <c:v>6</c:v>
                </c:pt>
                <c:pt idx="174">
                  <c:v>523</c:v>
                </c:pt>
                <c:pt idx="175">
                  <c:v>27</c:v>
                </c:pt>
                <c:pt idx="176">
                  <c:v>516</c:v>
                </c:pt>
                <c:pt idx="177">
                  <c:v>504</c:v>
                </c:pt>
                <c:pt idx="178">
                  <c:v>502</c:v>
                </c:pt>
                <c:pt idx="179">
                  <c:v>734</c:v>
                </c:pt>
                <c:pt idx="180">
                  <c:v>42</c:v>
                </c:pt>
                <c:pt idx="181">
                  <c:v>29</c:v>
                </c:pt>
                <c:pt idx="182">
                  <c:v>240</c:v>
                </c:pt>
                <c:pt idx="183">
                  <c:v>496</c:v>
                </c:pt>
                <c:pt idx="184">
                  <c:v>485</c:v>
                </c:pt>
                <c:pt idx="185">
                  <c:v>31</c:v>
                </c:pt>
                <c:pt idx="186">
                  <c:v>676</c:v>
                </c:pt>
                <c:pt idx="187">
                  <c:v>23</c:v>
                </c:pt>
                <c:pt idx="188">
                  <c:v>13</c:v>
                </c:pt>
                <c:pt idx="189">
                  <c:v>180</c:v>
                </c:pt>
                <c:pt idx="190">
                  <c:v>671</c:v>
                </c:pt>
                <c:pt idx="191">
                  <c:v>22</c:v>
                </c:pt>
                <c:pt idx="192">
                  <c:v>668</c:v>
                </c:pt>
                <c:pt idx="193">
                  <c:v>145</c:v>
                </c:pt>
                <c:pt idx="194">
                  <c:v>24</c:v>
                </c:pt>
                <c:pt idx="195">
                  <c:v>476</c:v>
                </c:pt>
                <c:pt idx="196">
                  <c:v>24</c:v>
                </c:pt>
                <c:pt idx="197">
                  <c:v>37</c:v>
                </c:pt>
                <c:pt idx="198">
                  <c:v>152</c:v>
                </c:pt>
                <c:pt idx="199">
                  <c:v>32</c:v>
                </c:pt>
                <c:pt idx="200">
                  <c:v>52</c:v>
                </c:pt>
                <c:pt idx="201">
                  <c:v>24</c:v>
                </c:pt>
                <c:pt idx="202">
                  <c:v>473</c:v>
                </c:pt>
                <c:pt idx="203">
                  <c:v>263</c:v>
                </c:pt>
                <c:pt idx="204">
                  <c:v>61</c:v>
                </c:pt>
                <c:pt idx="205">
                  <c:v>469</c:v>
                </c:pt>
                <c:pt idx="206">
                  <c:v>1272</c:v>
                </c:pt>
                <c:pt idx="207">
                  <c:v>169</c:v>
                </c:pt>
                <c:pt idx="208">
                  <c:v>25</c:v>
                </c:pt>
                <c:pt idx="209">
                  <c:v>457</c:v>
                </c:pt>
                <c:pt idx="210">
                  <c:v>455</c:v>
                </c:pt>
                <c:pt idx="211">
                  <c:v>25</c:v>
                </c:pt>
                <c:pt idx="212">
                  <c:v>450</c:v>
                </c:pt>
                <c:pt idx="213">
                  <c:v>30</c:v>
                </c:pt>
                <c:pt idx="214">
                  <c:v>659</c:v>
                </c:pt>
                <c:pt idx="215">
                  <c:v>448</c:v>
                </c:pt>
                <c:pt idx="216">
                  <c:v>446</c:v>
                </c:pt>
                <c:pt idx="217">
                  <c:v>98</c:v>
                </c:pt>
                <c:pt idx="218">
                  <c:v>443</c:v>
                </c:pt>
                <c:pt idx="219">
                  <c:v>427</c:v>
                </c:pt>
                <c:pt idx="220">
                  <c:v>656</c:v>
                </c:pt>
                <c:pt idx="221">
                  <c:v>424</c:v>
                </c:pt>
                <c:pt idx="222">
                  <c:v>27</c:v>
                </c:pt>
                <c:pt idx="223">
                  <c:v>424</c:v>
                </c:pt>
                <c:pt idx="224">
                  <c:v>202</c:v>
                </c:pt>
                <c:pt idx="225">
                  <c:v>1275</c:v>
                </c:pt>
                <c:pt idx="226">
                  <c:v>418</c:v>
                </c:pt>
                <c:pt idx="227">
                  <c:v>417</c:v>
                </c:pt>
                <c:pt idx="228">
                  <c:v>199</c:v>
                </c:pt>
                <c:pt idx="229">
                  <c:v>385</c:v>
                </c:pt>
                <c:pt idx="230">
                  <c:v>414</c:v>
                </c:pt>
                <c:pt idx="231">
                  <c:v>97</c:v>
                </c:pt>
                <c:pt idx="232">
                  <c:v>648</c:v>
                </c:pt>
                <c:pt idx="233">
                  <c:v>27</c:v>
                </c:pt>
                <c:pt idx="234">
                  <c:v>27</c:v>
                </c:pt>
                <c:pt idx="235">
                  <c:v>27</c:v>
                </c:pt>
                <c:pt idx="236">
                  <c:v>413</c:v>
                </c:pt>
                <c:pt idx="237">
                  <c:v>53</c:v>
                </c:pt>
                <c:pt idx="238">
                  <c:v>29</c:v>
                </c:pt>
                <c:pt idx="239">
                  <c:v>30</c:v>
                </c:pt>
                <c:pt idx="240">
                  <c:v>412</c:v>
                </c:pt>
                <c:pt idx="241">
                  <c:v>646</c:v>
                </c:pt>
                <c:pt idx="242">
                  <c:v>30</c:v>
                </c:pt>
                <c:pt idx="243">
                  <c:v>618</c:v>
                </c:pt>
                <c:pt idx="244">
                  <c:v>143</c:v>
                </c:pt>
                <c:pt idx="245">
                  <c:v>31</c:v>
                </c:pt>
                <c:pt idx="246">
                  <c:v>409</c:v>
                </c:pt>
                <c:pt idx="247">
                  <c:v>406</c:v>
                </c:pt>
                <c:pt idx="248">
                  <c:v>565</c:v>
                </c:pt>
                <c:pt idx="249">
                  <c:v>85</c:v>
                </c:pt>
                <c:pt idx="250">
                  <c:v>561</c:v>
                </c:pt>
                <c:pt idx="251">
                  <c:v>503</c:v>
                </c:pt>
                <c:pt idx="252">
                  <c:v>31</c:v>
                </c:pt>
                <c:pt idx="253">
                  <c:v>398</c:v>
                </c:pt>
                <c:pt idx="254">
                  <c:v>388</c:v>
                </c:pt>
                <c:pt idx="255">
                  <c:v>498</c:v>
                </c:pt>
                <c:pt idx="256">
                  <c:v>561</c:v>
                </c:pt>
                <c:pt idx="257">
                  <c:v>61</c:v>
                </c:pt>
                <c:pt idx="258">
                  <c:v>34</c:v>
                </c:pt>
                <c:pt idx="259">
                  <c:v>32</c:v>
                </c:pt>
                <c:pt idx="260">
                  <c:v>623</c:v>
                </c:pt>
                <c:pt idx="261">
                  <c:v>520</c:v>
                </c:pt>
                <c:pt idx="262">
                  <c:v>32</c:v>
                </c:pt>
                <c:pt idx="263">
                  <c:v>32</c:v>
                </c:pt>
                <c:pt idx="264">
                  <c:v>510</c:v>
                </c:pt>
                <c:pt idx="265">
                  <c:v>382</c:v>
                </c:pt>
                <c:pt idx="266">
                  <c:v>33</c:v>
                </c:pt>
                <c:pt idx="267">
                  <c:v>381</c:v>
                </c:pt>
                <c:pt idx="268">
                  <c:v>490</c:v>
                </c:pt>
                <c:pt idx="269">
                  <c:v>381</c:v>
                </c:pt>
                <c:pt idx="270">
                  <c:v>487</c:v>
                </c:pt>
                <c:pt idx="271">
                  <c:v>366</c:v>
                </c:pt>
                <c:pt idx="272">
                  <c:v>33</c:v>
                </c:pt>
                <c:pt idx="273">
                  <c:v>365</c:v>
                </c:pt>
                <c:pt idx="274">
                  <c:v>207</c:v>
                </c:pt>
                <c:pt idx="275">
                  <c:v>359</c:v>
                </c:pt>
                <c:pt idx="276">
                  <c:v>351</c:v>
                </c:pt>
                <c:pt idx="277">
                  <c:v>485</c:v>
                </c:pt>
                <c:pt idx="278">
                  <c:v>37</c:v>
                </c:pt>
                <c:pt idx="279">
                  <c:v>34</c:v>
                </c:pt>
                <c:pt idx="280">
                  <c:v>346</c:v>
                </c:pt>
                <c:pt idx="281">
                  <c:v>342</c:v>
                </c:pt>
                <c:pt idx="282">
                  <c:v>35</c:v>
                </c:pt>
                <c:pt idx="283">
                  <c:v>121</c:v>
                </c:pt>
                <c:pt idx="284">
                  <c:v>336</c:v>
                </c:pt>
                <c:pt idx="285">
                  <c:v>336</c:v>
                </c:pt>
                <c:pt idx="286">
                  <c:v>27</c:v>
                </c:pt>
                <c:pt idx="287">
                  <c:v>333</c:v>
                </c:pt>
                <c:pt idx="288">
                  <c:v>36</c:v>
                </c:pt>
                <c:pt idx="289">
                  <c:v>333</c:v>
                </c:pt>
                <c:pt idx="290">
                  <c:v>327</c:v>
                </c:pt>
                <c:pt idx="291">
                  <c:v>18</c:v>
                </c:pt>
                <c:pt idx="292">
                  <c:v>325</c:v>
                </c:pt>
                <c:pt idx="293">
                  <c:v>482</c:v>
                </c:pt>
                <c:pt idx="294">
                  <c:v>465</c:v>
                </c:pt>
                <c:pt idx="295">
                  <c:v>40</c:v>
                </c:pt>
                <c:pt idx="296">
                  <c:v>107</c:v>
                </c:pt>
                <c:pt idx="297">
                  <c:v>312</c:v>
                </c:pt>
                <c:pt idx="298">
                  <c:v>451</c:v>
                </c:pt>
                <c:pt idx="299">
                  <c:v>312</c:v>
                </c:pt>
                <c:pt idx="300">
                  <c:v>311</c:v>
                </c:pt>
                <c:pt idx="301">
                  <c:v>11</c:v>
                </c:pt>
                <c:pt idx="302">
                  <c:v>37</c:v>
                </c:pt>
                <c:pt idx="303">
                  <c:v>444</c:v>
                </c:pt>
                <c:pt idx="304">
                  <c:v>434</c:v>
                </c:pt>
                <c:pt idx="305">
                  <c:v>299</c:v>
                </c:pt>
                <c:pt idx="306">
                  <c:v>37</c:v>
                </c:pt>
                <c:pt idx="307">
                  <c:v>299</c:v>
                </c:pt>
                <c:pt idx="308">
                  <c:v>298</c:v>
                </c:pt>
                <c:pt idx="309">
                  <c:v>94</c:v>
                </c:pt>
                <c:pt idx="310">
                  <c:v>296</c:v>
                </c:pt>
                <c:pt idx="311">
                  <c:v>37</c:v>
                </c:pt>
                <c:pt idx="312">
                  <c:v>291</c:v>
                </c:pt>
                <c:pt idx="313">
                  <c:v>327</c:v>
                </c:pt>
                <c:pt idx="314">
                  <c:v>291</c:v>
                </c:pt>
                <c:pt idx="315">
                  <c:v>287</c:v>
                </c:pt>
                <c:pt idx="316">
                  <c:v>42</c:v>
                </c:pt>
                <c:pt idx="317">
                  <c:v>429</c:v>
                </c:pt>
                <c:pt idx="318">
                  <c:v>285</c:v>
                </c:pt>
                <c:pt idx="319">
                  <c:v>277</c:v>
                </c:pt>
                <c:pt idx="320">
                  <c:v>274</c:v>
                </c:pt>
                <c:pt idx="321">
                  <c:v>273</c:v>
                </c:pt>
                <c:pt idx="322">
                  <c:v>269</c:v>
                </c:pt>
                <c:pt idx="323">
                  <c:v>11</c:v>
                </c:pt>
                <c:pt idx="324">
                  <c:v>39</c:v>
                </c:pt>
                <c:pt idx="325">
                  <c:v>264</c:v>
                </c:pt>
                <c:pt idx="326">
                  <c:v>40</c:v>
                </c:pt>
                <c:pt idx="327">
                  <c:v>41</c:v>
                </c:pt>
                <c:pt idx="328">
                  <c:v>253</c:v>
                </c:pt>
                <c:pt idx="329">
                  <c:v>406</c:v>
                </c:pt>
                <c:pt idx="330">
                  <c:v>32</c:v>
                </c:pt>
                <c:pt idx="331">
                  <c:v>260</c:v>
                </c:pt>
                <c:pt idx="332">
                  <c:v>41</c:v>
                </c:pt>
                <c:pt idx="333">
                  <c:v>401</c:v>
                </c:pt>
                <c:pt idx="334">
                  <c:v>382</c:v>
                </c:pt>
                <c:pt idx="335">
                  <c:v>867</c:v>
                </c:pt>
                <c:pt idx="336">
                  <c:v>43</c:v>
                </c:pt>
                <c:pt idx="337">
                  <c:v>43</c:v>
                </c:pt>
                <c:pt idx="338">
                  <c:v>74</c:v>
                </c:pt>
                <c:pt idx="339">
                  <c:v>44</c:v>
                </c:pt>
                <c:pt idx="340">
                  <c:v>259</c:v>
                </c:pt>
                <c:pt idx="341">
                  <c:v>257</c:v>
                </c:pt>
                <c:pt idx="342">
                  <c:v>76</c:v>
                </c:pt>
                <c:pt idx="343">
                  <c:v>44</c:v>
                </c:pt>
                <c:pt idx="344">
                  <c:v>257</c:v>
                </c:pt>
                <c:pt idx="345">
                  <c:v>255</c:v>
                </c:pt>
                <c:pt idx="346">
                  <c:v>44</c:v>
                </c:pt>
                <c:pt idx="347">
                  <c:v>45</c:v>
                </c:pt>
                <c:pt idx="348">
                  <c:v>44</c:v>
                </c:pt>
                <c:pt idx="349">
                  <c:v>382</c:v>
                </c:pt>
                <c:pt idx="350">
                  <c:v>250</c:v>
                </c:pt>
                <c:pt idx="351">
                  <c:v>45</c:v>
                </c:pt>
                <c:pt idx="352">
                  <c:v>246</c:v>
                </c:pt>
                <c:pt idx="353">
                  <c:v>50</c:v>
                </c:pt>
                <c:pt idx="354">
                  <c:v>246</c:v>
                </c:pt>
                <c:pt idx="355">
                  <c:v>44</c:v>
                </c:pt>
                <c:pt idx="356">
                  <c:v>245</c:v>
                </c:pt>
                <c:pt idx="357">
                  <c:v>245</c:v>
                </c:pt>
                <c:pt idx="358">
                  <c:v>376</c:v>
                </c:pt>
                <c:pt idx="359">
                  <c:v>45</c:v>
                </c:pt>
                <c:pt idx="360">
                  <c:v>45</c:v>
                </c:pt>
                <c:pt idx="361">
                  <c:v>244</c:v>
                </c:pt>
                <c:pt idx="362">
                  <c:v>244</c:v>
                </c:pt>
                <c:pt idx="363">
                  <c:v>10</c:v>
                </c:pt>
                <c:pt idx="364">
                  <c:v>375</c:v>
                </c:pt>
                <c:pt idx="365">
                  <c:v>46</c:v>
                </c:pt>
                <c:pt idx="366">
                  <c:v>49</c:v>
                </c:pt>
                <c:pt idx="367">
                  <c:v>47</c:v>
                </c:pt>
                <c:pt idx="368">
                  <c:v>355</c:v>
                </c:pt>
                <c:pt idx="369">
                  <c:v>32</c:v>
                </c:pt>
                <c:pt idx="370">
                  <c:v>243</c:v>
                </c:pt>
                <c:pt idx="371">
                  <c:v>241</c:v>
                </c:pt>
                <c:pt idx="372">
                  <c:v>47</c:v>
                </c:pt>
                <c:pt idx="373">
                  <c:v>50</c:v>
                </c:pt>
                <c:pt idx="374">
                  <c:v>15</c:v>
                </c:pt>
                <c:pt idx="375">
                  <c:v>148</c:v>
                </c:pt>
                <c:pt idx="376">
                  <c:v>299</c:v>
                </c:pt>
                <c:pt idx="377">
                  <c:v>68</c:v>
                </c:pt>
                <c:pt idx="378">
                  <c:v>52</c:v>
                </c:pt>
                <c:pt idx="379">
                  <c:v>239</c:v>
                </c:pt>
                <c:pt idx="380">
                  <c:v>27</c:v>
                </c:pt>
                <c:pt idx="381">
                  <c:v>238</c:v>
                </c:pt>
                <c:pt idx="382">
                  <c:v>48</c:v>
                </c:pt>
                <c:pt idx="383">
                  <c:v>66</c:v>
                </c:pt>
                <c:pt idx="384">
                  <c:v>53</c:v>
                </c:pt>
                <c:pt idx="385">
                  <c:v>233</c:v>
                </c:pt>
                <c:pt idx="386">
                  <c:v>53</c:v>
                </c:pt>
                <c:pt idx="387">
                  <c:v>54</c:v>
                </c:pt>
                <c:pt idx="388">
                  <c:v>352</c:v>
                </c:pt>
                <c:pt idx="389">
                  <c:v>349</c:v>
                </c:pt>
                <c:pt idx="390">
                  <c:v>341</c:v>
                </c:pt>
                <c:pt idx="391">
                  <c:v>54</c:v>
                </c:pt>
                <c:pt idx="392">
                  <c:v>57</c:v>
                </c:pt>
                <c:pt idx="393">
                  <c:v>340</c:v>
                </c:pt>
                <c:pt idx="394">
                  <c:v>227</c:v>
                </c:pt>
                <c:pt idx="395">
                  <c:v>330</c:v>
                </c:pt>
                <c:pt idx="396">
                  <c:v>216</c:v>
                </c:pt>
                <c:pt idx="397">
                  <c:v>224</c:v>
                </c:pt>
                <c:pt idx="398">
                  <c:v>55</c:v>
                </c:pt>
                <c:pt idx="399">
                  <c:v>49</c:v>
                </c:pt>
                <c:pt idx="400">
                  <c:v>224</c:v>
                </c:pt>
                <c:pt idx="401">
                  <c:v>223</c:v>
                </c:pt>
                <c:pt idx="402">
                  <c:v>324</c:v>
                </c:pt>
                <c:pt idx="403">
                  <c:v>56</c:v>
                </c:pt>
                <c:pt idx="404">
                  <c:v>223</c:v>
                </c:pt>
                <c:pt idx="405">
                  <c:v>10</c:v>
                </c:pt>
                <c:pt idx="406">
                  <c:v>57</c:v>
                </c:pt>
                <c:pt idx="407">
                  <c:v>322</c:v>
                </c:pt>
                <c:pt idx="408">
                  <c:v>219</c:v>
                </c:pt>
                <c:pt idx="409">
                  <c:v>103</c:v>
                </c:pt>
                <c:pt idx="410">
                  <c:v>47</c:v>
                </c:pt>
                <c:pt idx="411">
                  <c:v>219</c:v>
                </c:pt>
                <c:pt idx="412">
                  <c:v>57</c:v>
                </c:pt>
                <c:pt idx="413">
                  <c:v>319</c:v>
                </c:pt>
                <c:pt idx="414">
                  <c:v>315</c:v>
                </c:pt>
                <c:pt idx="415">
                  <c:v>314</c:v>
                </c:pt>
                <c:pt idx="416">
                  <c:v>311</c:v>
                </c:pt>
                <c:pt idx="417">
                  <c:v>307</c:v>
                </c:pt>
                <c:pt idx="418">
                  <c:v>294</c:v>
                </c:pt>
                <c:pt idx="419">
                  <c:v>216</c:v>
                </c:pt>
                <c:pt idx="420">
                  <c:v>58</c:v>
                </c:pt>
                <c:pt idx="421">
                  <c:v>48</c:v>
                </c:pt>
                <c:pt idx="422">
                  <c:v>54</c:v>
                </c:pt>
                <c:pt idx="423">
                  <c:v>216</c:v>
                </c:pt>
                <c:pt idx="424">
                  <c:v>215</c:v>
                </c:pt>
                <c:pt idx="425">
                  <c:v>43</c:v>
                </c:pt>
                <c:pt idx="426">
                  <c:v>136</c:v>
                </c:pt>
                <c:pt idx="427">
                  <c:v>59</c:v>
                </c:pt>
                <c:pt idx="428">
                  <c:v>213</c:v>
                </c:pt>
                <c:pt idx="429">
                  <c:v>59</c:v>
                </c:pt>
                <c:pt idx="430">
                  <c:v>55</c:v>
                </c:pt>
                <c:pt idx="431">
                  <c:v>294</c:v>
                </c:pt>
                <c:pt idx="432">
                  <c:v>210</c:v>
                </c:pt>
                <c:pt idx="433">
                  <c:v>59</c:v>
                </c:pt>
                <c:pt idx="434">
                  <c:v>396</c:v>
                </c:pt>
                <c:pt idx="435">
                  <c:v>284</c:v>
                </c:pt>
                <c:pt idx="436">
                  <c:v>276</c:v>
                </c:pt>
                <c:pt idx="437">
                  <c:v>23</c:v>
                </c:pt>
                <c:pt idx="438">
                  <c:v>209</c:v>
                </c:pt>
                <c:pt idx="439">
                  <c:v>50</c:v>
                </c:pt>
                <c:pt idx="440">
                  <c:v>57</c:v>
                </c:pt>
                <c:pt idx="441">
                  <c:v>276</c:v>
                </c:pt>
                <c:pt idx="442">
                  <c:v>268</c:v>
                </c:pt>
                <c:pt idx="443">
                  <c:v>269</c:v>
                </c:pt>
                <c:pt idx="444">
                  <c:v>209</c:v>
                </c:pt>
                <c:pt idx="445">
                  <c:v>60</c:v>
                </c:pt>
                <c:pt idx="446">
                  <c:v>269</c:v>
                </c:pt>
                <c:pt idx="447">
                  <c:v>208</c:v>
                </c:pt>
                <c:pt idx="448">
                  <c:v>27</c:v>
                </c:pt>
                <c:pt idx="449">
                  <c:v>206</c:v>
                </c:pt>
                <c:pt idx="450">
                  <c:v>61</c:v>
                </c:pt>
                <c:pt idx="451">
                  <c:v>212</c:v>
                </c:pt>
                <c:pt idx="452">
                  <c:v>262</c:v>
                </c:pt>
                <c:pt idx="453">
                  <c:v>204</c:v>
                </c:pt>
                <c:pt idx="454">
                  <c:v>59</c:v>
                </c:pt>
                <c:pt idx="455">
                  <c:v>199</c:v>
                </c:pt>
                <c:pt idx="456">
                  <c:v>59</c:v>
                </c:pt>
                <c:pt idx="457">
                  <c:v>45</c:v>
                </c:pt>
                <c:pt idx="458">
                  <c:v>211</c:v>
                </c:pt>
                <c:pt idx="459">
                  <c:v>65</c:v>
                </c:pt>
                <c:pt idx="460">
                  <c:v>25</c:v>
                </c:pt>
                <c:pt idx="461">
                  <c:v>196</c:v>
                </c:pt>
                <c:pt idx="462">
                  <c:v>261</c:v>
                </c:pt>
                <c:pt idx="463">
                  <c:v>195</c:v>
                </c:pt>
                <c:pt idx="464">
                  <c:v>192</c:v>
                </c:pt>
                <c:pt idx="465">
                  <c:v>189</c:v>
                </c:pt>
                <c:pt idx="466">
                  <c:v>32</c:v>
                </c:pt>
                <c:pt idx="467">
                  <c:v>188</c:v>
                </c:pt>
                <c:pt idx="468">
                  <c:v>73</c:v>
                </c:pt>
                <c:pt idx="469">
                  <c:v>259</c:v>
                </c:pt>
                <c:pt idx="470">
                  <c:v>187</c:v>
                </c:pt>
                <c:pt idx="471">
                  <c:v>26</c:v>
                </c:pt>
                <c:pt idx="472">
                  <c:v>185</c:v>
                </c:pt>
                <c:pt idx="473">
                  <c:v>248</c:v>
                </c:pt>
                <c:pt idx="474">
                  <c:v>67</c:v>
                </c:pt>
                <c:pt idx="475">
                  <c:v>248</c:v>
                </c:pt>
                <c:pt idx="476">
                  <c:v>246</c:v>
                </c:pt>
                <c:pt idx="477">
                  <c:v>179</c:v>
                </c:pt>
                <c:pt idx="478">
                  <c:v>176</c:v>
                </c:pt>
                <c:pt idx="479">
                  <c:v>176</c:v>
                </c:pt>
                <c:pt idx="480">
                  <c:v>68</c:v>
                </c:pt>
                <c:pt idx="481">
                  <c:v>176</c:v>
                </c:pt>
                <c:pt idx="482">
                  <c:v>88</c:v>
                </c:pt>
                <c:pt idx="483">
                  <c:v>68</c:v>
                </c:pt>
                <c:pt idx="484">
                  <c:v>231</c:v>
                </c:pt>
                <c:pt idx="485">
                  <c:v>62</c:v>
                </c:pt>
                <c:pt idx="486">
                  <c:v>175</c:v>
                </c:pt>
                <c:pt idx="487">
                  <c:v>71</c:v>
                </c:pt>
                <c:pt idx="488">
                  <c:v>174</c:v>
                </c:pt>
                <c:pt idx="489">
                  <c:v>173</c:v>
                </c:pt>
                <c:pt idx="490">
                  <c:v>171</c:v>
                </c:pt>
                <c:pt idx="491">
                  <c:v>268</c:v>
                </c:pt>
                <c:pt idx="492">
                  <c:v>71</c:v>
                </c:pt>
                <c:pt idx="493">
                  <c:v>29</c:v>
                </c:pt>
                <c:pt idx="494">
                  <c:v>65</c:v>
                </c:pt>
                <c:pt idx="495">
                  <c:v>72</c:v>
                </c:pt>
                <c:pt idx="496">
                  <c:v>168</c:v>
                </c:pt>
                <c:pt idx="497">
                  <c:v>165</c:v>
                </c:pt>
                <c:pt idx="498">
                  <c:v>74</c:v>
                </c:pt>
                <c:pt idx="499">
                  <c:v>89</c:v>
                </c:pt>
                <c:pt idx="500">
                  <c:v>228</c:v>
                </c:pt>
                <c:pt idx="501">
                  <c:v>119</c:v>
                </c:pt>
                <c:pt idx="502">
                  <c:v>75</c:v>
                </c:pt>
                <c:pt idx="503">
                  <c:v>67</c:v>
                </c:pt>
                <c:pt idx="504">
                  <c:v>7</c:v>
                </c:pt>
                <c:pt idx="505">
                  <c:v>222</c:v>
                </c:pt>
                <c:pt idx="506">
                  <c:v>219</c:v>
                </c:pt>
                <c:pt idx="507">
                  <c:v>42</c:v>
                </c:pt>
                <c:pt idx="508">
                  <c:v>216</c:v>
                </c:pt>
                <c:pt idx="509">
                  <c:v>47</c:v>
                </c:pt>
                <c:pt idx="510">
                  <c:v>68</c:v>
                </c:pt>
                <c:pt idx="511">
                  <c:v>74</c:v>
                </c:pt>
                <c:pt idx="512">
                  <c:v>165</c:v>
                </c:pt>
                <c:pt idx="513">
                  <c:v>101</c:v>
                </c:pt>
                <c:pt idx="514">
                  <c:v>162</c:v>
                </c:pt>
                <c:pt idx="515">
                  <c:v>20</c:v>
                </c:pt>
                <c:pt idx="516">
                  <c:v>162</c:v>
                </c:pt>
                <c:pt idx="517">
                  <c:v>229</c:v>
                </c:pt>
                <c:pt idx="518">
                  <c:v>27</c:v>
                </c:pt>
                <c:pt idx="519">
                  <c:v>685</c:v>
                </c:pt>
                <c:pt idx="520">
                  <c:v>75</c:v>
                </c:pt>
                <c:pt idx="521">
                  <c:v>161</c:v>
                </c:pt>
                <c:pt idx="522">
                  <c:v>71</c:v>
                </c:pt>
                <c:pt idx="523">
                  <c:v>211</c:v>
                </c:pt>
                <c:pt idx="524">
                  <c:v>79</c:v>
                </c:pt>
                <c:pt idx="525">
                  <c:v>32</c:v>
                </c:pt>
                <c:pt idx="526">
                  <c:v>161</c:v>
                </c:pt>
                <c:pt idx="527">
                  <c:v>159</c:v>
                </c:pt>
                <c:pt idx="528">
                  <c:v>210</c:v>
                </c:pt>
                <c:pt idx="529">
                  <c:v>79</c:v>
                </c:pt>
                <c:pt idx="530">
                  <c:v>207</c:v>
                </c:pt>
                <c:pt idx="531">
                  <c:v>36</c:v>
                </c:pt>
                <c:pt idx="532">
                  <c:v>206</c:v>
                </c:pt>
                <c:pt idx="533">
                  <c:v>46</c:v>
                </c:pt>
                <c:pt idx="534">
                  <c:v>156</c:v>
                </c:pt>
                <c:pt idx="535">
                  <c:v>154</c:v>
                </c:pt>
                <c:pt idx="536">
                  <c:v>36</c:v>
                </c:pt>
                <c:pt idx="537">
                  <c:v>206</c:v>
                </c:pt>
                <c:pt idx="538">
                  <c:v>200</c:v>
                </c:pt>
                <c:pt idx="539">
                  <c:v>199</c:v>
                </c:pt>
                <c:pt idx="540">
                  <c:v>154</c:v>
                </c:pt>
                <c:pt idx="541">
                  <c:v>152</c:v>
                </c:pt>
                <c:pt idx="542">
                  <c:v>152</c:v>
                </c:pt>
                <c:pt idx="543">
                  <c:v>122</c:v>
                </c:pt>
                <c:pt idx="544">
                  <c:v>149</c:v>
                </c:pt>
                <c:pt idx="545">
                  <c:v>149</c:v>
                </c:pt>
                <c:pt idx="546">
                  <c:v>197</c:v>
                </c:pt>
                <c:pt idx="547">
                  <c:v>76</c:v>
                </c:pt>
                <c:pt idx="548">
                  <c:v>221</c:v>
                </c:pt>
                <c:pt idx="549">
                  <c:v>79</c:v>
                </c:pt>
                <c:pt idx="550">
                  <c:v>45</c:v>
                </c:pt>
                <c:pt idx="551">
                  <c:v>149</c:v>
                </c:pt>
                <c:pt idx="552">
                  <c:v>80</c:v>
                </c:pt>
                <c:pt idx="553">
                  <c:v>195</c:v>
                </c:pt>
                <c:pt idx="554">
                  <c:v>19</c:v>
                </c:pt>
                <c:pt idx="555">
                  <c:v>81</c:v>
                </c:pt>
                <c:pt idx="556">
                  <c:v>83</c:v>
                </c:pt>
                <c:pt idx="557">
                  <c:v>149</c:v>
                </c:pt>
                <c:pt idx="558">
                  <c:v>193</c:v>
                </c:pt>
                <c:pt idx="559">
                  <c:v>85</c:v>
                </c:pt>
                <c:pt idx="560">
                  <c:v>44</c:v>
                </c:pt>
                <c:pt idx="561">
                  <c:v>149</c:v>
                </c:pt>
                <c:pt idx="562">
                  <c:v>26</c:v>
                </c:pt>
                <c:pt idx="563">
                  <c:v>86</c:v>
                </c:pt>
                <c:pt idx="564">
                  <c:v>86</c:v>
                </c:pt>
                <c:pt idx="565">
                  <c:v>79</c:v>
                </c:pt>
                <c:pt idx="566">
                  <c:v>193</c:v>
                </c:pt>
                <c:pt idx="567">
                  <c:v>148</c:v>
                </c:pt>
                <c:pt idx="568">
                  <c:v>70</c:v>
                </c:pt>
                <c:pt idx="569">
                  <c:v>148</c:v>
                </c:pt>
                <c:pt idx="570">
                  <c:v>190</c:v>
                </c:pt>
                <c:pt idx="571">
                  <c:v>52</c:v>
                </c:pt>
                <c:pt idx="572">
                  <c:v>147</c:v>
                </c:pt>
                <c:pt idx="573">
                  <c:v>190</c:v>
                </c:pt>
                <c:pt idx="574">
                  <c:v>80</c:v>
                </c:pt>
                <c:pt idx="575">
                  <c:v>147</c:v>
                </c:pt>
                <c:pt idx="576">
                  <c:v>66</c:v>
                </c:pt>
                <c:pt idx="577">
                  <c:v>86</c:v>
                </c:pt>
                <c:pt idx="578">
                  <c:v>88</c:v>
                </c:pt>
                <c:pt idx="579">
                  <c:v>188</c:v>
                </c:pt>
                <c:pt idx="580">
                  <c:v>89</c:v>
                </c:pt>
                <c:pt idx="581">
                  <c:v>146</c:v>
                </c:pt>
                <c:pt idx="582">
                  <c:v>143</c:v>
                </c:pt>
                <c:pt idx="583">
                  <c:v>25</c:v>
                </c:pt>
                <c:pt idx="584">
                  <c:v>30</c:v>
                </c:pt>
                <c:pt idx="585">
                  <c:v>140</c:v>
                </c:pt>
                <c:pt idx="586">
                  <c:v>83</c:v>
                </c:pt>
                <c:pt idx="587">
                  <c:v>140</c:v>
                </c:pt>
                <c:pt idx="588">
                  <c:v>28</c:v>
                </c:pt>
                <c:pt idx="589">
                  <c:v>139</c:v>
                </c:pt>
                <c:pt idx="590">
                  <c:v>30</c:v>
                </c:pt>
                <c:pt idx="591">
                  <c:v>89</c:v>
                </c:pt>
                <c:pt idx="592">
                  <c:v>187</c:v>
                </c:pt>
                <c:pt idx="593">
                  <c:v>139</c:v>
                </c:pt>
                <c:pt idx="594">
                  <c:v>437</c:v>
                </c:pt>
                <c:pt idx="595">
                  <c:v>138</c:v>
                </c:pt>
                <c:pt idx="596">
                  <c:v>85</c:v>
                </c:pt>
                <c:pt idx="597">
                  <c:v>83</c:v>
                </c:pt>
                <c:pt idx="598">
                  <c:v>91</c:v>
                </c:pt>
                <c:pt idx="599">
                  <c:v>137</c:v>
                </c:pt>
                <c:pt idx="600">
                  <c:v>33</c:v>
                </c:pt>
                <c:pt idx="601">
                  <c:v>134</c:v>
                </c:pt>
                <c:pt idx="602">
                  <c:v>134</c:v>
                </c:pt>
                <c:pt idx="603">
                  <c:v>133</c:v>
                </c:pt>
                <c:pt idx="604">
                  <c:v>93</c:v>
                </c:pt>
                <c:pt idx="605">
                  <c:v>86</c:v>
                </c:pt>
                <c:pt idx="606">
                  <c:v>132</c:v>
                </c:pt>
                <c:pt idx="607">
                  <c:v>132</c:v>
                </c:pt>
                <c:pt idx="608">
                  <c:v>132</c:v>
                </c:pt>
                <c:pt idx="609">
                  <c:v>93</c:v>
                </c:pt>
                <c:pt idx="610">
                  <c:v>95</c:v>
                </c:pt>
                <c:pt idx="611">
                  <c:v>97</c:v>
                </c:pt>
                <c:pt idx="612">
                  <c:v>131</c:v>
                </c:pt>
                <c:pt idx="613">
                  <c:v>97</c:v>
                </c:pt>
                <c:pt idx="614">
                  <c:v>128</c:v>
                </c:pt>
                <c:pt idx="615">
                  <c:v>186</c:v>
                </c:pt>
                <c:pt idx="616">
                  <c:v>128</c:v>
                </c:pt>
                <c:pt idx="617">
                  <c:v>185</c:v>
                </c:pt>
                <c:pt idx="618">
                  <c:v>29</c:v>
                </c:pt>
                <c:pt idx="619">
                  <c:v>127</c:v>
                </c:pt>
                <c:pt idx="620">
                  <c:v>97</c:v>
                </c:pt>
                <c:pt idx="621">
                  <c:v>125</c:v>
                </c:pt>
                <c:pt idx="622">
                  <c:v>299</c:v>
                </c:pt>
                <c:pt idx="623">
                  <c:v>124</c:v>
                </c:pt>
                <c:pt idx="624">
                  <c:v>90</c:v>
                </c:pt>
                <c:pt idx="625">
                  <c:v>122</c:v>
                </c:pt>
                <c:pt idx="626">
                  <c:v>122</c:v>
                </c:pt>
                <c:pt idx="627">
                  <c:v>90</c:v>
                </c:pt>
                <c:pt idx="628">
                  <c:v>182</c:v>
                </c:pt>
                <c:pt idx="629">
                  <c:v>122</c:v>
                </c:pt>
                <c:pt idx="630">
                  <c:v>121</c:v>
                </c:pt>
                <c:pt idx="631">
                  <c:v>120</c:v>
                </c:pt>
                <c:pt idx="632">
                  <c:v>120</c:v>
                </c:pt>
                <c:pt idx="633">
                  <c:v>34</c:v>
                </c:pt>
                <c:pt idx="634">
                  <c:v>117</c:v>
                </c:pt>
                <c:pt idx="635">
                  <c:v>38</c:v>
                </c:pt>
                <c:pt idx="636">
                  <c:v>117</c:v>
                </c:pt>
                <c:pt idx="637">
                  <c:v>180</c:v>
                </c:pt>
                <c:pt idx="638">
                  <c:v>99</c:v>
                </c:pt>
                <c:pt idx="639">
                  <c:v>172</c:v>
                </c:pt>
                <c:pt idx="640">
                  <c:v>116</c:v>
                </c:pt>
                <c:pt idx="641">
                  <c:v>116</c:v>
                </c:pt>
                <c:pt idx="642">
                  <c:v>171</c:v>
                </c:pt>
                <c:pt idx="643">
                  <c:v>46</c:v>
                </c:pt>
                <c:pt idx="644">
                  <c:v>115</c:v>
                </c:pt>
                <c:pt idx="645">
                  <c:v>100</c:v>
                </c:pt>
                <c:pt idx="646">
                  <c:v>44</c:v>
                </c:pt>
                <c:pt idx="647">
                  <c:v>139</c:v>
                </c:pt>
                <c:pt idx="648">
                  <c:v>171</c:v>
                </c:pt>
                <c:pt idx="649">
                  <c:v>100</c:v>
                </c:pt>
                <c:pt idx="650">
                  <c:v>115</c:v>
                </c:pt>
                <c:pt idx="651">
                  <c:v>168</c:v>
                </c:pt>
                <c:pt idx="652">
                  <c:v>115</c:v>
                </c:pt>
                <c:pt idx="653">
                  <c:v>168</c:v>
                </c:pt>
                <c:pt idx="654">
                  <c:v>31</c:v>
                </c:pt>
                <c:pt idx="655">
                  <c:v>114</c:v>
                </c:pt>
                <c:pt idx="656">
                  <c:v>111</c:v>
                </c:pt>
                <c:pt idx="657">
                  <c:v>11</c:v>
                </c:pt>
                <c:pt idx="658">
                  <c:v>110</c:v>
                </c:pt>
                <c:pt idx="659">
                  <c:v>59</c:v>
                </c:pt>
                <c:pt idx="660">
                  <c:v>166</c:v>
                </c:pt>
                <c:pt idx="661">
                  <c:v>109</c:v>
                </c:pt>
                <c:pt idx="662">
                  <c:v>34</c:v>
                </c:pt>
                <c:pt idx="663">
                  <c:v>109</c:v>
                </c:pt>
                <c:pt idx="664">
                  <c:v>108</c:v>
                </c:pt>
                <c:pt idx="665">
                  <c:v>103</c:v>
                </c:pt>
                <c:pt idx="666">
                  <c:v>10</c:v>
                </c:pt>
                <c:pt idx="667">
                  <c:v>90</c:v>
                </c:pt>
                <c:pt idx="668">
                  <c:v>105</c:v>
                </c:pt>
                <c:pt idx="669">
                  <c:v>105</c:v>
                </c:pt>
                <c:pt idx="670">
                  <c:v>22</c:v>
                </c:pt>
                <c:pt idx="671">
                  <c:v>105</c:v>
                </c:pt>
                <c:pt idx="672">
                  <c:v>105</c:v>
                </c:pt>
                <c:pt idx="673">
                  <c:v>25</c:v>
                </c:pt>
                <c:pt idx="674">
                  <c:v>104</c:v>
                </c:pt>
                <c:pt idx="675">
                  <c:v>16</c:v>
                </c:pt>
                <c:pt idx="676">
                  <c:v>64</c:v>
                </c:pt>
                <c:pt idx="677">
                  <c:v>38</c:v>
                </c:pt>
                <c:pt idx="678">
                  <c:v>83</c:v>
                </c:pt>
                <c:pt idx="679">
                  <c:v>103</c:v>
                </c:pt>
                <c:pt idx="680">
                  <c:v>37</c:v>
                </c:pt>
                <c:pt idx="681">
                  <c:v>105</c:v>
                </c:pt>
                <c:pt idx="682">
                  <c:v>78</c:v>
                </c:pt>
                <c:pt idx="683">
                  <c:v>102</c:v>
                </c:pt>
                <c:pt idx="684">
                  <c:v>102</c:v>
                </c:pt>
                <c:pt idx="685">
                  <c:v>10</c:v>
                </c:pt>
                <c:pt idx="686">
                  <c:v>101</c:v>
                </c:pt>
                <c:pt idx="687">
                  <c:v>42</c:v>
                </c:pt>
                <c:pt idx="688">
                  <c:v>56</c:v>
                </c:pt>
                <c:pt idx="689">
                  <c:v>95</c:v>
                </c:pt>
                <c:pt idx="690">
                  <c:v>159</c:v>
                </c:pt>
                <c:pt idx="691">
                  <c:v>158</c:v>
                </c:pt>
                <c:pt idx="692">
                  <c:v>106</c:v>
                </c:pt>
                <c:pt idx="693">
                  <c:v>101</c:v>
                </c:pt>
                <c:pt idx="694">
                  <c:v>107</c:v>
                </c:pt>
                <c:pt idx="695">
                  <c:v>156</c:v>
                </c:pt>
                <c:pt idx="696">
                  <c:v>108</c:v>
                </c:pt>
                <c:pt idx="697">
                  <c:v>107</c:v>
                </c:pt>
                <c:pt idx="698">
                  <c:v>100</c:v>
                </c:pt>
                <c:pt idx="699">
                  <c:v>108</c:v>
                </c:pt>
                <c:pt idx="700">
                  <c:v>100</c:v>
                </c:pt>
                <c:pt idx="701">
                  <c:v>100</c:v>
                </c:pt>
                <c:pt idx="702">
                  <c:v>43</c:v>
                </c:pt>
                <c:pt idx="703">
                  <c:v>155</c:v>
                </c:pt>
                <c:pt idx="704">
                  <c:v>151</c:v>
                </c:pt>
                <c:pt idx="705">
                  <c:v>151</c:v>
                </c:pt>
                <c:pt idx="706">
                  <c:v>110</c:v>
                </c:pt>
                <c:pt idx="707">
                  <c:v>98</c:v>
                </c:pt>
                <c:pt idx="708">
                  <c:v>97</c:v>
                </c:pt>
                <c:pt idx="709">
                  <c:v>111</c:v>
                </c:pt>
                <c:pt idx="710">
                  <c:v>45</c:v>
                </c:pt>
                <c:pt idx="711">
                  <c:v>112</c:v>
                </c:pt>
                <c:pt idx="712">
                  <c:v>110</c:v>
                </c:pt>
                <c:pt idx="713">
                  <c:v>98</c:v>
                </c:pt>
                <c:pt idx="714">
                  <c:v>110</c:v>
                </c:pt>
                <c:pt idx="715">
                  <c:v>95</c:v>
                </c:pt>
                <c:pt idx="716">
                  <c:v>1228</c:v>
                </c:pt>
                <c:pt idx="717">
                  <c:v>29</c:v>
                </c:pt>
                <c:pt idx="718">
                  <c:v>94</c:v>
                </c:pt>
                <c:pt idx="719">
                  <c:v>115</c:v>
                </c:pt>
                <c:pt idx="720">
                  <c:v>149</c:v>
                </c:pt>
                <c:pt idx="721">
                  <c:v>148</c:v>
                </c:pt>
                <c:pt idx="722">
                  <c:v>93</c:v>
                </c:pt>
                <c:pt idx="723">
                  <c:v>113</c:v>
                </c:pt>
                <c:pt idx="724">
                  <c:v>48</c:v>
                </c:pt>
                <c:pt idx="725">
                  <c:v>148</c:v>
                </c:pt>
                <c:pt idx="726">
                  <c:v>114</c:v>
                </c:pt>
                <c:pt idx="727">
                  <c:v>92</c:v>
                </c:pt>
                <c:pt idx="728">
                  <c:v>117</c:v>
                </c:pt>
                <c:pt idx="729">
                  <c:v>21</c:v>
                </c:pt>
                <c:pt idx="730">
                  <c:v>33</c:v>
                </c:pt>
                <c:pt idx="731">
                  <c:v>114</c:v>
                </c:pt>
                <c:pt idx="732">
                  <c:v>115</c:v>
                </c:pt>
                <c:pt idx="733">
                  <c:v>90</c:v>
                </c:pt>
                <c:pt idx="734">
                  <c:v>61</c:v>
                </c:pt>
                <c:pt idx="735">
                  <c:v>119</c:v>
                </c:pt>
                <c:pt idx="736">
                  <c:v>117</c:v>
                </c:pt>
                <c:pt idx="737">
                  <c:v>148</c:v>
                </c:pt>
                <c:pt idx="738">
                  <c:v>249</c:v>
                </c:pt>
                <c:pt idx="739">
                  <c:v>147</c:v>
                </c:pt>
                <c:pt idx="740">
                  <c:v>118</c:v>
                </c:pt>
                <c:pt idx="741">
                  <c:v>119</c:v>
                </c:pt>
                <c:pt idx="742">
                  <c:v>90</c:v>
                </c:pt>
                <c:pt idx="743">
                  <c:v>32</c:v>
                </c:pt>
                <c:pt idx="744">
                  <c:v>89</c:v>
                </c:pt>
                <c:pt idx="745">
                  <c:v>146</c:v>
                </c:pt>
                <c:pt idx="746">
                  <c:v>89</c:v>
                </c:pt>
                <c:pt idx="747">
                  <c:v>88</c:v>
                </c:pt>
                <c:pt idx="748">
                  <c:v>121</c:v>
                </c:pt>
                <c:pt idx="749">
                  <c:v>88</c:v>
                </c:pt>
                <c:pt idx="750">
                  <c:v>87</c:v>
                </c:pt>
                <c:pt idx="751">
                  <c:v>87</c:v>
                </c:pt>
                <c:pt idx="752">
                  <c:v>122</c:v>
                </c:pt>
                <c:pt idx="753">
                  <c:v>87</c:v>
                </c:pt>
                <c:pt idx="754">
                  <c:v>53</c:v>
                </c:pt>
                <c:pt idx="755">
                  <c:v>87</c:v>
                </c:pt>
                <c:pt idx="756">
                  <c:v>86</c:v>
                </c:pt>
                <c:pt idx="757">
                  <c:v>125</c:v>
                </c:pt>
                <c:pt idx="758">
                  <c:v>128</c:v>
                </c:pt>
                <c:pt idx="759">
                  <c:v>143</c:v>
                </c:pt>
                <c:pt idx="760">
                  <c:v>86</c:v>
                </c:pt>
                <c:pt idx="761">
                  <c:v>86</c:v>
                </c:pt>
                <c:pt idx="762">
                  <c:v>85</c:v>
                </c:pt>
                <c:pt idx="763">
                  <c:v>129</c:v>
                </c:pt>
                <c:pt idx="764">
                  <c:v>84</c:v>
                </c:pt>
                <c:pt idx="765">
                  <c:v>83</c:v>
                </c:pt>
                <c:pt idx="766">
                  <c:v>143</c:v>
                </c:pt>
                <c:pt idx="767">
                  <c:v>336</c:v>
                </c:pt>
                <c:pt idx="768">
                  <c:v>323</c:v>
                </c:pt>
                <c:pt idx="769">
                  <c:v>130</c:v>
                </c:pt>
                <c:pt idx="770">
                  <c:v>152</c:v>
                </c:pt>
                <c:pt idx="771">
                  <c:v>25</c:v>
                </c:pt>
                <c:pt idx="772">
                  <c:v>140</c:v>
                </c:pt>
                <c:pt idx="773">
                  <c:v>45</c:v>
                </c:pt>
                <c:pt idx="774">
                  <c:v>132</c:v>
                </c:pt>
                <c:pt idx="775">
                  <c:v>133</c:v>
                </c:pt>
                <c:pt idx="776">
                  <c:v>82</c:v>
                </c:pt>
                <c:pt idx="777">
                  <c:v>140</c:v>
                </c:pt>
                <c:pt idx="778">
                  <c:v>81</c:v>
                </c:pt>
                <c:pt idx="779">
                  <c:v>137</c:v>
                </c:pt>
                <c:pt idx="780">
                  <c:v>137</c:v>
                </c:pt>
                <c:pt idx="781">
                  <c:v>140</c:v>
                </c:pt>
                <c:pt idx="782">
                  <c:v>139</c:v>
                </c:pt>
                <c:pt idx="783">
                  <c:v>138</c:v>
                </c:pt>
                <c:pt idx="784">
                  <c:v>79</c:v>
                </c:pt>
                <c:pt idx="785">
                  <c:v>136</c:v>
                </c:pt>
                <c:pt idx="786">
                  <c:v>145</c:v>
                </c:pt>
                <c:pt idx="787">
                  <c:v>44</c:v>
                </c:pt>
                <c:pt idx="788">
                  <c:v>79</c:v>
                </c:pt>
                <c:pt idx="789">
                  <c:v>79</c:v>
                </c:pt>
                <c:pt idx="790">
                  <c:v>134</c:v>
                </c:pt>
                <c:pt idx="791">
                  <c:v>133</c:v>
                </c:pt>
                <c:pt idx="792">
                  <c:v>47</c:v>
                </c:pt>
                <c:pt idx="793">
                  <c:v>133</c:v>
                </c:pt>
                <c:pt idx="794">
                  <c:v>78</c:v>
                </c:pt>
                <c:pt idx="795">
                  <c:v>78</c:v>
                </c:pt>
                <c:pt idx="796">
                  <c:v>76</c:v>
                </c:pt>
                <c:pt idx="797">
                  <c:v>76</c:v>
                </c:pt>
                <c:pt idx="798">
                  <c:v>76</c:v>
                </c:pt>
                <c:pt idx="799">
                  <c:v>74</c:v>
                </c:pt>
                <c:pt idx="800">
                  <c:v>74</c:v>
                </c:pt>
                <c:pt idx="801">
                  <c:v>146</c:v>
                </c:pt>
                <c:pt idx="802">
                  <c:v>73</c:v>
                </c:pt>
                <c:pt idx="803">
                  <c:v>80</c:v>
                </c:pt>
                <c:pt idx="804">
                  <c:v>133</c:v>
                </c:pt>
                <c:pt idx="805">
                  <c:v>146</c:v>
                </c:pt>
                <c:pt idx="806">
                  <c:v>130</c:v>
                </c:pt>
                <c:pt idx="807">
                  <c:v>141</c:v>
                </c:pt>
                <c:pt idx="808">
                  <c:v>147</c:v>
                </c:pt>
                <c:pt idx="809">
                  <c:v>73</c:v>
                </c:pt>
                <c:pt idx="810">
                  <c:v>148</c:v>
                </c:pt>
                <c:pt idx="811">
                  <c:v>58</c:v>
                </c:pt>
                <c:pt idx="812">
                  <c:v>21</c:v>
                </c:pt>
                <c:pt idx="813">
                  <c:v>148</c:v>
                </c:pt>
                <c:pt idx="814">
                  <c:v>144</c:v>
                </c:pt>
                <c:pt idx="815">
                  <c:v>145</c:v>
                </c:pt>
                <c:pt idx="816">
                  <c:v>72</c:v>
                </c:pt>
                <c:pt idx="817">
                  <c:v>125</c:v>
                </c:pt>
                <c:pt idx="818">
                  <c:v>149</c:v>
                </c:pt>
                <c:pt idx="819">
                  <c:v>72</c:v>
                </c:pt>
                <c:pt idx="820">
                  <c:v>71</c:v>
                </c:pt>
                <c:pt idx="821">
                  <c:v>71</c:v>
                </c:pt>
                <c:pt idx="822">
                  <c:v>154</c:v>
                </c:pt>
                <c:pt idx="823">
                  <c:v>191</c:v>
                </c:pt>
                <c:pt idx="824">
                  <c:v>170</c:v>
                </c:pt>
                <c:pt idx="825">
                  <c:v>47</c:v>
                </c:pt>
                <c:pt idx="826">
                  <c:v>122</c:v>
                </c:pt>
                <c:pt idx="827">
                  <c:v>70</c:v>
                </c:pt>
                <c:pt idx="828">
                  <c:v>155</c:v>
                </c:pt>
                <c:pt idx="829">
                  <c:v>67</c:v>
                </c:pt>
                <c:pt idx="830">
                  <c:v>67</c:v>
                </c:pt>
                <c:pt idx="831">
                  <c:v>148</c:v>
                </c:pt>
                <c:pt idx="832">
                  <c:v>122</c:v>
                </c:pt>
                <c:pt idx="833">
                  <c:v>16</c:v>
                </c:pt>
                <c:pt idx="834">
                  <c:v>121</c:v>
                </c:pt>
                <c:pt idx="835">
                  <c:v>42</c:v>
                </c:pt>
                <c:pt idx="836">
                  <c:v>65</c:v>
                </c:pt>
                <c:pt idx="837">
                  <c:v>119</c:v>
                </c:pt>
                <c:pt idx="838">
                  <c:v>155</c:v>
                </c:pt>
                <c:pt idx="839">
                  <c:v>119</c:v>
                </c:pt>
                <c:pt idx="840">
                  <c:v>118</c:v>
                </c:pt>
                <c:pt idx="841">
                  <c:v>116</c:v>
                </c:pt>
                <c:pt idx="842">
                  <c:v>158</c:v>
                </c:pt>
                <c:pt idx="843">
                  <c:v>158</c:v>
                </c:pt>
                <c:pt idx="844">
                  <c:v>65</c:v>
                </c:pt>
                <c:pt idx="845">
                  <c:v>160</c:v>
                </c:pt>
                <c:pt idx="846">
                  <c:v>162</c:v>
                </c:pt>
                <c:pt idx="847">
                  <c:v>63</c:v>
                </c:pt>
                <c:pt idx="848">
                  <c:v>64</c:v>
                </c:pt>
                <c:pt idx="849">
                  <c:v>166</c:v>
                </c:pt>
                <c:pt idx="850">
                  <c:v>167</c:v>
                </c:pt>
                <c:pt idx="851">
                  <c:v>123</c:v>
                </c:pt>
                <c:pt idx="852">
                  <c:v>63</c:v>
                </c:pt>
                <c:pt idx="853">
                  <c:v>891</c:v>
                </c:pt>
                <c:pt idx="854">
                  <c:v>75</c:v>
                </c:pt>
                <c:pt idx="855">
                  <c:v>62</c:v>
                </c:pt>
                <c:pt idx="856">
                  <c:v>29</c:v>
                </c:pt>
                <c:pt idx="857">
                  <c:v>168</c:v>
                </c:pt>
                <c:pt idx="858">
                  <c:v>70</c:v>
                </c:pt>
                <c:pt idx="859">
                  <c:v>169</c:v>
                </c:pt>
                <c:pt idx="860">
                  <c:v>32</c:v>
                </c:pt>
                <c:pt idx="861">
                  <c:v>44</c:v>
                </c:pt>
                <c:pt idx="862">
                  <c:v>116</c:v>
                </c:pt>
                <c:pt idx="863">
                  <c:v>156</c:v>
                </c:pt>
                <c:pt idx="864">
                  <c:v>62</c:v>
                </c:pt>
                <c:pt idx="865">
                  <c:v>54</c:v>
                </c:pt>
                <c:pt idx="866">
                  <c:v>111</c:v>
                </c:pt>
                <c:pt idx="867">
                  <c:v>158</c:v>
                </c:pt>
                <c:pt idx="868">
                  <c:v>7</c:v>
                </c:pt>
                <c:pt idx="869">
                  <c:v>61</c:v>
                </c:pt>
                <c:pt idx="870">
                  <c:v>61</c:v>
                </c:pt>
                <c:pt idx="871">
                  <c:v>154</c:v>
                </c:pt>
                <c:pt idx="872">
                  <c:v>62</c:v>
                </c:pt>
                <c:pt idx="873">
                  <c:v>169</c:v>
                </c:pt>
                <c:pt idx="874">
                  <c:v>61</c:v>
                </c:pt>
                <c:pt idx="875">
                  <c:v>61</c:v>
                </c:pt>
                <c:pt idx="876">
                  <c:v>171</c:v>
                </c:pt>
                <c:pt idx="877">
                  <c:v>60</c:v>
                </c:pt>
                <c:pt idx="878">
                  <c:v>25</c:v>
                </c:pt>
                <c:pt idx="879">
                  <c:v>163</c:v>
                </c:pt>
                <c:pt idx="880">
                  <c:v>173</c:v>
                </c:pt>
                <c:pt idx="881">
                  <c:v>257</c:v>
                </c:pt>
                <c:pt idx="882">
                  <c:v>108</c:v>
                </c:pt>
                <c:pt idx="883">
                  <c:v>177</c:v>
                </c:pt>
                <c:pt idx="884">
                  <c:v>106</c:v>
                </c:pt>
                <c:pt idx="885">
                  <c:v>41</c:v>
                </c:pt>
                <c:pt idx="886">
                  <c:v>168</c:v>
                </c:pt>
                <c:pt idx="887">
                  <c:v>60</c:v>
                </c:pt>
                <c:pt idx="888">
                  <c:v>31</c:v>
                </c:pt>
                <c:pt idx="889">
                  <c:v>179</c:v>
                </c:pt>
                <c:pt idx="890">
                  <c:v>106</c:v>
                </c:pt>
                <c:pt idx="891">
                  <c:v>60</c:v>
                </c:pt>
                <c:pt idx="892">
                  <c:v>180</c:v>
                </c:pt>
                <c:pt idx="893">
                  <c:v>60</c:v>
                </c:pt>
                <c:pt idx="894">
                  <c:v>59</c:v>
                </c:pt>
                <c:pt idx="895">
                  <c:v>170</c:v>
                </c:pt>
                <c:pt idx="896">
                  <c:v>59</c:v>
                </c:pt>
                <c:pt idx="897">
                  <c:v>24</c:v>
                </c:pt>
                <c:pt idx="898">
                  <c:v>105</c:v>
                </c:pt>
                <c:pt idx="899">
                  <c:v>103</c:v>
                </c:pt>
                <c:pt idx="900">
                  <c:v>171</c:v>
                </c:pt>
                <c:pt idx="901">
                  <c:v>102</c:v>
                </c:pt>
                <c:pt idx="902">
                  <c:v>98</c:v>
                </c:pt>
                <c:pt idx="903">
                  <c:v>59</c:v>
                </c:pt>
                <c:pt idx="904">
                  <c:v>189</c:v>
                </c:pt>
                <c:pt idx="905">
                  <c:v>58</c:v>
                </c:pt>
                <c:pt idx="906">
                  <c:v>60</c:v>
                </c:pt>
                <c:pt idx="907">
                  <c:v>58</c:v>
                </c:pt>
                <c:pt idx="908">
                  <c:v>94</c:v>
                </c:pt>
                <c:pt idx="909">
                  <c:v>193</c:v>
                </c:pt>
                <c:pt idx="910">
                  <c:v>199</c:v>
                </c:pt>
                <c:pt idx="911">
                  <c:v>202</c:v>
                </c:pt>
                <c:pt idx="912">
                  <c:v>58</c:v>
                </c:pt>
                <c:pt idx="913">
                  <c:v>57</c:v>
                </c:pt>
                <c:pt idx="914">
                  <c:v>204</c:v>
                </c:pt>
                <c:pt idx="915">
                  <c:v>98</c:v>
                </c:pt>
                <c:pt idx="916">
                  <c:v>22</c:v>
                </c:pt>
                <c:pt idx="917">
                  <c:v>97</c:v>
                </c:pt>
                <c:pt idx="918">
                  <c:v>57</c:v>
                </c:pt>
                <c:pt idx="919">
                  <c:v>97</c:v>
                </c:pt>
                <c:pt idx="920">
                  <c:v>97</c:v>
                </c:pt>
                <c:pt idx="921">
                  <c:v>96</c:v>
                </c:pt>
                <c:pt idx="922">
                  <c:v>94</c:v>
                </c:pt>
                <c:pt idx="923">
                  <c:v>26</c:v>
                </c:pt>
                <c:pt idx="924">
                  <c:v>93</c:v>
                </c:pt>
                <c:pt idx="925">
                  <c:v>93</c:v>
                </c:pt>
                <c:pt idx="926">
                  <c:v>92</c:v>
                </c:pt>
                <c:pt idx="927">
                  <c:v>57</c:v>
                </c:pt>
                <c:pt idx="928">
                  <c:v>57</c:v>
                </c:pt>
                <c:pt idx="929">
                  <c:v>57</c:v>
                </c:pt>
                <c:pt idx="930">
                  <c:v>128</c:v>
                </c:pt>
                <c:pt idx="931">
                  <c:v>89</c:v>
                </c:pt>
                <c:pt idx="932">
                  <c:v>221</c:v>
                </c:pt>
                <c:pt idx="933">
                  <c:v>205</c:v>
                </c:pt>
                <c:pt idx="934">
                  <c:v>191</c:v>
                </c:pt>
                <c:pt idx="935">
                  <c:v>206</c:v>
                </c:pt>
                <c:pt idx="936">
                  <c:v>56</c:v>
                </c:pt>
                <c:pt idx="937">
                  <c:v>88</c:v>
                </c:pt>
                <c:pt idx="938">
                  <c:v>224</c:v>
                </c:pt>
                <c:pt idx="939">
                  <c:v>193</c:v>
                </c:pt>
                <c:pt idx="940">
                  <c:v>87</c:v>
                </c:pt>
                <c:pt idx="941">
                  <c:v>189</c:v>
                </c:pt>
                <c:pt idx="942">
                  <c:v>55</c:v>
                </c:pt>
                <c:pt idx="943">
                  <c:v>85</c:v>
                </c:pt>
                <c:pt idx="944">
                  <c:v>252</c:v>
                </c:pt>
                <c:pt idx="945">
                  <c:v>197</c:v>
                </c:pt>
                <c:pt idx="946">
                  <c:v>17</c:v>
                </c:pt>
                <c:pt idx="947">
                  <c:v>100</c:v>
                </c:pt>
                <c:pt idx="948">
                  <c:v>80</c:v>
                </c:pt>
                <c:pt idx="949">
                  <c:v>75</c:v>
                </c:pt>
                <c:pt idx="950">
                  <c:v>26</c:v>
                </c:pt>
                <c:pt idx="951">
                  <c:v>55</c:v>
                </c:pt>
                <c:pt idx="952">
                  <c:v>157</c:v>
                </c:pt>
                <c:pt idx="953">
                  <c:v>200</c:v>
                </c:pt>
                <c:pt idx="954">
                  <c:v>230</c:v>
                </c:pt>
                <c:pt idx="955">
                  <c:v>213</c:v>
                </c:pt>
                <c:pt idx="956">
                  <c:v>55</c:v>
                </c:pt>
                <c:pt idx="957">
                  <c:v>220</c:v>
                </c:pt>
                <c:pt idx="958">
                  <c:v>150</c:v>
                </c:pt>
                <c:pt idx="959">
                  <c:v>203</c:v>
                </c:pt>
                <c:pt idx="960">
                  <c:v>93</c:v>
                </c:pt>
                <c:pt idx="961">
                  <c:v>290</c:v>
                </c:pt>
                <c:pt idx="962">
                  <c:v>48</c:v>
                </c:pt>
                <c:pt idx="963">
                  <c:v>221</c:v>
                </c:pt>
                <c:pt idx="964">
                  <c:v>55</c:v>
                </c:pt>
                <c:pt idx="965">
                  <c:v>227</c:v>
                </c:pt>
                <c:pt idx="966">
                  <c:v>55</c:v>
                </c:pt>
                <c:pt idx="967">
                  <c:v>207</c:v>
                </c:pt>
                <c:pt idx="968">
                  <c:v>64</c:v>
                </c:pt>
                <c:pt idx="969">
                  <c:v>89</c:v>
                </c:pt>
                <c:pt idx="970">
                  <c:v>54</c:v>
                </c:pt>
                <c:pt idx="971">
                  <c:v>84</c:v>
                </c:pt>
                <c:pt idx="972">
                  <c:v>209</c:v>
                </c:pt>
                <c:pt idx="973">
                  <c:v>79</c:v>
                </c:pt>
                <c:pt idx="974">
                  <c:v>54</c:v>
                </c:pt>
                <c:pt idx="975">
                  <c:v>229</c:v>
                </c:pt>
                <c:pt idx="976">
                  <c:v>158</c:v>
                </c:pt>
                <c:pt idx="977">
                  <c:v>248</c:v>
                </c:pt>
                <c:pt idx="978">
                  <c:v>199</c:v>
                </c:pt>
                <c:pt idx="979">
                  <c:v>253</c:v>
                </c:pt>
                <c:pt idx="980">
                  <c:v>257</c:v>
                </c:pt>
                <c:pt idx="981">
                  <c:v>193</c:v>
                </c:pt>
                <c:pt idx="982">
                  <c:v>109</c:v>
                </c:pt>
                <c:pt idx="983">
                  <c:v>214</c:v>
                </c:pt>
                <c:pt idx="984">
                  <c:v>141</c:v>
                </c:pt>
                <c:pt idx="985">
                  <c:v>201</c:v>
                </c:pt>
                <c:pt idx="986">
                  <c:v>54</c:v>
                </c:pt>
                <c:pt idx="987">
                  <c:v>83</c:v>
                </c:pt>
                <c:pt idx="988">
                  <c:v>54</c:v>
                </c:pt>
                <c:pt idx="989">
                  <c:v>53</c:v>
                </c:pt>
                <c:pt idx="990">
                  <c:v>258</c:v>
                </c:pt>
                <c:pt idx="991">
                  <c:v>199</c:v>
                </c:pt>
                <c:pt idx="992">
                  <c:v>82</c:v>
                </c:pt>
                <c:pt idx="993">
                  <c:v>139</c:v>
                </c:pt>
                <c:pt idx="994">
                  <c:v>53</c:v>
                </c:pt>
                <c:pt idx="995">
                  <c:v>53</c:v>
                </c:pt>
                <c:pt idx="996">
                  <c:v>101</c:v>
                </c:pt>
                <c:pt idx="997">
                  <c:v>262</c:v>
                </c:pt>
                <c:pt idx="998">
                  <c:v>82</c:v>
                </c:pt>
                <c:pt idx="999">
                  <c:v>154</c:v>
                </c:pt>
                <c:pt idx="1000">
                  <c:v>52</c:v>
                </c:pt>
                <c:pt idx="1001">
                  <c:v>1599</c:v>
                </c:pt>
                <c:pt idx="1002">
                  <c:v>338</c:v>
                </c:pt>
                <c:pt idx="1003">
                  <c:v>51</c:v>
                </c:pt>
                <c:pt idx="1004">
                  <c:v>224</c:v>
                </c:pt>
                <c:pt idx="1005">
                  <c:v>207</c:v>
                </c:pt>
                <c:pt idx="1006">
                  <c:v>51</c:v>
                </c:pt>
                <c:pt idx="1007">
                  <c:v>82</c:v>
                </c:pt>
                <c:pt idx="1008">
                  <c:v>50</c:v>
                </c:pt>
                <c:pt idx="1009">
                  <c:v>263</c:v>
                </c:pt>
                <c:pt idx="1010">
                  <c:v>50</c:v>
                </c:pt>
                <c:pt idx="1011">
                  <c:v>245</c:v>
                </c:pt>
                <c:pt idx="1012">
                  <c:v>82</c:v>
                </c:pt>
                <c:pt idx="1013">
                  <c:v>229</c:v>
                </c:pt>
                <c:pt idx="1014">
                  <c:v>50</c:v>
                </c:pt>
                <c:pt idx="1015">
                  <c:v>220</c:v>
                </c:pt>
                <c:pt idx="1016">
                  <c:v>263</c:v>
                </c:pt>
                <c:pt idx="1017">
                  <c:v>81</c:v>
                </c:pt>
                <c:pt idx="1018">
                  <c:v>50</c:v>
                </c:pt>
                <c:pt idx="1019">
                  <c:v>49</c:v>
                </c:pt>
                <c:pt idx="1020">
                  <c:v>237</c:v>
                </c:pt>
                <c:pt idx="1021">
                  <c:v>264</c:v>
                </c:pt>
                <c:pt idx="1022">
                  <c:v>49</c:v>
                </c:pt>
                <c:pt idx="1023">
                  <c:v>63</c:v>
                </c:pt>
                <c:pt idx="1024">
                  <c:v>81</c:v>
                </c:pt>
                <c:pt idx="1025">
                  <c:v>264</c:v>
                </c:pt>
                <c:pt idx="1026">
                  <c:v>48</c:v>
                </c:pt>
                <c:pt idx="1027">
                  <c:v>48</c:v>
                </c:pt>
                <c:pt idx="1028">
                  <c:v>245</c:v>
                </c:pt>
                <c:pt idx="1029">
                  <c:v>146</c:v>
                </c:pt>
                <c:pt idx="1030">
                  <c:v>245</c:v>
                </c:pt>
                <c:pt idx="1031">
                  <c:v>245</c:v>
                </c:pt>
                <c:pt idx="1032">
                  <c:v>80</c:v>
                </c:pt>
                <c:pt idx="1033">
                  <c:v>269</c:v>
                </c:pt>
                <c:pt idx="1034">
                  <c:v>80</c:v>
                </c:pt>
                <c:pt idx="1035">
                  <c:v>284</c:v>
                </c:pt>
                <c:pt idx="1036">
                  <c:v>313</c:v>
                </c:pt>
                <c:pt idx="1037">
                  <c:v>80</c:v>
                </c:pt>
                <c:pt idx="1038">
                  <c:v>48</c:v>
                </c:pt>
                <c:pt idx="1039">
                  <c:v>87</c:v>
                </c:pt>
                <c:pt idx="1040">
                  <c:v>47</c:v>
                </c:pt>
                <c:pt idx="1041">
                  <c:v>140</c:v>
                </c:pt>
                <c:pt idx="1042">
                  <c:v>47</c:v>
                </c:pt>
                <c:pt idx="1043">
                  <c:v>79</c:v>
                </c:pt>
                <c:pt idx="1044">
                  <c:v>78</c:v>
                </c:pt>
                <c:pt idx="1045">
                  <c:v>47</c:v>
                </c:pt>
                <c:pt idx="1046">
                  <c:v>185</c:v>
                </c:pt>
                <c:pt idx="1047">
                  <c:v>77</c:v>
                </c:pt>
                <c:pt idx="1048">
                  <c:v>259</c:v>
                </c:pt>
                <c:pt idx="1049">
                  <c:v>75</c:v>
                </c:pt>
                <c:pt idx="1050">
                  <c:v>75</c:v>
                </c:pt>
                <c:pt idx="1051">
                  <c:v>46</c:v>
                </c:pt>
                <c:pt idx="1052">
                  <c:v>46</c:v>
                </c:pt>
                <c:pt idx="1053">
                  <c:v>200</c:v>
                </c:pt>
                <c:pt idx="1054">
                  <c:v>46</c:v>
                </c:pt>
                <c:pt idx="1055">
                  <c:v>126</c:v>
                </c:pt>
                <c:pt idx="1056">
                  <c:v>74</c:v>
                </c:pt>
                <c:pt idx="1057">
                  <c:v>45</c:v>
                </c:pt>
                <c:pt idx="1058">
                  <c:v>74</c:v>
                </c:pt>
                <c:pt idx="1059">
                  <c:v>129</c:v>
                </c:pt>
                <c:pt idx="1060">
                  <c:v>122</c:v>
                </c:pt>
                <c:pt idx="1061">
                  <c:v>74</c:v>
                </c:pt>
                <c:pt idx="1062">
                  <c:v>278</c:v>
                </c:pt>
                <c:pt idx="1063">
                  <c:v>282</c:v>
                </c:pt>
                <c:pt idx="1064">
                  <c:v>45</c:v>
                </c:pt>
                <c:pt idx="1065">
                  <c:v>45</c:v>
                </c:pt>
                <c:pt idx="1066">
                  <c:v>45</c:v>
                </c:pt>
                <c:pt idx="1067">
                  <c:v>73</c:v>
                </c:pt>
                <c:pt idx="1068">
                  <c:v>45</c:v>
                </c:pt>
                <c:pt idx="1069">
                  <c:v>72</c:v>
                </c:pt>
                <c:pt idx="1070">
                  <c:v>71</c:v>
                </c:pt>
                <c:pt idx="1071">
                  <c:v>45</c:v>
                </c:pt>
                <c:pt idx="1072">
                  <c:v>286</c:v>
                </c:pt>
                <c:pt idx="1073">
                  <c:v>294</c:v>
                </c:pt>
                <c:pt idx="1074">
                  <c:v>223</c:v>
                </c:pt>
                <c:pt idx="1075">
                  <c:v>20</c:v>
                </c:pt>
                <c:pt idx="1076">
                  <c:v>302</c:v>
                </c:pt>
                <c:pt idx="1077">
                  <c:v>113</c:v>
                </c:pt>
                <c:pt idx="1078">
                  <c:v>44</c:v>
                </c:pt>
                <c:pt idx="1079">
                  <c:v>305</c:v>
                </c:pt>
                <c:pt idx="1080">
                  <c:v>306</c:v>
                </c:pt>
                <c:pt idx="1081">
                  <c:v>70</c:v>
                </c:pt>
                <c:pt idx="1082">
                  <c:v>44</c:v>
                </c:pt>
                <c:pt idx="1083">
                  <c:v>44</c:v>
                </c:pt>
                <c:pt idx="1084">
                  <c:v>319</c:v>
                </c:pt>
                <c:pt idx="1085">
                  <c:v>287</c:v>
                </c:pt>
                <c:pt idx="1086">
                  <c:v>44</c:v>
                </c:pt>
                <c:pt idx="1087">
                  <c:v>288</c:v>
                </c:pt>
                <c:pt idx="1088">
                  <c:v>49</c:v>
                </c:pt>
                <c:pt idx="1089">
                  <c:v>43</c:v>
                </c:pt>
                <c:pt idx="1090">
                  <c:v>43</c:v>
                </c:pt>
                <c:pt idx="1091">
                  <c:v>68</c:v>
                </c:pt>
                <c:pt idx="1092">
                  <c:v>320</c:v>
                </c:pt>
                <c:pt idx="1093">
                  <c:v>67</c:v>
                </c:pt>
                <c:pt idx="1094">
                  <c:v>66</c:v>
                </c:pt>
                <c:pt idx="1095">
                  <c:v>321</c:v>
                </c:pt>
                <c:pt idx="1096">
                  <c:v>43</c:v>
                </c:pt>
                <c:pt idx="1097">
                  <c:v>114</c:v>
                </c:pt>
                <c:pt idx="1098">
                  <c:v>43</c:v>
                </c:pt>
                <c:pt idx="1099">
                  <c:v>43</c:v>
                </c:pt>
                <c:pt idx="1100">
                  <c:v>637</c:v>
                </c:pt>
                <c:pt idx="1101">
                  <c:v>300</c:v>
                </c:pt>
                <c:pt idx="1102">
                  <c:v>341</c:v>
                </c:pt>
                <c:pt idx="1103">
                  <c:v>102</c:v>
                </c:pt>
                <c:pt idx="1104">
                  <c:v>328</c:v>
                </c:pt>
                <c:pt idx="1105">
                  <c:v>341</c:v>
                </c:pt>
                <c:pt idx="1106">
                  <c:v>62</c:v>
                </c:pt>
                <c:pt idx="1107">
                  <c:v>42</c:v>
                </c:pt>
                <c:pt idx="1108">
                  <c:v>62</c:v>
                </c:pt>
                <c:pt idx="1109">
                  <c:v>42</c:v>
                </c:pt>
                <c:pt idx="1110">
                  <c:v>42</c:v>
                </c:pt>
                <c:pt idx="1111">
                  <c:v>313</c:v>
                </c:pt>
                <c:pt idx="1112">
                  <c:v>109</c:v>
                </c:pt>
                <c:pt idx="1113">
                  <c:v>226</c:v>
                </c:pt>
                <c:pt idx="1114">
                  <c:v>62</c:v>
                </c:pt>
                <c:pt idx="1115">
                  <c:v>61</c:v>
                </c:pt>
                <c:pt idx="1116">
                  <c:v>222</c:v>
                </c:pt>
                <c:pt idx="1117">
                  <c:v>342</c:v>
                </c:pt>
                <c:pt idx="1118">
                  <c:v>344</c:v>
                </c:pt>
                <c:pt idx="1119">
                  <c:v>345</c:v>
                </c:pt>
                <c:pt idx="1120">
                  <c:v>46</c:v>
                </c:pt>
                <c:pt idx="1121">
                  <c:v>255</c:v>
                </c:pt>
                <c:pt idx="1122">
                  <c:v>360</c:v>
                </c:pt>
                <c:pt idx="1123">
                  <c:v>372</c:v>
                </c:pt>
                <c:pt idx="1124">
                  <c:v>61</c:v>
                </c:pt>
                <c:pt idx="1125">
                  <c:v>42</c:v>
                </c:pt>
                <c:pt idx="1126">
                  <c:v>42</c:v>
                </c:pt>
                <c:pt idx="1127">
                  <c:v>61</c:v>
                </c:pt>
                <c:pt idx="1128">
                  <c:v>41</c:v>
                </c:pt>
                <c:pt idx="1129">
                  <c:v>40</c:v>
                </c:pt>
                <c:pt idx="1130">
                  <c:v>59</c:v>
                </c:pt>
                <c:pt idx="1131">
                  <c:v>57</c:v>
                </c:pt>
                <c:pt idx="1132">
                  <c:v>17</c:v>
                </c:pt>
                <c:pt idx="1133">
                  <c:v>40</c:v>
                </c:pt>
                <c:pt idx="1134">
                  <c:v>349</c:v>
                </c:pt>
                <c:pt idx="1135">
                  <c:v>335</c:v>
                </c:pt>
                <c:pt idx="1136">
                  <c:v>40</c:v>
                </c:pt>
                <c:pt idx="1137">
                  <c:v>40</c:v>
                </c:pt>
                <c:pt idx="1138">
                  <c:v>40</c:v>
                </c:pt>
                <c:pt idx="1139">
                  <c:v>352</c:v>
                </c:pt>
                <c:pt idx="1140">
                  <c:v>55</c:v>
                </c:pt>
                <c:pt idx="1141">
                  <c:v>352</c:v>
                </c:pt>
                <c:pt idx="1142">
                  <c:v>53</c:v>
                </c:pt>
                <c:pt idx="1143">
                  <c:v>51</c:v>
                </c:pt>
                <c:pt idx="1144">
                  <c:v>40</c:v>
                </c:pt>
                <c:pt idx="1145">
                  <c:v>39</c:v>
                </c:pt>
                <c:pt idx="1146">
                  <c:v>355</c:v>
                </c:pt>
                <c:pt idx="1147">
                  <c:v>357</c:v>
                </c:pt>
                <c:pt idx="1148">
                  <c:v>38</c:v>
                </c:pt>
                <c:pt idx="1149">
                  <c:v>38</c:v>
                </c:pt>
                <c:pt idx="1150">
                  <c:v>141</c:v>
                </c:pt>
                <c:pt idx="1151">
                  <c:v>36</c:v>
                </c:pt>
                <c:pt idx="1152">
                  <c:v>351</c:v>
                </c:pt>
                <c:pt idx="1153">
                  <c:v>369</c:v>
                </c:pt>
                <c:pt idx="1154">
                  <c:v>53</c:v>
                </c:pt>
                <c:pt idx="1155">
                  <c:v>371</c:v>
                </c:pt>
                <c:pt idx="1156">
                  <c:v>499</c:v>
                </c:pt>
                <c:pt idx="1157">
                  <c:v>223</c:v>
                </c:pt>
                <c:pt idx="1158">
                  <c:v>50</c:v>
                </c:pt>
                <c:pt idx="1159">
                  <c:v>391</c:v>
                </c:pt>
                <c:pt idx="1160">
                  <c:v>416</c:v>
                </c:pt>
                <c:pt idx="1161">
                  <c:v>424</c:v>
                </c:pt>
                <c:pt idx="1162">
                  <c:v>362</c:v>
                </c:pt>
                <c:pt idx="1163">
                  <c:v>36</c:v>
                </c:pt>
                <c:pt idx="1164">
                  <c:v>34</c:v>
                </c:pt>
                <c:pt idx="1165">
                  <c:v>367</c:v>
                </c:pt>
                <c:pt idx="1166">
                  <c:v>425</c:v>
                </c:pt>
                <c:pt idx="1167">
                  <c:v>433</c:v>
                </c:pt>
                <c:pt idx="1168">
                  <c:v>460</c:v>
                </c:pt>
                <c:pt idx="1169">
                  <c:v>62</c:v>
                </c:pt>
                <c:pt idx="1170">
                  <c:v>50</c:v>
                </c:pt>
                <c:pt idx="1171">
                  <c:v>460</c:v>
                </c:pt>
                <c:pt idx="1172">
                  <c:v>34</c:v>
                </c:pt>
                <c:pt idx="1173">
                  <c:v>227</c:v>
                </c:pt>
                <c:pt idx="1174">
                  <c:v>469</c:v>
                </c:pt>
                <c:pt idx="1175">
                  <c:v>103</c:v>
                </c:pt>
                <c:pt idx="1176">
                  <c:v>34</c:v>
                </c:pt>
                <c:pt idx="1177">
                  <c:v>137</c:v>
                </c:pt>
                <c:pt idx="1178">
                  <c:v>34</c:v>
                </c:pt>
                <c:pt idx="1179">
                  <c:v>474</c:v>
                </c:pt>
                <c:pt idx="1180">
                  <c:v>50</c:v>
                </c:pt>
                <c:pt idx="1181">
                  <c:v>69</c:v>
                </c:pt>
                <c:pt idx="1182">
                  <c:v>389</c:v>
                </c:pt>
                <c:pt idx="1183">
                  <c:v>77</c:v>
                </c:pt>
                <c:pt idx="1184">
                  <c:v>51</c:v>
                </c:pt>
                <c:pt idx="1185">
                  <c:v>394</c:v>
                </c:pt>
                <c:pt idx="1186">
                  <c:v>48</c:v>
                </c:pt>
                <c:pt idx="1187">
                  <c:v>34</c:v>
                </c:pt>
                <c:pt idx="1188">
                  <c:v>484</c:v>
                </c:pt>
                <c:pt idx="1189">
                  <c:v>47</c:v>
                </c:pt>
                <c:pt idx="1190">
                  <c:v>45</c:v>
                </c:pt>
                <c:pt idx="1191">
                  <c:v>128</c:v>
                </c:pt>
                <c:pt idx="1192">
                  <c:v>669</c:v>
                </c:pt>
                <c:pt idx="1193">
                  <c:v>34</c:v>
                </c:pt>
                <c:pt idx="1194">
                  <c:v>44</c:v>
                </c:pt>
                <c:pt idx="1195">
                  <c:v>33</c:v>
                </c:pt>
                <c:pt idx="1196">
                  <c:v>33</c:v>
                </c:pt>
                <c:pt idx="1197">
                  <c:v>487</c:v>
                </c:pt>
                <c:pt idx="1198">
                  <c:v>497</c:v>
                </c:pt>
                <c:pt idx="1199">
                  <c:v>508</c:v>
                </c:pt>
                <c:pt idx="1200">
                  <c:v>524</c:v>
                </c:pt>
                <c:pt idx="1201">
                  <c:v>425</c:v>
                </c:pt>
                <c:pt idx="1202">
                  <c:v>168</c:v>
                </c:pt>
                <c:pt idx="1203">
                  <c:v>141</c:v>
                </c:pt>
                <c:pt idx="1204">
                  <c:v>429</c:v>
                </c:pt>
                <c:pt idx="1205">
                  <c:v>44</c:v>
                </c:pt>
                <c:pt idx="1206">
                  <c:v>149</c:v>
                </c:pt>
                <c:pt idx="1207">
                  <c:v>44</c:v>
                </c:pt>
                <c:pt idx="1208">
                  <c:v>33</c:v>
                </c:pt>
                <c:pt idx="1209">
                  <c:v>33</c:v>
                </c:pt>
                <c:pt idx="1210">
                  <c:v>442</c:v>
                </c:pt>
                <c:pt idx="1211">
                  <c:v>41</c:v>
                </c:pt>
                <c:pt idx="1212">
                  <c:v>33</c:v>
                </c:pt>
                <c:pt idx="1213">
                  <c:v>32</c:v>
                </c:pt>
                <c:pt idx="1214">
                  <c:v>32</c:v>
                </c:pt>
                <c:pt idx="1215">
                  <c:v>179</c:v>
                </c:pt>
                <c:pt idx="1216">
                  <c:v>31</c:v>
                </c:pt>
                <c:pt idx="1217">
                  <c:v>140</c:v>
                </c:pt>
                <c:pt idx="1218">
                  <c:v>529</c:v>
                </c:pt>
                <c:pt idx="1219">
                  <c:v>534</c:v>
                </c:pt>
                <c:pt idx="1220">
                  <c:v>41</c:v>
                </c:pt>
                <c:pt idx="1221">
                  <c:v>379</c:v>
                </c:pt>
                <c:pt idx="1222">
                  <c:v>81</c:v>
                </c:pt>
                <c:pt idx="1223">
                  <c:v>40</c:v>
                </c:pt>
                <c:pt idx="1224">
                  <c:v>40</c:v>
                </c:pt>
                <c:pt idx="1225">
                  <c:v>534</c:v>
                </c:pt>
                <c:pt idx="1226">
                  <c:v>31</c:v>
                </c:pt>
                <c:pt idx="1227">
                  <c:v>473</c:v>
                </c:pt>
                <c:pt idx="1228">
                  <c:v>31</c:v>
                </c:pt>
                <c:pt idx="1229">
                  <c:v>31</c:v>
                </c:pt>
                <c:pt idx="1230">
                  <c:v>91</c:v>
                </c:pt>
                <c:pt idx="1231">
                  <c:v>30</c:v>
                </c:pt>
                <c:pt idx="1232">
                  <c:v>30</c:v>
                </c:pt>
                <c:pt idx="1233">
                  <c:v>40</c:v>
                </c:pt>
                <c:pt idx="1234">
                  <c:v>534</c:v>
                </c:pt>
                <c:pt idx="1235">
                  <c:v>539</c:v>
                </c:pt>
                <c:pt idx="1236">
                  <c:v>490</c:v>
                </c:pt>
                <c:pt idx="1237">
                  <c:v>163</c:v>
                </c:pt>
                <c:pt idx="1238">
                  <c:v>184</c:v>
                </c:pt>
                <c:pt idx="1239">
                  <c:v>494</c:v>
                </c:pt>
                <c:pt idx="1240">
                  <c:v>30</c:v>
                </c:pt>
                <c:pt idx="1241">
                  <c:v>30</c:v>
                </c:pt>
                <c:pt idx="1242">
                  <c:v>39</c:v>
                </c:pt>
                <c:pt idx="1243">
                  <c:v>1700</c:v>
                </c:pt>
                <c:pt idx="1244">
                  <c:v>332</c:v>
                </c:pt>
                <c:pt idx="1245">
                  <c:v>436</c:v>
                </c:pt>
                <c:pt idx="1246">
                  <c:v>30</c:v>
                </c:pt>
                <c:pt idx="1247">
                  <c:v>30</c:v>
                </c:pt>
                <c:pt idx="1248">
                  <c:v>38</c:v>
                </c:pt>
                <c:pt idx="1249">
                  <c:v>511</c:v>
                </c:pt>
                <c:pt idx="1250">
                  <c:v>37</c:v>
                </c:pt>
                <c:pt idx="1251">
                  <c:v>513</c:v>
                </c:pt>
                <c:pt idx="1252">
                  <c:v>516</c:v>
                </c:pt>
                <c:pt idx="1253">
                  <c:v>559</c:v>
                </c:pt>
                <c:pt idx="1254">
                  <c:v>29</c:v>
                </c:pt>
                <c:pt idx="1255">
                  <c:v>148</c:v>
                </c:pt>
                <c:pt idx="1256">
                  <c:v>559</c:v>
                </c:pt>
                <c:pt idx="1257">
                  <c:v>527</c:v>
                </c:pt>
                <c:pt idx="1258">
                  <c:v>560</c:v>
                </c:pt>
                <c:pt idx="1259">
                  <c:v>571</c:v>
                </c:pt>
                <c:pt idx="1260">
                  <c:v>29</c:v>
                </c:pt>
                <c:pt idx="1261">
                  <c:v>29</c:v>
                </c:pt>
                <c:pt idx="1262">
                  <c:v>29</c:v>
                </c:pt>
                <c:pt idx="1263">
                  <c:v>35</c:v>
                </c:pt>
                <c:pt idx="1264">
                  <c:v>579</c:v>
                </c:pt>
                <c:pt idx="1265">
                  <c:v>29</c:v>
                </c:pt>
                <c:pt idx="1266">
                  <c:v>593</c:v>
                </c:pt>
                <c:pt idx="1267">
                  <c:v>217</c:v>
                </c:pt>
                <c:pt idx="1268">
                  <c:v>353</c:v>
                </c:pt>
                <c:pt idx="1269">
                  <c:v>382</c:v>
                </c:pt>
                <c:pt idx="1270">
                  <c:v>597</c:v>
                </c:pt>
                <c:pt idx="1271">
                  <c:v>212</c:v>
                </c:pt>
                <c:pt idx="1272">
                  <c:v>689</c:v>
                </c:pt>
                <c:pt idx="1273">
                  <c:v>28</c:v>
                </c:pt>
                <c:pt idx="1274">
                  <c:v>34</c:v>
                </c:pt>
                <c:pt idx="1275">
                  <c:v>600</c:v>
                </c:pt>
                <c:pt idx="1276">
                  <c:v>637</c:v>
                </c:pt>
                <c:pt idx="1277">
                  <c:v>616</c:v>
                </c:pt>
                <c:pt idx="1278">
                  <c:v>624</c:v>
                </c:pt>
                <c:pt idx="1279">
                  <c:v>28</c:v>
                </c:pt>
                <c:pt idx="1280">
                  <c:v>584</c:v>
                </c:pt>
                <c:pt idx="1281">
                  <c:v>28</c:v>
                </c:pt>
                <c:pt idx="1282">
                  <c:v>33</c:v>
                </c:pt>
                <c:pt idx="1283">
                  <c:v>27</c:v>
                </c:pt>
                <c:pt idx="1284">
                  <c:v>27</c:v>
                </c:pt>
                <c:pt idx="1285">
                  <c:v>27</c:v>
                </c:pt>
                <c:pt idx="1286">
                  <c:v>635</c:v>
                </c:pt>
                <c:pt idx="1287">
                  <c:v>598</c:v>
                </c:pt>
                <c:pt idx="1288">
                  <c:v>636</c:v>
                </c:pt>
                <c:pt idx="1289">
                  <c:v>27</c:v>
                </c:pt>
                <c:pt idx="1290">
                  <c:v>27</c:v>
                </c:pt>
                <c:pt idx="1291">
                  <c:v>637</c:v>
                </c:pt>
                <c:pt idx="1292">
                  <c:v>290</c:v>
                </c:pt>
                <c:pt idx="1293">
                  <c:v>27</c:v>
                </c:pt>
                <c:pt idx="1294">
                  <c:v>632</c:v>
                </c:pt>
                <c:pt idx="1295">
                  <c:v>643</c:v>
                </c:pt>
                <c:pt idx="1296">
                  <c:v>652</c:v>
                </c:pt>
                <c:pt idx="1297">
                  <c:v>33</c:v>
                </c:pt>
                <c:pt idx="1298">
                  <c:v>26</c:v>
                </c:pt>
                <c:pt idx="1299">
                  <c:v>633</c:v>
                </c:pt>
                <c:pt idx="1300">
                  <c:v>26</c:v>
                </c:pt>
                <c:pt idx="1301">
                  <c:v>191</c:v>
                </c:pt>
                <c:pt idx="1302">
                  <c:v>887</c:v>
                </c:pt>
                <c:pt idx="1303">
                  <c:v>637</c:v>
                </c:pt>
                <c:pt idx="1304">
                  <c:v>670</c:v>
                </c:pt>
                <c:pt idx="1305">
                  <c:v>26</c:v>
                </c:pt>
                <c:pt idx="1306">
                  <c:v>676</c:v>
                </c:pt>
                <c:pt idx="1307">
                  <c:v>26</c:v>
                </c:pt>
                <c:pt idx="1308">
                  <c:v>26</c:v>
                </c:pt>
                <c:pt idx="1309">
                  <c:v>25</c:v>
                </c:pt>
                <c:pt idx="1310">
                  <c:v>24</c:v>
                </c:pt>
                <c:pt idx="1311">
                  <c:v>32</c:v>
                </c:pt>
                <c:pt idx="1312">
                  <c:v>31</c:v>
                </c:pt>
                <c:pt idx="1313">
                  <c:v>651</c:v>
                </c:pt>
                <c:pt idx="1314">
                  <c:v>326</c:v>
                </c:pt>
                <c:pt idx="1315">
                  <c:v>30</c:v>
                </c:pt>
                <c:pt idx="1316">
                  <c:v>30</c:v>
                </c:pt>
                <c:pt idx="1317">
                  <c:v>662</c:v>
                </c:pt>
                <c:pt idx="1318">
                  <c:v>30</c:v>
                </c:pt>
                <c:pt idx="1319">
                  <c:v>29</c:v>
                </c:pt>
                <c:pt idx="1320">
                  <c:v>28</c:v>
                </c:pt>
                <c:pt idx="1321">
                  <c:v>28</c:v>
                </c:pt>
                <c:pt idx="1322">
                  <c:v>24</c:v>
                </c:pt>
                <c:pt idx="1323">
                  <c:v>28</c:v>
                </c:pt>
                <c:pt idx="1324">
                  <c:v>27</c:v>
                </c:pt>
                <c:pt idx="1325">
                  <c:v>27</c:v>
                </c:pt>
                <c:pt idx="1326">
                  <c:v>24</c:v>
                </c:pt>
                <c:pt idx="1327">
                  <c:v>23</c:v>
                </c:pt>
                <c:pt idx="1328">
                  <c:v>322</c:v>
                </c:pt>
                <c:pt idx="1329">
                  <c:v>688</c:v>
                </c:pt>
                <c:pt idx="1330">
                  <c:v>23</c:v>
                </c:pt>
                <c:pt idx="1331">
                  <c:v>26</c:v>
                </c:pt>
                <c:pt idx="1332">
                  <c:v>68</c:v>
                </c:pt>
                <c:pt idx="1333">
                  <c:v>462</c:v>
                </c:pt>
                <c:pt idx="1334">
                  <c:v>941</c:v>
                </c:pt>
                <c:pt idx="1335">
                  <c:v>23</c:v>
                </c:pt>
                <c:pt idx="1336">
                  <c:v>720</c:v>
                </c:pt>
                <c:pt idx="1337">
                  <c:v>724</c:v>
                </c:pt>
                <c:pt idx="1338">
                  <c:v>724</c:v>
                </c:pt>
                <c:pt idx="1339">
                  <c:v>26</c:v>
                </c:pt>
                <c:pt idx="1340">
                  <c:v>22</c:v>
                </c:pt>
                <c:pt idx="1341">
                  <c:v>711</c:v>
                </c:pt>
                <c:pt idx="1342">
                  <c:v>107</c:v>
                </c:pt>
                <c:pt idx="1343">
                  <c:v>765</c:v>
                </c:pt>
                <c:pt idx="1344">
                  <c:v>22</c:v>
                </c:pt>
                <c:pt idx="1345">
                  <c:v>26</c:v>
                </c:pt>
                <c:pt idx="1346">
                  <c:v>22</c:v>
                </c:pt>
                <c:pt idx="1347">
                  <c:v>743</c:v>
                </c:pt>
                <c:pt idx="1348">
                  <c:v>22</c:v>
                </c:pt>
                <c:pt idx="1349">
                  <c:v>781</c:v>
                </c:pt>
                <c:pt idx="1350">
                  <c:v>25</c:v>
                </c:pt>
                <c:pt idx="1351">
                  <c:v>25</c:v>
                </c:pt>
                <c:pt idx="1352">
                  <c:v>119</c:v>
                </c:pt>
                <c:pt idx="1353">
                  <c:v>785</c:v>
                </c:pt>
                <c:pt idx="1354">
                  <c:v>183</c:v>
                </c:pt>
                <c:pt idx="1355">
                  <c:v>22</c:v>
                </c:pt>
                <c:pt idx="1356">
                  <c:v>642</c:v>
                </c:pt>
                <c:pt idx="1357">
                  <c:v>767</c:v>
                </c:pt>
                <c:pt idx="1358">
                  <c:v>770</c:v>
                </c:pt>
                <c:pt idx="1359">
                  <c:v>21</c:v>
                </c:pt>
                <c:pt idx="1360">
                  <c:v>21</c:v>
                </c:pt>
                <c:pt idx="1361">
                  <c:v>492</c:v>
                </c:pt>
                <c:pt idx="1362">
                  <c:v>816</c:v>
                </c:pt>
                <c:pt idx="1363">
                  <c:v>25</c:v>
                </c:pt>
                <c:pt idx="1364">
                  <c:v>802</c:v>
                </c:pt>
                <c:pt idx="1365">
                  <c:v>811</c:v>
                </c:pt>
                <c:pt idx="1366">
                  <c:v>835</c:v>
                </c:pt>
                <c:pt idx="1367">
                  <c:v>21</c:v>
                </c:pt>
                <c:pt idx="1368">
                  <c:v>450</c:v>
                </c:pt>
                <c:pt idx="1369">
                  <c:v>24</c:v>
                </c:pt>
                <c:pt idx="1370">
                  <c:v>832</c:v>
                </c:pt>
                <c:pt idx="1371">
                  <c:v>833</c:v>
                </c:pt>
                <c:pt idx="1372">
                  <c:v>20</c:v>
                </c:pt>
                <c:pt idx="1373">
                  <c:v>23</c:v>
                </c:pt>
                <c:pt idx="1374">
                  <c:v>550</c:v>
                </c:pt>
                <c:pt idx="1375">
                  <c:v>148</c:v>
                </c:pt>
                <c:pt idx="1376">
                  <c:v>846</c:v>
                </c:pt>
                <c:pt idx="1377">
                  <c:v>856</c:v>
                </c:pt>
                <c:pt idx="1378">
                  <c:v>871</c:v>
                </c:pt>
                <c:pt idx="1379">
                  <c:v>19</c:v>
                </c:pt>
                <c:pt idx="1380">
                  <c:v>610</c:v>
                </c:pt>
                <c:pt idx="1381">
                  <c:v>880</c:v>
                </c:pt>
                <c:pt idx="1382">
                  <c:v>22</c:v>
                </c:pt>
                <c:pt idx="1383">
                  <c:v>22</c:v>
                </c:pt>
                <c:pt idx="1384">
                  <c:v>21</c:v>
                </c:pt>
                <c:pt idx="1385">
                  <c:v>18</c:v>
                </c:pt>
                <c:pt idx="1386">
                  <c:v>911</c:v>
                </c:pt>
                <c:pt idx="1387">
                  <c:v>18</c:v>
                </c:pt>
                <c:pt idx="1388">
                  <c:v>911</c:v>
                </c:pt>
                <c:pt idx="1389">
                  <c:v>143</c:v>
                </c:pt>
                <c:pt idx="1390">
                  <c:v>918</c:v>
                </c:pt>
                <c:pt idx="1391">
                  <c:v>925</c:v>
                </c:pt>
                <c:pt idx="1392">
                  <c:v>17</c:v>
                </c:pt>
                <c:pt idx="1393">
                  <c:v>465</c:v>
                </c:pt>
                <c:pt idx="1394">
                  <c:v>17</c:v>
                </c:pt>
                <c:pt idx="1395">
                  <c:v>935</c:v>
                </c:pt>
                <c:pt idx="1396">
                  <c:v>16</c:v>
                </c:pt>
                <c:pt idx="1397">
                  <c:v>954</c:v>
                </c:pt>
                <c:pt idx="1398">
                  <c:v>915</c:v>
                </c:pt>
                <c:pt idx="1399">
                  <c:v>955</c:v>
                </c:pt>
                <c:pt idx="1400">
                  <c:v>976</c:v>
                </c:pt>
                <c:pt idx="1401">
                  <c:v>1069</c:v>
                </c:pt>
                <c:pt idx="1402">
                  <c:v>19</c:v>
                </c:pt>
                <c:pt idx="1403">
                  <c:v>16</c:v>
                </c:pt>
                <c:pt idx="1404">
                  <c:v>1030</c:v>
                </c:pt>
                <c:pt idx="1405">
                  <c:v>620</c:v>
                </c:pt>
                <c:pt idx="1406">
                  <c:v>16</c:v>
                </c:pt>
                <c:pt idx="1407">
                  <c:v>19</c:v>
                </c:pt>
                <c:pt idx="1408">
                  <c:v>249</c:v>
                </c:pt>
                <c:pt idx="1409">
                  <c:v>16</c:v>
                </c:pt>
                <c:pt idx="1410">
                  <c:v>1361</c:v>
                </c:pt>
                <c:pt idx="1411">
                  <c:v>15</c:v>
                </c:pt>
                <c:pt idx="1412">
                  <c:v>1076</c:v>
                </c:pt>
                <c:pt idx="1413">
                  <c:v>18</c:v>
                </c:pt>
                <c:pt idx="1414">
                  <c:v>1101</c:v>
                </c:pt>
                <c:pt idx="1415">
                  <c:v>15</c:v>
                </c:pt>
                <c:pt idx="1416">
                  <c:v>1104</c:v>
                </c:pt>
                <c:pt idx="1417">
                  <c:v>14</c:v>
                </c:pt>
                <c:pt idx="1418">
                  <c:v>14</c:v>
                </c:pt>
                <c:pt idx="1419">
                  <c:v>14</c:v>
                </c:pt>
                <c:pt idx="1420">
                  <c:v>14</c:v>
                </c:pt>
                <c:pt idx="1421">
                  <c:v>13</c:v>
                </c:pt>
                <c:pt idx="1422">
                  <c:v>13</c:v>
                </c:pt>
                <c:pt idx="1423">
                  <c:v>1275</c:v>
                </c:pt>
                <c:pt idx="1424">
                  <c:v>17</c:v>
                </c:pt>
                <c:pt idx="1425">
                  <c:v>13</c:v>
                </c:pt>
                <c:pt idx="1426">
                  <c:v>1270</c:v>
                </c:pt>
                <c:pt idx="1427">
                  <c:v>13</c:v>
                </c:pt>
                <c:pt idx="1428">
                  <c:v>13</c:v>
                </c:pt>
                <c:pt idx="1429">
                  <c:v>17</c:v>
                </c:pt>
                <c:pt idx="1430">
                  <c:v>13</c:v>
                </c:pt>
                <c:pt idx="1431">
                  <c:v>13</c:v>
                </c:pt>
                <c:pt idx="1432">
                  <c:v>1263</c:v>
                </c:pt>
                <c:pt idx="1433">
                  <c:v>1629</c:v>
                </c:pt>
                <c:pt idx="1434">
                  <c:v>17</c:v>
                </c:pt>
                <c:pt idx="1435">
                  <c:v>17</c:v>
                </c:pt>
                <c:pt idx="1436">
                  <c:v>1250</c:v>
                </c:pt>
                <c:pt idx="1437">
                  <c:v>17</c:v>
                </c:pt>
                <c:pt idx="1438">
                  <c:v>977</c:v>
                </c:pt>
                <c:pt idx="1439">
                  <c:v>1246</c:v>
                </c:pt>
                <c:pt idx="1440">
                  <c:v>12</c:v>
                </c:pt>
                <c:pt idx="1441">
                  <c:v>11</c:v>
                </c:pt>
                <c:pt idx="1442">
                  <c:v>1327</c:v>
                </c:pt>
                <c:pt idx="1443">
                  <c:v>1319</c:v>
                </c:pt>
                <c:pt idx="1444">
                  <c:v>1402</c:v>
                </c:pt>
                <c:pt idx="1445">
                  <c:v>1514</c:v>
                </c:pt>
                <c:pt idx="1446">
                  <c:v>1351</c:v>
                </c:pt>
                <c:pt idx="1447">
                  <c:v>1355</c:v>
                </c:pt>
                <c:pt idx="1448">
                  <c:v>10</c:v>
                </c:pt>
                <c:pt idx="1449">
                  <c:v>10</c:v>
                </c:pt>
                <c:pt idx="1450">
                  <c:v>1582</c:v>
                </c:pt>
                <c:pt idx="1451">
                  <c:v>1218</c:v>
                </c:pt>
                <c:pt idx="1452">
                  <c:v>321</c:v>
                </c:pt>
                <c:pt idx="1453">
                  <c:v>736</c:v>
                </c:pt>
                <c:pt idx="1454">
                  <c:v>1218</c:v>
                </c:pt>
                <c:pt idx="1455">
                  <c:v>1027</c:v>
                </c:pt>
                <c:pt idx="1456">
                  <c:v>10</c:v>
                </c:pt>
                <c:pt idx="1457">
                  <c:v>2366</c:v>
                </c:pt>
                <c:pt idx="1458">
                  <c:v>9</c:v>
                </c:pt>
                <c:pt idx="1459">
                  <c:v>16</c:v>
                </c:pt>
                <c:pt idx="1460">
                  <c:v>9</c:v>
                </c:pt>
                <c:pt idx="1461">
                  <c:v>1560</c:v>
                </c:pt>
                <c:pt idx="1462">
                  <c:v>1137</c:v>
                </c:pt>
                <c:pt idx="1463">
                  <c:v>9</c:v>
                </c:pt>
                <c:pt idx="1464">
                  <c:v>15</c:v>
                </c:pt>
                <c:pt idx="1465">
                  <c:v>14</c:v>
                </c:pt>
                <c:pt idx="1466">
                  <c:v>14</c:v>
                </c:pt>
                <c:pt idx="1467">
                  <c:v>8</c:v>
                </c:pt>
                <c:pt idx="1468">
                  <c:v>1389</c:v>
                </c:pt>
                <c:pt idx="1469">
                  <c:v>8</c:v>
                </c:pt>
                <c:pt idx="1470">
                  <c:v>8</c:v>
                </c:pt>
                <c:pt idx="1471">
                  <c:v>13</c:v>
                </c:pt>
                <c:pt idx="1472">
                  <c:v>8</c:v>
                </c:pt>
                <c:pt idx="1473">
                  <c:v>12</c:v>
                </c:pt>
                <c:pt idx="1474">
                  <c:v>1716</c:v>
                </c:pt>
                <c:pt idx="1475">
                  <c:v>1117</c:v>
                </c:pt>
                <c:pt idx="1476">
                  <c:v>9</c:v>
                </c:pt>
                <c:pt idx="1477">
                  <c:v>332</c:v>
                </c:pt>
                <c:pt idx="1478">
                  <c:v>7</c:v>
                </c:pt>
                <c:pt idx="1479">
                  <c:v>8</c:v>
                </c:pt>
                <c:pt idx="1480">
                  <c:v>2061</c:v>
                </c:pt>
                <c:pt idx="1481">
                  <c:v>1103</c:v>
                </c:pt>
                <c:pt idx="1482">
                  <c:v>2103</c:v>
                </c:pt>
                <c:pt idx="1483">
                  <c:v>2115</c:v>
                </c:pt>
                <c:pt idx="1484">
                  <c:v>850</c:v>
                </c:pt>
                <c:pt idx="1485">
                  <c:v>1063</c:v>
                </c:pt>
                <c:pt idx="1486">
                  <c:v>1063</c:v>
                </c:pt>
                <c:pt idx="1487">
                  <c:v>2292</c:v>
                </c:pt>
                <c:pt idx="1488">
                  <c:v>7</c:v>
                </c:pt>
                <c:pt idx="1489">
                  <c:v>2452</c:v>
                </c:pt>
                <c:pt idx="1490">
                  <c:v>2457</c:v>
                </c:pt>
                <c:pt idx="1491">
                  <c:v>4</c:v>
                </c:pt>
                <c:pt idx="1492">
                  <c:v>2830</c:v>
                </c:pt>
                <c:pt idx="1493">
                  <c:v>7</c:v>
                </c:pt>
                <c:pt idx="1494">
                  <c:v>7</c:v>
                </c:pt>
                <c:pt idx="1495">
                  <c:v>7</c:v>
                </c:pt>
                <c:pt idx="1496">
                  <c:v>3151</c:v>
                </c:pt>
                <c:pt idx="1497">
                  <c:v>4141</c:v>
                </c:pt>
                <c:pt idx="1498">
                  <c:v>7</c:v>
                </c:pt>
                <c:pt idx="1499">
                  <c:v>4363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93-4297-B47A-4E833C9DF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288224"/>
        <c:axId val="1382283232"/>
      </c:scatterChart>
      <c:valAx>
        <c:axId val="138228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283232"/>
        <c:crosses val="autoZero"/>
        <c:crossBetween val="midCat"/>
      </c:valAx>
      <c:valAx>
        <c:axId val="138228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28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[DIY-IV(A).xlsx]Task-10!PivotTable7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by PaymentMode</a:t>
            </a:r>
            <a:endParaRPr lang="en-IN"/>
          </a:p>
        </c:rich>
      </c:tx>
      <c:layout>
        <c:manualLayout>
          <c:xMode val="edge"/>
          <c:yMode val="edge"/>
          <c:x val="0.3689096675415573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'Task-10'!$C$2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'Task-10'!$B$3:$B$8</c:f>
              <c:strCache>
                <c:ptCount val="5"/>
                <c:pt idx="0">
                  <c:v>EMI</c:v>
                </c:pt>
                <c:pt idx="1">
                  <c:v>Credit Card</c:v>
                </c:pt>
                <c:pt idx="2">
                  <c:v>Debit Card</c:v>
                </c:pt>
                <c:pt idx="3">
                  <c:v>COD</c:v>
                </c:pt>
                <c:pt idx="4">
                  <c:v>UPI</c:v>
                </c:pt>
              </c:strCache>
            </c:strRef>
          </c:cat>
          <c:val>
            <c:numRef>
              <c:f>'Task-10'!$C$3:$C$8</c:f>
              <c:numCache>
                <c:formatCode>General</c:formatCode>
                <c:ptCount val="5"/>
                <c:pt idx="0">
                  <c:v>649.00833333333333</c:v>
                </c:pt>
                <c:pt idx="1">
                  <c:v>533.32515337423308</c:v>
                </c:pt>
                <c:pt idx="2">
                  <c:v>243.24752475247524</c:v>
                </c:pt>
                <c:pt idx="3">
                  <c:v>226.87280701754386</c:v>
                </c:pt>
                <c:pt idx="4">
                  <c:v>207.37462235649548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8-4E62-ACAF-CD81D1BAC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5275808"/>
        <c:axId val="1465280384"/>
      </c:barChart>
      <c:catAx>
        <c:axId val="1465275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280384"/>
        <c:crosses val="autoZero"/>
        <c:auto val="1"/>
        <c:lblAlgn val="ctr"/>
        <c:lblOffset val="100"/>
        <c:noMultiLvlLbl val="0"/>
      </c:catAx>
      <c:valAx>
        <c:axId val="146528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27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txData>
          <cx:v>Profit Distriution by 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n>
                <a:noFill/>
              </a:ln>
            </a:defRPr>
          </a:pPr>
          <a:r>
            <a:rPr lang="en-US" sz="1400" b="0" i="0" u="none" strike="noStrike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Profit Distriution by Category</a:t>
          </a:r>
        </a:p>
      </cx:txPr>
    </cx:title>
    <cx:plotArea>
      <cx:plotAreaRegion>
        <cx:series layoutId="boxWhisker" uniqueId="{970757A4-2526-4D5D-A894-1F0FD00C55A6}">
          <cx:tx>
            <cx:txData>
              <cx:f>_xlchart.v1.0</cx:f>
              <cx:v>Electronics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BF4F314-879E-46B9-B76A-084B5D4E6A39}">
          <cx:tx>
            <cx:txData>
              <cx:f>_xlchart.v1.2</cx:f>
              <cx:v>Furniture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935A867-299B-4693-B09B-D2153015D20D}">
          <cx:tx>
            <cx:txData>
              <cx:f>_xlchart.v1.4</cx:f>
              <cx:v>Clothing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N">
              <a:ln>
                <a:noFill/>
              </a:ln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ln>
                  <a:noFill/>
                </a:ln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N">
              <a:ln>
                <a:noFill/>
              </a:ln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5</xdr:row>
      <xdr:rowOff>90487</xdr:rowOff>
    </xdr:from>
    <xdr:to>
      <xdr:col>9</xdr:col>
      <xdr:colOff>466725</xdr:colOff>
      <xdr:row>19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D3A9FA-178B-4294-AF43-65BCBDB2F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219075</xdr:colOff>
      <xdr:row>5</xdr:row>
      <xdr:rowOff>185737</xdr:rowOff>
    </xdr:from>
    <xdr:to>
      <xdr:col>17</xdr:col>
      <xdr:colOff>171450</xdr:colOff>
      <xdr:row>21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7857A7A-031F-48C5-8047-4E814961D5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72425" y="1138237"/>
              <a:ext cx="4248150" cy="29860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1</xdr:row>
      <xdr:rowOff>152400</xdr:rowOff>
    </xdr:from>
    <xdr:to>
      <xdr:col>13</xdr:col>
      <xdr:colOff>152400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59D1B3-3CEA-4553-A7E4-2CEF34331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</xdr:colOff>
      <xdr:row>0</xdr:row>
      <xdr:rowOff>128587</xdr:rowOff>
    </xdr:from>
    <xdr:to>
      <xdr:col>10</xdr:col>
      <xdr:colOff>328612</xdr:colOff>
      <xdr:row>15</xdr:row>
      <xdr:rowOff>14287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1E891F-21E4-4C6B-99F3-885EC6A70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52387</xdr:rowOff>
    </xdr:from>
    <xdr:to>
      <xdr:col>12</xdr:col>
      <xdr:colOff>361950</xdr:colOff>
      <xdr:row>20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25D34C-0F07-40E4-926F-CBDCAEE74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1</xdr:row>
      <xdr:rowOff>14287</xdr:rowOff>
    </xdr:from>
    <xdr:to>
      <xdr:col>11</xdr:col>
      <xdr:colOff>285750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BED177-53C1-491A-BB7F-48DEA1EE7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1</xdr:row>
      <xdr:rowOff>4762</xdr:rowOff>
    </xdr:from>
    <xdr:to>
      <xdr:col>13</xdr:col>
      <xdr:colOff>57150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29D07F-5E74-457C-8227-BFE1111F71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547687</xdr:colOff>
      <xdr:row>5</xdr:row>
      <xdr:rowOff>23812</xdr:rowOff>
    </xdr:from>
    <xdr:to>
      <xdr:col>11</xdr:col>
      <xdr:colOff>242887</xdr:colOff>
      <xdr:row>19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54F6D9-C9F4-4E2B-830B-069D51064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1</xdr:row>
      <xdr:rowOff>14286</xdr:rowOff>
    </xdr:from>
    <xdr:to>
      <xdr:col>12</xdr:col>
      <xdr:colOff>419099</xdr:colOff>
      <xdr:row>18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747A10-2F81-4BFC-9E65-B4C738392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" refreshedDate="46245.973955092595" createdVersion="7" refreshedVersion="7" minRefreshableVersion="3" recordCount="1500" xr:uid="{CBF4293F-D0DF-4A4D-A80B-51FC5485EFC2}">
  <cacheSource type="worksheet">
    <worksheetSource ref="A1:H1501" sheet="Details Dataset"/>
  </cacheSource>
  <cacheFields count="8">
    <cacheField name="Order ID" numFmtId="0">
      <sharedItems count="500">
        <s v="B-25681"/>
        <s v="B-26055"/>
        <s v="B-25955"/>
        <s v="B-26093"/>
        <s v="B-25602"/>
        <s v="B-25881"/>
        <s v="B-25696"/>
        <s v="B-25687"/>
        <s v="B-25643"/>
        <s v="B-25851"/>
        <s v="B-25703"/>
        <s v="B-25887"/>
        <s v="B-25923"/>
        <s v="B-25756"/>
        <s v="B-25761"/>
        <s v="B-25655"/>
        <s v="B-25786"/>
        <s v="B-26095"/>
        <s v="B-25853"/>
        <s v="B-25735"/>
        <s v="B-25910"/>
        <s v="B-25950"/>
        <s v="B-25744"/>
        <s v="B-25845"/>
        <s v="B-26001"/>
        <s v="B-25830"/>
        <s v="B-25842"/>
        <s v="B-25778"/>
        <s v="B-25686"/>
        <s v="B-25754"/>
        <s v="B-26048"/>
        <s v="B-25816"/>
        <s v="B-26022"/>
        <s v="B-25883"/>
        <s v="B-26003"/>
        <s v="B-26097"/>
        <s v="B-25710"/>
        <s v="B-25797"/>
        <s v="B-25618"/>
        <s v="B-25723"/>
        <s v="B-25755"/>
        <s v="B-25788"/>
        <s v="B-25991"/>
        <s v="B-25779"/>
        <s v="B-25909"/>
        <s v="B-25943"/>
        <s v="B-25935"/>
        <s v="B-25613"/>
        <s v="B-25729"/>
        <s v="B-25772"/>
        <s v="B-25640"/>
        <s v="B-25810"/>
        <s v="B-25801"/>
        <s v="B-26085"/>
        <s v="B-25868"/>
        <s v="B-25714"/>
        <s v="B-25784"/>
        <s v="B-25608"/>
        <s v="B-26051"/>
        <s v="B-25900"/>
        <s v="B-25760"/>
        <s v="B-25762"/>
        <s v="B-25995"/>
        <s v="B-25965"/>
        <s v="B-25967"/>
        <s v="B-25674"/>
        <s v="B-25929"/>
        <s v="B-25777"/>
        <s v="B-26006"/>
        <s v="B-25697"/>
        <s v="B-25667"/>
        <s v="B-25836"/>
        <s v="B-25984"/>
        <s v="B-25728"/>
        <s v="B-25757"/>
        <s v="B-25957"/>
        <s v="B-26061"/>
        <s v="B-25616"/>
        <s v="B-25666"/>
        <s v="B-25675"/>
        <s v="B-26079"/>
        <s v="B-25850"/>
        <s v="B-25693"/>
        <s v="B-25852"/>
        <s v="B-25860"/>
        <s v="B-25898"/>
        <s v="B-26100"/>
        <s v="B-25653"/>
        <s v="B-25839"/>
        <s v="B-25651"/>
        <s v="B-25704"/>
        <s v="B-25730"/>
        <s v="B-26052"/>
        <s v="B-25656"/>
        <s v="B-26033"/>
        <s v="B-25945"/>
        <s v="B-26086"/>
        <s v="B-25752"/>
        <s v="B-26098"/>
        <s v="B-26067"/>
        <s v="B-25986"/>
        <s v="B-25953"/>
        <s v="B-25952"/>
        <s v="B-25903"/>
        <s v="B-25650"/>
        <s v="B-25970"/>
        <s v="B-26062"/>
        <s v="B-25632"/>
        <s v="B-25821"/>
        <s v="B-25878"/>
        <s v="B-25750"/>
        <s v="B-25657"/>
        <s v="B-25787"/>
        <s v="B-25808"/>
        <s v="B-25885"/>
        <s v="B-25759"/>
        <s v="B-25747"/>
        <s v="B-25603"/>
        <s v="B-25691"/>
        <s v="B-25607"/>
        <s v="B-25708"/>
        <s v="B-26021"/>
        <s v="B-25831"/>
        <s v="B-25670"/>
        <s v="B-26029"/>
        <s v="B-25959"/>
        <s v="B-25676"/>
        <s v="B-25888"/>
        <s v="B-25911"/>
        <s v="B-25662"/>
        <s v="B-25847"/>
        <s v="B-25796"/>
        <s v="B-25993"/>
        <s v="B-25930"/>
        <s v="B-25785"/>
        <s v="B-26053"/>
        <s v="B-26019"/>
        <s v="B-26070"/>
        <s v="B-25870"/>
        <s v="B-25855"/>
        <s v="B-25803"/>
        <s v="B-25996"/>
        <s v="B-26078"/>
        <s v="B-25682"/>
        <s v="B-25749"/>
        <s v="B-25962"/>
        <s v="B-25899"/>
        <s v="B-25951"/>
        <s v="B-25828"/>
        <s v="B-25658"/>
        <s v="B-25698"/>
        <s v="B-25832"/>
        <s v="B-25886"/>
        <s v="B-25897"/>
        <s v="B-25873"/>
        <s v="B-25858"/>
        <s v="B-25867"/>
        <s v="B-25633"/>
        <s v="B-25609"/>
        <s v="B-25896"/>
        <s v="B-26000"/>
        <s v="B-25940"/>
        <s v="B-26087"/>
        <s v="B-25980"/>
        <s v="B-25877"/>
        <s v="B-25905"/>
        <s v="B-25818"/>
        <s v="B-25835"/>
        <s v="B-26081"/>
        <s v="B-25837"/>
        <s v="B-25893"/>
        <s v="B-25689"/>
        <s v="B-26028"/>
        <s v="B-25654"/>
        <s v="B-25720"/>
        <s v="B-26057"/>
        <s v="B-25798"/>
        <s v="B-25961"/>
        <s v="B-25701"/>
        <s v="B-26056"/>
        <s v="B-26016"/>
        <s v="B-25819"/>
        <s v="B-25848"/>
        <s v="B-25678"/>
        <s v="B-25925"/>
        <s v="B-25977"/>
        <s v="B-25648"/>
        <s v="B-25933"/>
        <s v="B-25942"/>
        <s v="B-25673"/>
        <s v="B-25791"/>
        <s v="B-25983"/>
        <s v="B-25743"/>
        <s v="B-25973"/>
        <s v="B-25895"/>
        <s v="B-25717"/>
        <s v="B-26064"/>
        <s v="B-25630"/>
        <s v="B-26050"/>
        <s v="B-26035"/>
        <s v="B-25966"/>
        <s v="B-26060"/>
        <s v="B-25854"/>
        <s v="B-25964"/>
        <s v="B-25628"/>
        <s v="B-25891"/>
        <s v="B-26089"/>
        <s v="B-25621"/>
        <s v="B-25727"/>
        <s v="B-25843"/>
        <s v="B-25741"/>
        <s v="B-26096"/>
        <s v="B-26007"/>
        <s v="B-26088"/>
        <s v="B-25664"/>
        <s v="B-25642"/>
        <s v="B-25987"/>
        <s v="B-25770"/>
        <s v="B-25840"/>
        <s v="B-25846"/>
        <s v="B-25745"/>
        <s v="B-26073"/>
        <s v="B-26030"/>
        <s v="B-25989"/>
        <s v="B-26009"/>
        <s v="B-25915"/>
        <s v="B-25645"/>
        <s v="B-25635"/>
        <s v="B-26038"/>
        <s v="B-26014"/>
        <s v="B-25751"/>
        <s v="B-26025"/>
        <s v="B-25981"/>
        <s v="B-25610"/>
        <s v="B-25733"/>
        <s v="B-25612"/>
        <s v="B-25700"/>
        <s v="B-25856"/>
        <s v="B-26026"/>
        <s v="B-25861"/>
        <s v="B-25799"/>
        <s v="B-26054"/>
        <s v="B-25660"/>
        <s v="B-26045"/>
        <s v="B-25781"/>
        <s v="B-25918"/>
        <s v="B-25971"/>
        <s v="B-25699"/>
        <s v="B-25776"/>
        <s v="B-25985"/>
        <s v="B-26063"/>
        <s v="B-26032"/>
        <s v="B-25767"/>
        <s v="B-26023"/>
        <s v="B-25809"/>
        <s v="B-25688"/>
        <s v="B-25753"/>
        <s v="B-25773"/>
        <s v="B-25661"/>
        <s v="B-25857"/>
        <s v="B-25999"/>
        <s v="B-25926"/>
        <s v="B-26076"/>
        <s v="B-25913"/>
        <s v="B-26020"/>
        <s v="B-26083"/>
        <s v="B-25625"/>
        <s v="B-26010"/>
        <s v="B-25979"/>
        <s v="B-26002"/>
        <s v="B-26084"/>
        <s v="B-25998"/>
        <s v="B-25872"/>
        <s v="B-25795"/>
        <s v="B-25902"/>
        <s v="B-25793"/>
        <s v="B-25652"/>
        <s v="B-26018"/>
        <s v="B-25823"/>
        <s v="B-25994"/>
        <s v="B-25863"/>
        <s v="B-25680"/>
        <s v="B-25737"/>
        <s v="B-25875"/>
        <s v="B-26031"/>
        <s v="B-25908"/>
        <s v="B-26041"/>
        <s v="B-25794"/>
        <s v="B-25615"/>
        <s v="B-25997"/>
        <s v="B-25990"/>
        <s v="B-26091"/>
        <s v="B-25604"/>
        <s v="B-25724"/>
        <s v="B-25748"/>
        <s v="B-26004"/>
        <s v="B-25954"/>
        <s v="B-26043"/>
        <s v="B-25838"/>
        <s v="B-26042"/>
        <s v="B-26008"/>
        <s v="B-25927"/>
        <s v="B-25948"/>
        <s v="B-26094"/>
        <s v="B-25623"/>
        <s v="B-25800"/>
        <s v="B-26039"/>
        <s v="B-25620"/>
        <s v="B-25721"/>
        <s v="B-25764"/>
        <s v="B-26066"/>
        <s v="B-25712"/>
        <s v="B-25738"/>
        <s v="B-25771"/>
        <s v="B-25601"/>
        <s v="B-25844"/>
        <s v="B-26065"/>
        <s v="B-25825"/>
        <s v="B-25765"/>
        <s v="B-25709"/>
        <s v="B-25684"/>
        <s v="B-25739"/>
        <s v="B-26082"/>
        <s v="B-25731"/>
        <s v="B-25719"/>
        <s v="B-25646"/>
        <s v="B-25874"/>
        <s v="B-25638"/>
        <s v="B-25882"/>
        <s v="B-26040"/>
        <s v="B-26037"/>
        <s v="B-25920"/>
        <s v="B-25960"/>
        <s v="B-25917"/>
        <s v="B-25972"/>
        <s v="B-25736"/>
        <s v="B-25742"/>
        <s v="B-25641"/>
        <s v="B-25958"/>
        <s v="B-25802"/>
        <s v="B-25834"/>
        <s v="B-25774"/>
        <s v="B-25904"/>
        <s v="B-25934"/>
        <s v="B-25912"/>
        <s v="B-25647"/>
        <s v="B-25901"/>
        <s v="B-25804"/>
        <s v="B-25734"/>
        <s v="B-25711"/>
        <s v="B-25864"/>
        <s v="B-25949"/>
        <s v="B-25805"/>
        <s v="B-25919"/>
        <s v="B-25889"/>
        <s v="B-25637"/>
        <s v="B-25783"/>
        <s v="B-25938"/>
        <s v="B-25820"/>
        <s v="B-25924"/>
        <s v="B-25814"/>
        <s v="B-25631"/>
        <s v="B-25956"/>
        <s v="B-25862"/>
        <s v="B-25606"/>
        <s v="B-25928"/>
        <s v="B-26005"/>
        <s v="B-25963"/>
        <s v="B-25683"/>
        <s v="B-25914"/>
        <s v="B-25869"/>
        <s v="B-25921"/>
        <s v="B-25849"/>
        <s v="B-25780"/>
        <s v="B-25892"/>
        <s v="B-25988"/>
        <s v="B-25939"/>
        <s v="B-25906"/>
        <s v="B-26017"/>
        <s v="B-25644"/>
        <s v="B-25679"/>
        <s v="B-25792"/>
        <s v="B-25946"/>
        <s v="B-25992"/>
        <s v="B-25659"/>
        <s v="B-25716"/>
        <s v="B-25725"/>
        <s v="B-25932"/>
        <s v="B-25789"/>
        <s v="B-25732"/>
        <s v="B-25871"/>
        <s v="B-25611"/>
        <s v="B-25833"/>
        <s v="B-25665"/>
        <s v="B-25694"/>
        <s v="B-25668"/>
        <s v="B-26024"/>
        <s v="B-25827"/>
        <s v="B-25713"/>
        <s v="B-25944"/>
        <s v="B-25695"/>
        <s v="B-25880"/>
        <s v="B-25941"/>
        <s v="B-25706"/>
        <s v="B-25969"/>
        <s v="B-25763"/>
        <s v="B-25740"/>
        <s v="B-25879"/>
        <s v="B-25614"/>
        <s v="B-26092"/>
        <s v="B-26011"/>
        <s v="B-26074"/>
        <s v="B-25976"/>
        <s v="B-25865"/>
        <s v="B-26049"/>
        <s v="B-26047"/>
        <s v="B-25766"/>
        <s v="B-25947"/>
        <s v="B-26069"/>
        <s v="B-25627"/>
        <s v="B-26027"/>
        <s v="B-26068"/>
        <s v="B-26080"/>
        <s v="B-26012"/>
        <s v="B-25824"/>
        <s v="B-25922"/>
        <s v="B-26099"/>
        <s v="B-25866"/>
        <s v="B-25775"/>
        <s v="B-25685"/>
        <s v="B-26090"/>
        <s v="B-26072"/>
        <s v="B-25916"/>
        <s v="B-25722"/>
        <s v="B-25746"/>
        <s v="B-25812"/>
        <s v="B-25605"/>
        <s v="B-25702"/>
        <s v="B-25626"/>
        <s v="B-25811"/>
        <s v="B-25876"/>
        <s v="B-25931"/>
        <s v="B-25663"/>
        <s v="B-25677"/>
        <s v="B-25617"/>
        <s v="B-26036"/>
        <s v="B-25978"/>
        <s v="B-26077"/>
        <s v="B-25790"/>
        <s v="B-25829"/>
        <s v="B-25705"/>
        <s v="B-25936"/>
        <s v="B-25782"/>
        <s v="B-25769"/>
        <s v="B-25718"/>
        <s v="B-25715"/>
        <s v="B-26075"/>
        <s v="B-25634"/>
        <s v="B-26015"/>
        <s v="B-25822"/>
        <s v="B-26034"/>
        <s v="B-25692"/>
        <s v="B-26046"/>
        <s v="B-25622"/>
        <s v="B-25690"/>
        <s v="B-25726"/>
        <s v="B-25907"/>
        <s v="B-26013"/>
        <s v="B-25975"/>
        <s v="B-25815"/>
        <s v="B-25619"/>
        <s v="B-26058"/>
        <s v="B-26044"/>
        <s v="B-25636"/>
        <s v="B-25649"/>
        <s v="B-25806"/>
        <s v="B-25826"/>
        <s v="B-25624"/>
        <s v="B-25974"/>
        <s v="B-25884"/>
        <s v="B-25672"/>
        <s v="B-25859"/>
        <s v="B-25817"/>
        <s v="B-25968"/>
        <s v="B-25671"/>
        <s v="B-26059"/>
        <s v="B-25669"/>
        <s v="B-25841"/>
        <s v="B-26071"/>
        <s v="B-25813"/>
        <s v="B-25890"/>
        <s v="B-25807"/>
        <s v="B-25937"/>
        <s v="B-25982"/>
        <s v="B-25639"/>
        <s v="B-25894"/>
        <s v="B-25768"/>
        <s v="B-25629"/>
        <s v="B-25758"/>
        <s v="B-25707"/>
      </sharedItems>
    </cacheField>
    <cacheField name="Amount" numFmtId="0">
      <sharedItems containsSemiMixedTypes="0" containsString="0" containsNumber="1" containsInteger="1" minValue="4" maxValue="5729"/>
    </cacheField>
    <cacheField name="Profit" numFmtId="0">
      <sharedItems containsSemiMixedTypes="0" containsString="0" containsNumber="1" containsInteger="1" minValue="-1981" maxValue="1864"/>
    </cacheField>
    <cacheField name="Quantity" numFmtId="0">
      <sharedItems containsSemiMixedTypes="0" containsString="0" containsNumber="1" containsInteger="1" minValue="1" maxValue="14"/>
    </cacheField>
    <cacheField name="Category" numFmtId="0">
      <sharedItems/>
    </cacheField>
    <cacheField name="Sub-Category" numFmtId="0">
      <sharedItems/>
    </cacheField>
    <cacheField name="PaymentMode" numFmtId="0">
      <sharedItems count="5">
        <s v="COD"/>
        <s v="EMI"/>
        <s v="Credit Card"/>
        <s v="UPI"/>
        <s v="Debit Card"/>
      </sharedItems>
    </cacheField>
    <cacheField name="State" numFmtId="0">
      <sharedItems count="19">
        <s v="Madhya Pradesh"/>
        <s v="Uttar Pradesh"/>
        <s v="Maharashtra"/>
        <s v="Karnataka"/>
        <s v="Jammu and Kashmir"/>
        <s v="Nagaland"/>
        <s v="Rajasthan"/>
        <s v="Gujarat"/>
        <s v="Delhi"/>
        <s v="Andhra Pradesh"/>
        <s v="Kerala"/>
        <s v="Himachal Pradesh"/>
        <s v="Bihar"/>
        <s v="Punjab"/>
        <s v="Tamil Nadu"/>
        <s v="Haryana"/>
        <s v="Goa"/>
        <s v="West Bengal"/>
        <s v="Sikki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" refreshedDate="46246.667040162036" createdVersion="7" refreshedVersion="7" minRefreshableVersion="3" recordCount="1500" xr:uid="{E4CD98BD-9D16-4553-8AA3-26FF807D66CB}">
  <cacheSource type="worksheet">
    <worksheetSource ref="A1:I1501" sheet="Details Dataset"/>
  </cacheSource>
  <cacheFields count="9">
    <cacheField name="Order ID" numFmtId="0">
      <sharedItems count="500">
        <s v="B-25681"/>
        <s v="B-26055"/>
        <s v="B-25955"/>
        <s v="B-26093"/>
        <s v="B-25602"/>
        <s v="B-25881"/>
        <s v="B-25696"/>
        <s v="B-25687"/>
        <s v="B-25643"/>
        <s v="B-25851"/>
        <s v="B-25703"/>
        <s v="B-25887"/>
        <s v="B-25923"/>
        <s v="B-25756"/>
        <s v="B-25761"/>
        <s v="B-25655"/>
        <s v="B-25786"/>
        <s v="B-26095"/>
        <s v="B-25853"/>
        <s v="B-25735"/>
        <s v="B-25910"/>
        <s v="B-25950"/>
        <s v="B-25744"/>
        <s v="B-25845"/>
        <s v="B-26001"/>
        <s v="B-25830"/>
        <s v="B-25842"/>
        <s v="B-25778"/>
        <s v="B-25686"/>
        <s v="B-25754"/>
        <s v="B-26048"/>
        <s v="B-25816"/>
        <s v="B-26022"/>
        <s v="B-25883"/>
        <s v="B-26003"/>
        <s v="B-26097"/>
        <s v="B-25710"/>
        <s v="B-25797"/>
        <s v="B-25618"/>
        <s v="B-25723"/>
        <s v="B-25755"/>
        <s v="B-25788"/>
        <s v="B-25991"/>
        <s v="B-25779"/>
        <s v="B-25909"/>
        <s v="B-25943"/>
        <s v="B-25935"/>
        <s v="B-25613"/>
        <s v="B-25729"/>
        <s v="B-25772"/>
        <s v="B-25640"/>
        <s v="B-25810"/>
        <s v="B-25801"/>
        <s v="B-26085"/>
        <s v="B-25868"/>
        <s v="B-25714"/>
        <s v="B-25784"/>
        <s v="B-25608"/>
        <s v="B-26051"/>
        <s v="B-25900"/>
        <s v="B-25760"/>
        <s v="B-25762"/>
        <s v="B-25995"/>
        <s v="B-25965"/>
        <s v="B-25967"/>
        <s v="B-25674"/>
        <s v="B-25929"/>
        <s v="B-25777"/>
        <s v="B-26006"/>
        <s v="B-25697"/>
        <s v="B-25667"/>
        <s v="B-25836"/>
        <s v="B-25984"/>
        <s v="B-25728"/>
        <s v="B-25757"/>
        <s v="B-25957"/>
        <s v="B-26061"/>
        <s v="B-25616"/>
        <s v="B-25666"/>
        <s v="B-25675"/>
        <s v="B-26079"/>
        <s v="B-25850"/>
        <s v="B-25693"/>
        <s v="B-25852"/>
        <s v="B-25860"/>
        <s v="B-25898"/>
        <s v="B-26100"/>
        <s v="B-25653"/>
        <s v="B-25839"/>
        <s v="B-25651"/>
        <s v="B-25704"/>
        <s v="B-25730"/>
        <s v="B-26052"/>
        <s v="B-25656"/>
        <s v="B-26033"/>
        <s v="B-25945"/>
        <s v="B-26086"/>
        <s v="B-25752"/>
        <s v="B-26098"/>
        <s v="B-26067"/>
        <s v="B-25986"/>
        <s v="B-25953"/>
        <s v="B-25952"/>
        <s v="B-25903"/>
        <s v="B-25650"/>
        <s v="B-25970"/>
        <s v="B-26062"/>
        <s v="B-25632"/>
        <s v="B-25821"/>
        <s v="B-25878"/>
        <s v="B-25750"/>
        <s v="B-25657"/>
        <s v="B-25787"/>
        <s v="B-25808"/>
        <s v="B-25885"/>
        <s v="B-25759"/>
        <s v="B-25747"/>
        <s v="B-25603"/>
        <s v="B-25691"/>
        <s v="B-25607"/>
        <s v="B-25708"/>
        <s v="B-26021"/>
        <s v="B-25831"/>
        <s v="B-25670"/>
        <s v="B-26029"/>
        <s v="B-25959"/>
        <s v="B-25676"/>
        <s v="B-25888"/>
        <s v="B-25911"/>
        <s v="B-25662"/>
        <s v="B-25847"/>
        <s v="B-25796"/>
        <s v="B-25993"/>
        <s v="B-25930"/>
        <s v="B-25785"/>
        <s v="B-26053"/>
        <s v="B-26019"/>
        <s v="B-26070"/>
        <s v="B-25870"/>
        <s v="B-25855"/>
        <s v="B-25803"/>
        <s v="B-25996"/>
        <s v="B-26078"/>
        <s v="B-25682"/>
        <s v="B-25749"/>
        <s v="B-25962"/>
        <s v="B-25899"/>
        <s v="B-25951"/>
        <s v="B-25828"/>
        <s v="B-25658"/>
        <s v="B-25698"/>
        <s v="B-25832"/>
        <s v="B-25886"/>
        <s v="B-25897"/>
        <s v="B-25873"/>
        <s v="B-25858"/>
        <s v="B-25867"/>
        <s v="B-25633"/>
        <s v="B-25609"/>
        <s v="B-25896"/>
        <s v="B-26000"/>
        <s v="B-25940"/>
        <s v="B-26087"/>
        <s v="B-25980"/>
        <s v="B-25877"/>
        <s v="B-25905"/>
        <s v="B-25818"/>
        <s v="B-25835"/>
        <s v="B-26081"/>
        <s v="B-25837"/>
        <s v="B-25893"/>
        <s v="B-25689"/>
        <s v="B-26028"/>
        <s v="B-25654"/>
        <s v="B-25720"/>
        <s v="B-26057"/>
        <s v="B-25798"/>
        <s v="B-25961"/>
        <s v="B-25701"/>
        <s v="B-26056"/>
        <s v="B-26016"/>
        <s v="B-25819"/>
        <s v="B-25848"/>
        <s v="B-25678"/>
        <s v="B-25925"/>
        <s v="B-25977"/>
        <s v="B-25648"/>
        <s v="B-25933"/>
        <s v="B-25942"/>
        <s v="B-25673"/>
        <s v="B-25791"/>
        <s v="B-25983"/>
        <s v="B-25743"/>
        <s v="B-25973"/>
        <s v="B-25895"/>
        <s v="B-25717"/>
        <s v="B-26064"/>
        <s v="B-25630"/>
        <s v="B-26050"/>
        <s v="B-26035"/>
        <s v="B-25966"/>
        <s v="B-26060"/>
        <s v="B-25854"/>
        <s v="B-25964"/>
        <s v="B-25628"/>
        <s v="B-25891"/>
        <s v="B-26089"/>
        <s v="B-25621"/>
        <s v="B-25727"/>
        <s v="B-25843"/>
        <s v="B-25741"/>
        <s v="B-26096"/>
        <s v="B-26007"/>
        <s v="B-26088"/>
        <s v="B-25664"/>
        <s v="B-25642"/>
        <s v="B-25987"/>
        <s v="B-25770"/>
        <s v="B-25840"/>
        <s v="B-25846"/>
        <s v="B-25745"/>
        <s v="B-26073"/>
        <s v="B-26030"/>
        <s v="B-25989"/>
        <s v="B-26009"/>
        <s v="B-25915"/>
        <s v="B-25645"/>
        <s v="B-25635"/>
        <s v="B-26038"/>
        <s v="B-26014"/>
        <s v="B-25751"/>
        <s v="B-26025"/>
        <s v="B-25981"/>
        <s v="B-25610"/>
        <s v="B-25733"/>
        <s v="B-25612"/>
        <s v="B-25700"/>
        <s v="B-25856"/>
        <s v="B-26026"/>
        <s v="B-25861"/>
        <s v="B-25799"/>
        <s v="B-26054"/>
        <s v="B-25660"/>
        <s v="B-26045"/>
        <s v="B-25781"/>
        <s v="B-25918"/>
        <s v="B-25971"/>
        <s v="B-25699"/>
        <s v="B-25776"/>
        <s v="B-25985"/>
        <s v="B-26063"/>
        <s v="B-26032"/>
        <s v="B-25767"/>
        <s v="B-26023"/>
        <s v="B-25809"/>
        <s v="B-25688"/>
        <s v="B-25753"/>
        <s v="B-25773"/>
        <s v="B-25661"/>
        <s v="B-25857"/>
        <s v="B-25999"/>
        <s v="B-25926"/>
        <s v="B-26076"/>
        <s v="B-25913"/>
        <s v="B-26020"/>
        <s v="B-26083"/>
        <s v="B-25625"/>
        <s v="B-26010"/>
        <s v="B-25979"/>
        <s v="B-26002"/>
        <s v="B-26084"/>
        <s v="B-25998"/>
        <s v="B-25872"/>
        <s v="B-25795"/>
        <s v="B-25902"/>
        <s v="B-25793"/>
        <s v="B-25652"/>
        <s v="B-26018"/>
        <s v="B-25823"/>
        <s v="B-25994"/>
        <s v="B-25863"/>
        <s v="B-25680"/>
        <s v="B-25737"/>
        <s v="B-25875"/>
        <s v="B-26031"/>
        <s v="B-25908"/>
        <s v="B-26041"/>
        <s v="B-25794"/>
        <s v="B-25615"/>
        <s v="B-25997"/>
        <s v="B-25990"/>
        <s v="B-26091"/>
        <s v="B-25604"/>
        <s v="B-25724"/>
        <s v="B-25748"/>
        <s v="B-26004"/>
        <s v="B-25954"/>
        <s v="B-26043"/>
        <s v="B-25838"/>
        <s v="B-26042"/>
        <s v="B-26008"/>
        <s v="B-25927"/>
        <s v="B-25948"/>
        <s v="B-26094"/>
        <s v="B-25623"/>
        <s v="B-25800"/>
        <s v="B-26039"/>
        <s v="B-25620"/>
        <s v="B-25721"/>
        <s v="B-25764"/>
        <s v="B-26066"/>
        <s v="B-25712"/>
        <s v="B-25738"/>
        <s v="B-25771"/>
        <s v="B-25601"/>
        <s v="B-25844"/>
        <s v="B-26065"/>
        <s v="B-25825"/>
        <s v="B-25765"/>
        <s v="B-25709"/>
        <s v="B-25684"/>
        <s v="B-25739"/>
        <s v="B-26082"/>
        <s v="B-25731"/>
        <s v="B-25719"/>
        <s v="B-25646"/>
        <s v="B-25874"/>
        <s v="B-25638"/>
        <s v="B-25882"/>
        <s v="B-26040"/>
        <s v="B-26037"/>
        <s v="B-25920"/>
        <s v="B-25960"/>
        <s v="B-25917"/>
        <s v="B-25972"/>
        <s v="B-25736"/>
        <s v="B-25742"/>
        <s v="B-25641"/>
        <s v="B-25958"/>
        <s v="B-25802"/>
        <s v="B-25834"/>
        <s v="B-25774"/>
        <s v="B-25904"/>
        <s v="B-25934"/>
        <s v="B-25912"/>
        <s v="B-25647"/>
        <s v="B-25901"/>
        <s v="B-25804"/>
        <s v="B-25734"/>
        <s v="B-25711"/>
        <s v="B-25864"/>
        <s v="B-25949"/>
        <s v="B-25805"/>
        <s v="B-25919"/>
        <s v="B-25889"/>
        <s v="B-25637"/>
        <s v="B-25783"/>
        <s v="B-25938"/>
        <s v="B-25820"/>
        <s v="B-25924"/>
        <s v="B-25814"/>
        <s v="B-25631"/>
        <s v="B-25956"/>
        <s v="B-25862"/>
        <s v="B-25606"/>
        <s v="B-25928"/>
        <s v="B-26005"/>
        <s v="B-25963"/>
        <s v="B-25683"/>
        <s v="B-25914"/>
        <s v="B-25869"/>
        <s v="B-25921"/>
        <s v="B-25849"/>
        <s v="B-25780"/>
        <s v="B-25892"/>
        <s v="B-25988"/>
        <s v="B-25939"/>
        <s v="B-25906"/>
        <s v="B-26017"/>
        <s v="B-25644"/>
        <s v="B-25679"/>
        <s v="B-25792"/>
        <s v="B-25946"/>
        <s v="B-25992"/>
        <s v="B-25659"/>
        <s v="B-25716"/>
        <s v="B-25725"/>
        <s v="B-25932"/>
        <s v="B-25789"/>
        <s v="B-25732"/>
        <s v="B-25871"/>
        <s v="B-25611"/>
        <s v="B-25833"/>
        <s v="B-25665"/>
        <s v="B-25694"/>
        <s v="B-25668"/>
        <s v="B-26024"/>
        <s v="B-25827"/>
        <s v="B-25713"/>
        <s v="B-25944"/>
        <s v="B-25695"/>
        <s v="B-25880"/>
        <s v="B-25941"/>
        <s v="B-25706"/>
        <s v="B-25969"/>
        <s v="B-25763"/>
        <s v="B-25740"/>
        <s v="B-25879"/>
        <s v="B-25614"/>
        <s v="B-26092"/>
        <s v="B-26011"/>
        <s v="B-26074"/>
        <s v="B-25976"/>
        <s v="B-25865"/>
        <s v="B-26049"/>
        <s v="B-26047"/>
        <s v="B-25766"/>
        <s v="B-25947"/>
        <s v="B-26069"/>
        <s v="B-25627"/>
        <s v="B-26027"/>
        <s v="B-26068"/>
        <s v="B-26080"/>
        <s v="B-26012"/>
        <s v="B-25824"/>
        <s v="B-25922"/>
        <s v="B-26099"/>
        <s v="B-25866"/>
        <s v="B-25775"/>
        <s v="B-25685"/>
        <s v="B-26090"/>
        <s v="B-26072"/>
        <s v="B-25916"/>
        <s v="B-25722"/>
        <s v="B-25746"/>
        <s v="B-25812"/>
        <s v="B-25605"/>
        <s v="B-25702"/>
        <s v="B-25626"/>
        <s v="B-25811"/>
        <s v="B-25876"/>
        <s v="B-25931"/>
        <s v="B-25663"/>
        <s v="B-25677"/>
        <s v="B-25617"/>
        <s v="B-26036"/>
        <s v="B-25978"/>
        <s v="B-26077"/>
        <s v="B-25790"/>
        <s v="B-25829"/>
        <s v="B-25705"/>
        <s v="B-25936"/>
        <s v="B-25782"/>
        <s v="B-25769"/>
        <s v="B-25718"/>
        <s v="B-25715"/>
        <s v="B-26075"/>
        <s v="B-25634"/>
        <s v="B-26015"/>
        <s v="B-25822"/>
        <s v="B-26034"/>
        <s v="B-25692"/>
        <s v="B-26046"/>
        <s v="B-25622"/>
        <s v="B-25690"/>
        <s v="B-25726"/>
        <s v="B-25907"/>
        <s v="B-26013"/>
        <s v="B-25975"/>
        <s v="B-25815"/>
        <s v="B-25619"/>
        <s v="B-26058"/>
        <s v="B-26044"/>
        <s v="B-25636"/>
        <s v="B-25649"/>
        <s v="B-25806"/>
        <s v="B-25826"/>
        <s v="B-25624"/>
        <s v="B-25974"/>
        <s v="B-25884"/>
        <s v="B-25672"/>
        <s v="B-25859"/>
        <s v="B-25817"/>
        <s v="B-25968"/>
        <s v="B-25671"/>
        <s v="B-26059"/>
        <s v="B-25669"/>
        <s v="B-25841"/>
        <s v="B-26071"/>
        <s v="B-25813"/>
        <s v="B-25890"/>
        <s v="B-25807"/>
        <s v="B-25937"/>
        <s v="B-25982"/>
        <s v="B-25639"/>
        <s v="B-25894"/>
        <s v="B-25768"/>
        <s v="B-25629"/>
        <s v="B-25758"/>
        <s v="B-25707"/>
      </sharedItems>
    </cacheField>
    <cacheField name="Amount" numFmtId="0">
      <sharedItems containsSemiMixedTypes="0" containsString="0" containsNumber="1" containsInteger="1" minValue="4" maxValue="5729"/>
    </cacheField>
    <cacheField name="Profit" numFmtId="0">
      <sharedItems containsSemiMixedTypes="0" containsString="0" containsNumber="1" containsInteger="1" minValue="-1981" maxValue="1864"/>
    </cacheField>
    <cacheField name="Quantity" numFmtId="0">
      <sharedItems containsSemiMixedTypes="0" containsString="0" containsNumber="1" containsInteger="1" minValue="1" maxValue="14"/>
    </cacheField>
    <cacheField name="Category" numFmtId="0">
      <sharedItems/>
    </cacheField>
    <cacheField name="Sub-Category" numFmtId="0">
      <sharedItems count="17">
        <s v="Electronic Games"/>
        <s v="Chairs"/>
        <s v="Bookcases"/>
        <s v="Printers"/>
        <s v="Phones"/>
        <s v="Trousers"/>
        <s v="Saree"/>
        <s v="Hankerchief"/>
        <s v="Kurti"/>
        <s v="Skirt"/>
        <s v="Tables"/>
        <s v="Stole"/>
        <s v="Leggings"/>
        <s v="Accessories"/>
        <s v="T-shirt"/>
        <s v="Furnishings"/>
        <s v="Shirt"/>
      </sharedItems>
    </cacheField>
    <cacheField name="PaymentMode" numFmtId="0">
      <sharedItems count="5">
        <s v="COD"/>
        <s v="EMI"/>
        <s v="Credit Card"/>
        <s v="UPI"/>
        <s v="Debit Card"/>
      </sharedItems>
    </cacheField>
    <cacheField name="State" numFmtId="0">
      <sharedItems count="19">
        <s v="Madhya Pradesh"/>
        <s v="Uttar Pradesh"/>
        <s v="Maharashtra"/>
        <s v="Karnataka"/>
        <s v="Jammu and Kashmir"/>
        <s v="Nagaland"/>
        <s v="Rajasthan"/>
        <s v="Gujarat"/>
        <s v="Delhi"/>
        <s v="Andhra Pradesh"/>
        <s v="Kerala"/>
        <s v="Himachal Pradesh"/>
        <s v="Bihar"/>
        <s v="Punjab"/>
        <s v="Tamil Nadu"/>
        <s v="Haryana"/>
        <s v="Goa"/>
        <s v="West Bengal"/>
        <s v="Sikkim"/>
      </sharedItems>
    </cacheField>
    <cacheField name="City" numFmtId="0">
      <sharedItems count="25">
        <s v="Indore"/>
        <s v="Mathura"/>
        <s v="Pune"/>
        <s v="Bangalore"/>
        <s v="Mumbai"/>
        <s v="Kashmir"/>
        <s v="Kohima"/>
        <s v="Prayagraj"/>
        <s v="Jaipur"/>
        <s v="Ahmedabad"/>
        <s v="Lucknow"/>
        <s v="Delhi"/>
        <s v="Hyderabad"/>
        <s v="Thiruvananthapuram"/>
        <s v="Simla"/>
        <s v="Patna"/>
        <s v="Chandigarh"/>
        <s v="Surat"/>
        <s v="Bhopal"/>
        <s v="Chennai"/>
        <s v="Goa"/>
        <s v="Kolkata"/>
        <s v="Amritsar"/>
        <s v="Udaipur"/>
        <s v="Gangto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" refreshedDate="46246.698046296297" createdVersion="7" refreshedVersion="7" minRefreshableVersion="3" recordCount="500" xr:uid="{95CC5C52-E3A8-4967-87BC-91F250478DF1}">
  <cacheSource type="worksheet">
    <worksheetSource ref="A1:G501" sheet="Orders Dataset"/>
  </cacheSource>
  <cacheFields count="7">
    <cacheField name="Order ID" numFmtId="0">
      <sharedItems/>
    </cacheField>
    <cacheField name="Order Date" numFmtId="14">
      <sharedItems containsSemiMixedTypes="0" containsNonDate="0" containsDate="1" containsString="0" minDate="2018-01-01T00:00:00" maxDate="2019-01-01T00:00:00"/>
    </cacheField>
    <cacheField name="CustomerName" numFmtId="0">
      <sharedItems/>
    </cacheField>
    <cacheField name="State" numFmtId="0">
      <sharedItems/>
    </cacheField>
    <cacheField name="City" numFmtId="0">
      <sharedItems/>
    </cacheField>
    <cacheField name="Month" numFmtId="0">
      <sharedItems containsSemiMixedTypes="0" containsString="0" containsNumber="1" containsInteger="1" minValue="1" maxValue="12" count="12">
        <n v="3"/>
        <n v="2"/>
        <n v="1"/>
        <n v="12"/>
        <n v="8"/>
        <n v="10"/>
        <n v="4"/>
        <n v="11"/>
        <n v="9"/>
        <n v="6"/>
        <n v="7"/>
        <n v="5"/>
      </sharedItems>
    </cacheField>
    <cacheField name="Year" numFmtId="0">
      <sharedItems containsSemiMixedTypes="0" containsString="0" containsNumber="1" containsInteger="1" minValue="2018" maxValue="2018" count="1">
        <n v="20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n v="1096"/>
    <n v="658"/>
    <n v="7"/>
    <s v="Electronics"/>
    <s v="Electronic Games"/>
    <x v="0"/>
    <x v="0"/>
  </r>
  <r>
    <x v="1"/>
    <n v="5729"/>
    <n v="64"/>
    <n v="14"/>
    <s v="Furniture"/>
    <s v="Chairs"/>
    <x v="1"/>
    <x v="1"/>
  </r>
  <r>
    <x v="2"/>
    <n v="2927"/>
    <n v="146"/>
    <n v="8"/>
    <s v="Furniture"/>
    <s v="Bookcases"/>
    <x v="1"/>
    <x v="2"/>
  </r>
  <r>
    <x v="3"/>
    <n v="2847"/>
    <n v="712"/>
    <n v="8"/>
    <s v="Electronics"/>
    <s v="Printers"/>
    <x v="2"/>
    <x v="2"/>
  </r>
  <r>
    <x v="4"/>
    <n v="2617"/>
    <n v="1151"/>
    <n v="4"/>
    <s v="Electronics"/>
    <s v="Phones"/>
    <x v="2"/>
    <x v="2"/>
  </r>
  <r>
    <x v="5"/>
    <n v="2244"/>
    <n v="247"/>
    <n v="4"/>
    <s v="Clothing"/>
    <s v="Trousers"/>
    <x v="2"/>
    <x v="1"/>
  </r>
  <r>
    <x v="6"/>
    <n v="275"/>
    <n v="-275"/>
    <n v="4"/>
    <s v="Clothing"/>
    <s v="Saree"/>
    <x v="0"/>
    <x v="3"/>
  </r>
  <r>
    <x v="7"/>
    <n v="387"/>
    <n v="-213"/>
    <n v="5"/>
    <s v="Clothing"/>
    <s v="Saree"/>
    <x v="3"/>
    <x v="2"/>
  </r>
  <r>
    <x v="8"/>
    <n v="50"/>
    <n v="-44"/>
    <n v="2"/>
    <s v="Clothing"/>
    <s v="Hankerchief"/>
    <x v="3"/>
    <x v="4"/>
  </r>
  <r>
    <x v="9"/>
    <n v="135"/>
    <n v="-54"/>
    <n v="5"/>
    <s v="Clothing"/>
    <s v="Kurti"/>
    <x v="0"/>
    <x v="5"/>
  </r>
  <r>
    <x v="10"/>
    <n v="231"/>
    <n v="-190"/>
    <n v="9"/>
    <s v="Clothing"/>
    <s v="Hankerchief"/>
    <x v="0"/>
    <x v="0"/>
  </r>
  <r>
    <x v="11"/>
    <n v="2125"/>
    <n v="-234"/>
    <n v="6"/>
    <s v="Electronics"/>
    <s v="Printers"/>
    <x v="1"/>
    <x v="1"/>
  </r>
  <r>
    <x v="12"/>
    <n v="3873"/>
    <n v="-891"/>
    <n v="6"/>
    <s v="Electronics"/>
    <s v="Phones"/>
    <x v="2"/>
    <x v="2"/>
  </r>
  <r>
    <x v="13"/>
    <n v="729"/>
    <n v="-492"/>
    <n v="5"/>
    <s v="Furniture"/>
    <s v="Bookcases"/>
    <x v="3"/>
    <x v="2"/>
  </r>
  <r>
    <x v="14"/>
    <n v="2188"/>
    <n v="1050"/>
    <n v="5"/>
    <s v="Furniture"/>
    <s v="Bookcases"/>
    <x v="2"/>
    <x v="1"/>
  </r>
  <r>
    <x v="15"/>
    <n v="6"/>
    <n v="-3"/>
    <n v="1"/>
    <s v="Clothing"/>
    <s v="Hankerchief"/>
    <x v="3"/>
    <x v="0"/>
  </r>
  <r>
    <x v="16"/>
    <n v="1854"/>
    <n v="433"/>
    <n v="5"/>
    <s v="Furniture"/>
    <s v="Bookcases"/>
    <x v="2"/>
    <x v="1"/>
  </r>
  <r>
    <x v="17"/>
    <n v="6"/>
    <n v="1"/>
    <n v="1"/>
    <s v="Clothing"/>
    <s v="Kurti"/>
    <x v="3"/>
    <x v="6"/>
  </r>
  <r>
    <x v="18"/>
    <n v="2093"/>
    <n v="721"/>
    <n v="5"/>
    <s v="Furniture"/>
    <s v="Chairs"/>
    <x v="2"/>
    <x v="7"/>
  </r>
  <r>
    <x v="19"/>
    <n v="7"/>
    <n v="-1"/>
    <n v="2"/>
    <s v="Clothing"/>
    <s v="Skirt"/>
    <x v="3"/>
    <x v="1"/>
  </r>
  <r>
    <x v="20"/>
    <n v="1622"/>
    <n v="-624"/>
    <n v="5"/>
    <s v="Furniture"/>
    <s v="Tables"/>
    <x v="2"/>
    <x v="8"/>
  </r>
  <r>
    <x v="21"/>
    <n v="1622"/>
    <n v="95"/>
    <n v="5"/>
    <s v="Electronics"/>
    <s v="Printers"/>
    <x v="2"/>
    <x v="0"/>
  </r>
  <r>
    <x v="22"/>
    <n v="373"/>
    <n v="254"/>
    <n v="6"/>
    <s v="Electronics"/>
    <s v="Printers"/>
    <x v="3"/>
    <x v="9"/>
  </r>
  <r>
    <x v="23"/>
    <n v="82"/>
    <n v="-33"/>
    <n v="4"/>
    <s v="Clothing"/>
    <s v="Kurti"/>
    <x v="0"/>
    <x v="10"/>
  </r>
  <r>
    <x v="24"/>
    <n v="8"/>
    <n v="2"/>
    <n v="2"/>
    <s v="Clothing"/>
    <s v="Skirt"/>
    <x v="3"/>
    <x v="8"/>
  </r>
  <r>
    <x v="25"/>
    <n v="1954"/>
    <n v="782"/>
    <n v="3"/>
    <s v="Electronics"/>
    <s v="Phones"/>
    <x v="2"/>
    <x v="11"/>
  </r>
  <r>
    <x v="26"/>
    <n v="1543"/>
    <n v="370"/>
    <n v="8"/>
    <s v="Electronics"/>
    <s v="Printers"/>
    <x v="2"/>
    <x v="2"/>
  </r>
  <r>
    <x v="27"/>
    <n v="1506"/>
    <n v="-266"/>
    <n v="6"/>
    <s v="Electronics"/>
    <s v="Printers"/>
    <x v="2"/>
    <x v="2"/>
  </r>
  <r>
    <x v="28"/>
    <n v="1829"/>
    <n v="-56"/>
    <n v="6"/>
    <s v="Furniture"/>
    <s v="Tables"/>
    <x v="2"/>
    <x v="11"/>
  </r>
  <r>
    <x v="29"/>
    <n v="9"/>
    <n v="-1"/>
    <n v="3"/>
    <s v="Clothing"/>
    <s v="Skirt"/>
    <x v="3"/>
    <x v="12"/>
  </r>
  <r>
    <x v="30"/>
    <n v="1461"/>
    <n v="202"/>
    <n v="5"/>
    <s v="Furniture"/>
    <s v="Tables"/>
    <x v="1"/>
    <x v="2"/>
  </r>
  <r>
    <x v="31"/>
    <n v="391"/>
    <n v="113"/>
    <n v="8"/>
    <s v="Clothing"/>
    <s v="Stole"/>
    <x v="0"/>
    <x v="9"/>
  </r>
  <r>
    <x v="32"/>
    <n v="1824"/>
    <n v="1303"/>
    <n v="8"/>
    <s v="Electronics"/>
    <s v="Phones"/>
    <x v="2"/>
    <x v="13"/>
  </r>
  <r>
    <x v="33"/>
    <n v="16"/>
    <n v="-15"/>
    <n v="4"/>
    <s v="Clothing"/>
    <s v="Hankerchief"/>
    <x v="3"/>
    <x v="7"/>
  </r>
  <r>
    <x v="34"/>
    <n v="1745"/>
    <n v="122"/>
    <n v="2"/>
    <s v="Furniture"/>
    <s v="Tables"/>
    <x v="2"/>
    <x v="0"/>
  </r>
  <r>
    <x v="35"/>
    <n v="663"/>
    <n v="-212"/>
    <n v="5"/>
    <s v="Electronics"/>
    <s v="Printers"/>
    <x v="3"/>
    <x v="3"/>
  </r>
  <r>
    <x v="36"/>
    <n v="10"/>
    <n v="-1"/>
    <n v="1"/>
    <s v="Clothing"/>
    <s v="Leggings"/>
    <x v="3"/>
    <x v="2"/>
  </r>
  <r>
    <x v="37"/>
    <n v="1630"/>
    <n v="802"/>
    <n v="5"/>
    <s v="Furniture"/>
    <s v="Tables"/>
    <x v="1"/>
    <x v="0"/>
  </r>
  <r>
    <x v="38"/>
    <n v="12"/>
    <n v="0"/>
    <n v="2"/>
    <s v="Clothing"/>
    <s v="Hankerchief"/>
    <x v="3"/>
    <x v="9"/>
  </r>
  <r>
    <x v="39"/>
    <n v="12"/>
    <n v="-7"/>
    <n v="2"/>
    <s v="Clothing"/>
    <s v="Leggings"/>
    <x v="3"/>
    <x v="2"/>
  </r>
  <r>
    <x v="40"/>
    <n v="1709"/>
    <n v="564"/>
    <n v="3"/>
    <s v="Clothing"/>
    <s v="Trousers"/>
    <x v="2"/>
    <x v="10"/>
  </r>
  <r>
    <x v="41"/>
    <n v="12"/>
    <n v="3"/>
    <n v="1"/>
    <s v="Clothing"/>
    <s v="Stole"/>
    <x v="3"/>
    <x v="14"/>
  </r>
  <r>
    <x v="0"/>
    <n v="1625"/>
    <n v="-77"/>
    <n v="3"/>
    <s v="Electronics"/>
    <s v="Phones"/>
    <x v="1"/>
    <x v="0"/>
  </r>
  <r>
    <x v="42"/>
    <n v="13"/>
    <n v="5"/>
    <n v="2"/>
    <s v="Clothing"/>
    <s v="Hankerchief"/>
    <x v="3"/>
    <x v="0"/>
  </r>
  <r>
    <x v="43"/>
    <n v="1361"/>
    <n v="980"/>
    <n v="3"/>
    <s v="Furniture"/>
    <s v="Tables"/>
    <x v="0"/>
    <x v="2"/>
  </r>
  <r>
    <x v="44"/>
    <n v="1622"/>
    <n v="-448"/>
    <n v="3"/>
    <s v="Electronics"/>
    <s v="Phones"/>
    <x v="1"/>
    <x v="2"/>
  </r>
  <r>
    <x v="45"/>
    <n v="1547"/>
    <n v="340"/>
    <n v="6"/>
    <s v="Electronics"/>
    <s v="Accessories"/>
    <x v="1"/>
    <x v="7"/>
  </r>
  <r>
    <x v="46"/>
    <n v="1657"/>
    <n v="460"/>
    <n v="4"/>
    <s v="Furniture"/>
    <s v="Chairs"/>
    <x v="2"/>
    <x v="5"/>
  </r>
  <r>
    <x v="47"/>
    <n v="1603"/>
    <n v="0"/>
    <n v="9"/>
    <s v="Clothing"/>
    <s v="Saree"/>
    <x v="2"/>
    <x v="15"/>
  </r>
  <r>
    <x v="48"/>
    <n v="1549"/>
    <n v="-439"/>
    <n v="4"/>
    <s v="Electronics"/>
    <s v="Phones"/>
    <x v="2"/>
    <x v="0"/>
  </r>
  <r>
    <x v="49"/>
    <n v="1183"/>
    <n v="106"/>
    <n v="4"/>
    <s v="Electronics"/>
    <s v="Printers"/>
    <x v="1"/>
    <x v="12"/>
  </r>
  <r>
    <x v="15"/>
    <n v="74"/>
    <n v="-123"/>
    <n v="8"/>
    <s v="Clothing"/>
    <s v="Skirt"/>
    <x v="3"/>
    <x v="0"/>
  </r>
  <r>
    <x v="50"/>
    <n v="1499"/>
    <n v="239"/>
    <n v="13"/>
    <s v="Clothing"/>
    <s v="Saree"/>
    <x v="2"/>
    <x v="6"/>
  </r>
  <r>
    <x v="51"/>
    <n v="1120"/>
    <n v="199"/>
    <n v="6"/>
    <s v="Clothing"/>
    <s v="Saree"/>
    <x v="1"/>
    <x v="13"/>
  </r>
  <r>
    <x v="52"/>
    <n v="15"/>
    <n v="-2"/>
    <n v="1"/>
    <s v="Clothing"/>
    <s v="T-shirt"/>
    <x v="4"/>
    <x v="0"/>
  </r>
  <r>
    <x v="53"/>
    <n v="1487"/>
    <n v="624"/>
    <n v="3"/>
    <s v="Clothing"/>
    <s v="Trousers"/>
    <x v="2"/>
    <x v="13"/>
  </r>
  <r>
    <x v="54"/>
    <n v="1118"/>
    <n v="206"/>
    <n v="2"/>
    <s v="Furniture"/>
    <s v="Tables"/>
    <x v="2"/>
    <x v="16"/>
  </r>
  <r>
    <x v="55"/>
    <n v="11"/>
    <n v="-5"/>
    <n v="2"/>
    <s v="Clothing"/>
    <s v="Hankerchief"/>
    <x v="0"/>
    <x v="3"/>
  </r>
  <r>
    <x v="56"/>
    <n v="15"/>
    <n v="4"/>
    <n v="1"/>
    <s v="Clothing"/>
    <s v="Hankerchief"/>
    <x v="4"/>
    <x v="6"/>
  </r>
  <r>
    <x v="57"/>
    <n v="1364"/>
    <n v="1864"/>
    <n v="5"/>
    <s v="Furniture"/>
    <s v="Tables"/>
    <x v="2"/>
    <x v="14"/>
  </r>
  <r>
    <x v="58"/>
    <n v="1337"/>
    <n v="147"/>
    <n v="7"/>
    <s v="Electronics"/>
    <s v="Printers"/>
    <x v="2"/>
    <x v="17"/>
  </r>
  <r>
    <x v="59"/>
    <n v="15"/>
    <n v="2"/>
    <n v="1"/>
    <s v="Clothing"/>
    <s v="Leggings"/>
    <x v="4"/>
    <x v="13"/>
  </r>
  <r>
    <x v="60"/>
    <n v="322"/>
    <n v="-193"/>
    <n v="5"/>
    <s v="Electronics"/>
    <s v="Printers"/>
    <x v="3"/>
    <x v="16"/>
  </r>
  <r>
    <x v="61"/>
    <n v="1316"/>
    <n v="527"/>
    <n v="7"/>
    <s v="Electronics"/>
    <s v="Electronic Games"/>
    <x v="2"/>
    <x v="0"/>
  </r>
  <r>
    <x v="62"/>
    <n v="1314"/>
    <n v="342"/>
    <n v="3"/>
    <s v="Furniture"/>
    <s v="Bookcases"/>
    <x v="2"/>
    <x v="8"/>
  </r>
  <r>
    <x v="63"/>
    <n v="17"/>
    <n v="7"/>
    <n v="3"/>
    <s v="Clothing"/>
    <s v="Hankerchief"/>
    <x v="4"/>
    <x v="17"/>
  </r>
  <r>
    <x v="64"/>
    <n v="17"/>
    <n v="2"/>
    <n v="2"/>
    <s v="Clothing"/>
    <s v="Skirt"/>
    <x v="4"/>
    <x v="1"/>
  </r>
  <r>
    <x v="65"/>
    <n v="17"/>
    <n v="-12"/>
    <n v="5"/>
    <s v="Clothing"/>
    <s v="Skirt"/>
    <x v="4"/>
    <x v="2"/>
  </r>
  <r>
    <x v="66"/>
    <n v="1308"/>
    <n v="536"/>
    <n v="3"/>
    <s v="Furniture"/>
    <s v="Bookcases"/>
    <x v="2"/>
    <x v="10"/>
  </r>
  <r>
    <x v="67"/>
    <n v="1076"/>
    <n v="-38"/>
    <n v="4"/>
    <s v="Electronics"/>
    <s v="Printers"/>
    <x v="2"/>
    <x v="0"/>
  </r>
  <r>
    <x v="68"/>
    <n v="1301"/>
    <n v="573"/>
    <n v="5"/>
    <s v="Electronics"/>
    <s v="Accessories"/>
    <x v="2"/>
    <x v="3"/>
  </r>
  <r>
    <x v="69"/>
    <n v="1300"/>
    <n v="-16"/>
    <n v="8"/>
    <s v="Electronics"/>
    <s v="Printers"/>
    <x v="2"/>
    <x v="4"/>
  </r>
  <r>
    <x v="70"/>
    <n v="11"/>
    <n v="-2"/>
    <n v="4"/>
    <s v="Clothing"/>
    <s v="Hankerchief"/>
    <x v="0"/>
    <x v="15"/>
  </r>
  <r>
    <x v="71"/>
    <n v="1298"/>
    <n v="65"/>
    <n v="9"/>
    <s v="Electronics"/>
    <s v="Printers"/>
    <x v="1"/>
    <x v="2"/>
  </r>
  <r>
    <x v="72"/>
    <n v="304"/>
    <n v="97"/>
    <n v="6"/>
    <s v="Clothing"/>
    <s v="Stole"/>
    <x v="3"/>
    <x v="8"/>
  </r>
  <r>
    <x v="73"/>
    <n v="1055"/>
    <n v="264"/>
    <n v="4"/>
    <s v="Electronics"/>
    <s v="Printers"/>
    <x v="1"/>
    <x v="2"/>
  </r>
  <r>
    <x v="74"/>
    <n v="17"/>
    <n v="-13"/>
    <n v="4"/>
    <s v="Clothing"/>
    <s v="Skirt"/>
    <x v="4"/>
    <x v="0"/>
  </r>
  <r>
    <x v="75"/>
    <n v="147"/>
    <n v="73"/>
    <n v="3"/>
    <s v="Clothing"/>
    <s v="Stole"/>
    <x v="0"/>
    <x v="0"/>
  </r>
  <r>
    <x v="76"/>
    <n v="965"/>
    <n v="-68"/>
    <n v="3"/>
    <s v="Electronics"/>
    <s v="Printers"/>
    <x v="0"/>
    <x v="0"/>
  </r>
  <r>
    <x v="19"/>
    <n v="12"/>
    <n v="-2"/>
    <n v="3"/>
    <s v="Clothing"/>
    <s v="Hankerchief"/>
    <x v="0"/>
    <x v="1"/>
  </r>
  <r>
    <x v="77"/>
    <n v="14"/>
    <n v="-2"/>
    <n v="3"/>
    <s v="Clothing"/>
    <s v="Hankerchief"/>
    <x v="3"/>
    <x v="16"/>
  </r>
  <r>
    <x v="78"/>
    <n v="934"/>
    <n v="-916"/>
    <n v="7"/>
    <s v="Electronics"/>
    <s v="Electronic Games"/>
    <x v="0"/>
    <x v="13"/>
  </r>
  <r>
    <x v="79"/>
    <n v="929"/>
    <n v="-93"/>
    <n v="9"/>
    <s v="Clothing"/>
    <s v="Saree"/>
    <x v="0"/>
    <x v="0"/>
  </r>
  <r>
    <x v="80"/>
    <n v="18"/>
    <n v="3"/>
    <n v="2"/>
    <s v="Clothing"/>
    <s v="Hankerchief"/>
    <x v="4"/>
    <x v="3"/>
  </r>
  <r>
    <x v="81"/>
    <n v="916"/>
    <n v="192"/>
    <n v="11"/>
    <s v="Electronics"/>
    <s v="Phones"/>
    <x v="0"/>
    <x v="16"/>
  </r>
  <r>
    <x v="82"/>
    <n v="76"/>
    <n v="-72"/>
    <n v="9"/>
    <s v="Clothing"/>
    <s v="Hankerchief"/>
    <x v="0"/>
    <x v="0"/>
  </r>
  <r>
    <x v="83"/>
    <n v="869"/>
    <n v="67"/>
    <n v="4"/>
    <s v="Furniture"/>
    <s v="Tables"/>
    <x v="0"/>
    <x v="9"/>
  </r>
  <r>
    <x v="84"/>
    <n v="112"/>
    <n v="24"/>
    <n v="3"/>
    <s v="Clothing"/>
    <s v="Kurti"/>
    <x v="0"/>
    <x v="14"/>
  </r>
  <r>
    <x v="18"/>
    <n v="39"/>
    <n v="16"/>
    <n v="6"/>
    <s v="Clothing"/>
    <s v="Skirt"/>
    <x v="3"/>
    <x v="7"/>
  </r>
  <r>
    <x v="85"/>
    <n v="857"/>
    <n v="-274"/>
    <n v="2"/>
    <s v="Furniture"/>
    <s v="Tables"/>
    <x v="0"/>
    <x v="6"/>
  </r>
  <r>
    <x v="86"/>
    <n v="828"/>
    <n v="230"/>
    <n v="2"/>
    <s v="Furniture"/>
    <s v="Chairs"/>
    <x v="0"/>
    <x v="0"/>
  </r>
  <r>
    <x v="87"/>
    <n v="1279"/>
    <n v="-640"/>
    <n v="8"/>
    <s v="Electronics"/>
    <s v="Printers"/>
    <x v="1"/>
    <x v="5"/>
  </r>
  <r>
    <x v="88"/>
    <n v="1250"/>
    <n v="486"/>
    <n v="7"/>
    <s v="Clothing"/>
    <s v="Saree"/>
    <x v="1"/>
    <x v="17"/>
  </r>
  <r>
    <x v="89"/>
    <n v="823"/>
    <n v="-18"/>
    <n v="7"/>
    <s v="Furniture"/>
    <s v="Chairs"/>
    <x v="0"/>
    <x v="0"/>
  </r>
  <r>
    <x v="75"/>
    <n v="1157"/>
    <n v="-13"/>
    <n v="9"/>
    <s v="Furniture"/>
    <s v="Bookcases"/>
    <x v="2"/>
    <x v="0"/>
  </r>
  <r>
    <x v="90"/>
    <n v="126"/>
    <n v="-63"/>
    <n v="3"/>
    <s v="Electronics"/>
    <s v="Accessories"/>
    <x v="3"/>
    <x v="2"/>
  </r>
  <r>
    <x v="91"/>
    <n v="1145"/>
    <n v="-706"/>
    <n v="3"/>
    <s v="Electronics"/>
    <s v="Phones"/>
    <x v="2"/>
    <x v="6"/>
  </r>
  <r>
    <x v="92"/>
    <n v="774"/>
    <n v="170"/>
    <n v="3"/>
    <s v="Electronics"/>
    <s v="Accessories"/>
    <x v="0"/>
    <x v="3"/>
  </r>
  <r>
    <x v="93"/>
    <n v="24"/>
    <n v="-1"/>
    <n v="2"/>
    <s v="Clothing"/>
    <s v="Hankerchief"/>
    <x v="0"/>
    <x v="2"/>
  </r>
  <r>
    <x v="94"/>
    <n v="774"/>
    <n v="170"/>
    <n v="3"/>
    <s v="Electronics"/>
    <s v="Accessories"/>
    <x v="0"/>
    <x v="17"/>
  </r>
  <r>
    <x v="81"/>
    <n v="93"/>
    <n v="-1"/>
    <n v="2"/>
    <s v="Clothing"/>
    <s v="Hankerchief"/>
    <x v="0"/>
    <x v="16"/>
  </r>
  <r>
    <x v="95"/>
    <n v="765"/>
    <n v="-36"/>
    <n v="3"/>
    <s v="Electronics"/>
    <s v="Electronic Games"/>
    <x v="0"/>
    <x v="0"/>
  </r>
  <r>
    <x v="96"/>
    <n v="762"/>
    <n v="101"/>
    <n v="6"/>
    <s v="Electronics"/>
    <s v="Printers"/>
    <x v="0"/>
    <x v="15"/>
  </r>
  <r>
    <x v="97"/>
    <n v="761"/>
    <n v="266"/>
    <n v="9"/>
    <s v="Electronics"/>
    <s v="Electronic Games"/>
    <x v="0"/>
    <x v="0"/>
  </r>
  <r>
    <x v="98"/>
    <n v="96"/>
    <n v="-48"/>
    <n v="5"/>
    <s v="Clothing"/>
    <s v="Leggings"/>
    <x v="3"/>
    <x v="4"/>
  </r>
  <r>
    <x v="99"/>
    <n v="1137"/>
    <n v="-14"/>
    <n v="7"/>
    <s v="Electronics"/>
    <s v="Printers"/>
    <x v="1"/>
    <x v="0"/>
  </r>
  <r>
    <x v="91"/>
    <n v="18"/>
    <n v="8"/>
    <n v="2"/>
    <s v="Clothing"/>
    <s v="Hankerchief"/>
    <x v="4"/>
    <x v="6"/>
  </r>
  <r>
    <x v="100"/>
    <n v="749"/>
    <n v="-307"/>
    <n v="7"/>
    <s v="Furniture"/>
    <s v="Furnishings"/>
    <x v="0"/>
    <x v="6"/>
  </r>
  <r>
    <x v="99"/>
    <n v="1120"/>
    <n v="199"/>
    <n v="6"/>
    <s v="Clothing"/>
    <s v="Saree"/>
    <x v="1"/>
    <x v="0"/>
  </r>
  <r>
    <x v="101"/>
    <n v="744"/>
    <n v="119"/>
    <n v="6"/>
    <s v="Electronics"/>
    <s v="Printers"/>
    <x v="0"/>
    <x v="9"/>
  </r>
  <r>
    <x v="102"/>
    <n v="14"/>
    <n v="0"/>
    <n v="4"/>
    <s v="Clothing"/>
    <s v="Hankerchief"/>
    <x v="3"/>
    <x v="0"/>
  </r>
  <r>
    <x v="103"/>
    <n v="19"/>
    <n v="8"/>
    <n v="2"/>
    <s v="Clothing"/>
    <s v="Hankerchief"/>
    <x v="4"/>
    <x v="0"/>
  </r>
  <r>
    <x v="104"/>
    <n v="512"/>
    <n v="-225"/>
    <n v="5"/>
    <s v="Clothing"/>
    <s v="Saree"/>
    <x v="0"/>
    <x v="2"/>
  </r>
  <r>
    <x v="105"/>
    <n v="742"/>
    <n v="198"/>
    <n v="2"/>
    <s v="Furniture"/>
    <s v="Bookcases"/>
    <x v="0"/>
    <x v="2"/>
  </r>
  <r>
    <x v="106"/>
    <n v="44"/>
    <n v="-40"/>
    <n v="3"/>
    <s v="Clothing"/>
    <s v="Stole"/>
    <x v="0"/>
    <x v="16"/>
  </r>
  <r>
    <x v="8"/>
    <n v="1061"/>
    <n v="-36"/>
    <n v="8"/>
    <s v="Furniture"/>
    <s v="Bookcases"/>
    <x v="1"/>
    <x v="4"/>
  </r>
  <r>
    <x v="107"/>
    <n v="19"/>
    <n v="-2"/>
    <n v="2"/>
    <s v="Clothing"/>
    <s v="Leggings"/>
    <x v="4"/>
    <x v="11"/>
  </r>
  <r>
    <x v="108"/>
    <n v="17"/>
    <n v="0"/>
    <n v="1"/>
    <s v="Clothing"/>
    <s v="Hankerchief"/>
    <x v="0"/>
    <x v="17"/>
  </r>
  <r>
    <x v="109"/>
    <n v="741"/>
    <n v="267"/>
    <n v="5"/>
    <s v="Furniture"/>
    <s v="Bookcases"/>
    <x v="0"/>
    <x v="2"/>
  </r>
  <r>
    <x v="97"/>
    <n v="735"/>
    <n v="-235"/>
    <n v="6"/>
    <s v="Electronics"/>
    <s v="Printers"/>
    <x v="0"/>
    <x v="0"/>
  </r>
  <r>
    <x v="110"/>
    <n v="19"/>
    <n v="-1"/>
    <n v="1"/>
    <s v="Clothing"/>
    <s v="Shirt"/>
    <x v="4"/>
    <x v="0"/>
  </r>
  <r>
    <x v="111"/>
    <n v="1021"/>
    <n v="-48"/>
    <n v="4"/>
    <s v="Electronics"/>
    <s v="Electronic Games"/>
    <x v="1"/>
    <x v="0"/>
  </r>
  <r>
    <x v="112"/>
    <n v="556"/>
    <n v="-209"/>
    <n v="7"/>
    <s v="Clothing"/>
    <s v="Saree"/>
    <x v="0"/>
    <x v="4"/>
  </r>
  <r>
    <x v="113"/>
    <n v="63"/>
    <n v="-17"/>
    <n v="6"/>
    <s v="Clothing"/>
    <s v="Leggings"/>
    <x v="0"/>
    <x v="12"/>
  </r>
  <r>
    <x v="114"/>
    <n v="734"/>
    <n v="248"/>
    <n v="2"/>
    <s v="Furniture"/>
    <s v="Chairs"/>
    <x v="0"/>
    <x v="0"/>
  </r>
  <r>
    <x v="27"/>
    <n v="933"/>
    <n v="166"/>
    <n v="5"/>
    <s v="Clothing"/>
    <s v="Saree"/>
    <x v="2"/>
    <x v="2"/>
  </r>
  <r>
    <x v="115"/>
    <n v="20"/>
    <n v="-9"/>
    <n v="6"/>
    <s v="Clothing"/>
    <s v="Hankerchief"/>
    <x v="4"/>
    <x v="18"/>
  </r>
  <r>
    <x v="116"/>
    <n v="877"/>
    <n v="395"/>
    <n v="2"/>
    <s v="Furniture"/>
    <s v="Bookcases"/>
    <x v="2"/>
    <x v="0"/>
  </r>
  <r>
    <x v="109"/>
    <n v="719"/>
    <n v="303"/>
    <n v="6"/>
    <s v="Furniture"/>
    <s v="Chairs"/>
    <x v="0"/>
    <x v="2"/>
  </r>
  <r>
    <x v="117"/>
    <n v="12"/>
    <n v="1"/>
    <n v="2"/>
    <s v="Clothing"/>
    <s v="Hankerchief"/>
    <x v="0"/>
    <x v="0"/>
  </r>
  <r>
    <x v="118"/>
    <n v="714"/>
    <n v="56"/>
    <n v="4"/>
    <s v="Clothing"/>
    <s v="Saree"/>
    <x v="0"/>
    <x v="2"/>
  </r>
  <r>
    <x v="119"/>
    <n v="50"/>
    <n v="-15"/>
    <n v="4"/>
    <s v="Clothing"/>
    <s v="Leggings"/>
    <x v="0"/>
    <x v="4"/>
  </r>
  <r>
    <x v="120"/>
    <n v="709"/>
    <n v="-100"/>
    <n v="5"/>
    <s v="Electronics"/>
    <s v="Phones"/>
    <x v="0"/>
    <x v="0"/>
  </r>
  <r>
    <x v="121"/>
    <n v="21"/>
    <n v="-12"/>
    <n v="3"/>
    <s v="Clothing"/>
    <s v="Hankerchief"/>
    <x v="4"/>
    <x v="10"/>
  </r>
  <r>
    <x v="122"/>
    <n v="693"/>
    <n v="254"/>
    <n v="6"/>
    <s v="Clothing"/>
    <s v="Saree"/>
    <x v="0"/>
    <x v="18"/>
  </r>
  <r>
    <x v="81"/>
    <n v="24"/>
    <n v="1"/>
    <n v="4"/>
    <s v="Clothing"/>
    <s v="Hankerchief"/>
    <x v="0"/>
    <x v="16"/>
  </r>
  <r>
    <x v="123"/>
    <n v="24"/>
    <n v="1"/>
    <n v="2"/>
    <s v="Clothing"/>
    <s v="Hankerchief"/>
    <x v="3"/>
    <x v="16"/>
  </r>
  <r>
    <x v="83"/>
    <n v="24"/>
    <n v="1"/>
    <n v="2"/>
    <s v="Clothing"/>
    <s v="Hankerchief"/>
    <x v="0"/>
    <x v="9"/>
  </r>
  <r>
    <x v="124"/>
    <n v="21"/>
    <n v="10"/>
    <n v="1"/>
    <s v="Clothing"/>
    <s v="T-shirt"/>
    <x v="4"/>
    <x v="7"/>
  </r>
  <r>
    <x v="125"/>
    <n v="681"/>
    <n v="259"/>
    <n v="4"/>
    <s v="Furniture"/>
    <s v="Chairs"/>
    <x v="0"/>
    <x v="0"/>
  </r>
  <r>
    <x v="126"/>
    <n v="674"/>
    <n v="-187"/>
    <n v="2"/>
    <s v="Furniture"/>
    <s v="Tables"/>
    <x v="0"/>
    <x v="6"/>
  </r>
  <r>
    <x v="35"/>
    <n v="671"/>
    <n v="-309"/>
    <n v="5"/>
    <s v="Electronics"/>
    <s v="Electronic Games"/>
    <x v="0"/>
    <x v="3"/>
  </r>
  <r>
    <x v="127"/>
    <n v="646"/>
    <n v="-213"/>
    <n v="3"/>
    <s v="Electronics"/>
    <s v="Electronic Games"/>
    <x v="0"/>
    <x v="13"/>
  </r>
  <r>
    <x v="128"/>
    <n v="40"/>
    <n v="15"/>
    <n v="1"/>
    <s v="Clothing"/>
    <s v="Kurti"/>
    <x v="0"/>
    <x v="0"/>
  </r>
  <r>
    <x v="129"/>
    <n v="24"/>
    <n v="-2"/>
    <n v="2"/>
    <s v="Clothing"/>
    <s v="T-shirt"/>
    <x v="0"/>
    <x v="2"/>
  </r>
  <r>
    <x v="21"/>
    <n v="644"/>
    <n v="167"/>
    <n v="2"/>
    <s v="Electronics"/>
    <s v="Printers"/>
    <x v="0"/>
    <x v="0"/>
  </r>
  <r>
    <x v="130"/>
    <n v="643"/>
    <n v="225"/>
    <n v="2"/>
    <s v="Electronics"/>
    <s v="Printers"/>
    <x v="0"/>
    <x v="15"/>
  </r>
  <r>
    <x v="131"/>
    <n v="632"/>
    <n v="-316"/>
    <n v="6"/>
    <s v="Clothing"/>
    <s v="Saree"/>
    <x v="0"/>
    <x v="2"/>
  </r>
  <r>
    <x v="82"/>
    <n v="632"/>
    <n v="316"/>
    <n v="6"/>
    <s v="Clothing"/>
    <s v="Saree"/>
    <x v="0"/>
    <x v="0"/>
  </r>
  <r>
    <x v="132"/>
    <n v="610"/>
    <n v="208"/>
    <n v="3"/>
    <s v="Electronics"/>
    <s v="Printers"/>
    <x v="0"/>
    <x v="8"/>
  </r>
  <r>
    <x v="92"/>
    <n v="78"/>
    <n v="-28"/>
    <n v="6"/>
    <s v="Clothing"/>
    <s v="Kurti"/>
    <x v="3"/>
    <x v="3"/>
  </r>
  <r>
    <x v="133"/>
    <n v="595"/>
    <n v="119"/>
    <n v="4"/>
    <s v="Furniture"/>
    <s v="Bookcases"/>
    <x v="0"/>
    <x v="13"/>
  </r>
  <r>
    <x v="134"/>
    <n v="595"/>
    <n v="292"/>
    <n v="3"/>
    <s v="Clothing"/>
    <s v="Saree"/>
    <x v="0"/>
    <x v="17"/>
  </r>
  <r>
    <x v="3"/>
    <n v="852"/>
    <n v="51"/>
    <n v="5"/>
    <s v="Furniture"/>
    <s v="Bookcases"/>
    <x v="2"/>
    <x v="2"/>
  </r>
  <r>
    <x v="135"/>
    <n v="594"/>
    <n v="89"/>
    <n v="3"/>
    <s v="Furniture"/>
    <s v="Bookcases"/>
    <x v="0"/>
    <x v="4"/>
  </r>
  <r>
    <x v="136"/>
    <n v="585"/>
    <n v="175"/>
    <n v="13"/>
    <s v="Clothing"/>
    <s v="T-shirt"/>
    <x v="0"/>
    <x v="1"/>
  </r>
  <r>
    <x v="137"/>
    <n v="582"/>
    <n v="262"/>
    <n v="5"/>
    <s v="Furniture"/>
    <s v="Furnishings"/>
    <x v="0"/>
    <x v="3"/>
  </r>
  <r>
    <x v="138"/>
    <n v="845"/>
    <n v="84"/>
    <n v="7"/>
    <s v="Clothing"/>
    <s v="Saree"/>
    <x v="2"/>
    <x v="9"/>
  </r>
  <r>
    <x v="139"/>
    <n v="829"/>
    <n v="19"/>
    <n v="4"/>
    <s v="Electronics"/>
    <s v="Printers"/>
    <x v="2"/>
    <x v="0"/>
  </r>
  <r>
    <x v="4"/>
    <n v="561"/>
    <n v="212"/>
    <n v="3"/>
    <s v="Clothing"/>
    <s v="Saree"/>
    <x v="0"/>
    <x v="2"/>
  </r>
  <r>
    <x v="73"/>
    <n v="771"/>
    <n v="-424"/>
    <n v="2"/>
    <s v="Electronics"/>
    <s v="Phones"/>
    <x v="2"/>
    <x v="2"/>
  </r>
  <r>
    <x v="140"/>
    <n v="765"/>
    <n v="8"/>
    <n v="6"/>
    <s v="Clothing"/>
    <s v="Saree"/>
    <x v="1"/>
    <x v="0"/>
  </r>
  <r>
    <x v="141"/>
    <n v="31"/>
    <n v="2"/>
    <n v="2"/>
    <s v="Clothing"/>
    <s v="Hankerchief"/>
    <x v="0"/>
    <x v="8"/>
  </r>
  <r>
    <x v="142"/>
    <n v="557"/>
    <n v="-111"/>
    <n v="2"/>
    <s v="Electronics"/>
    <s v="Electronic Games"/>
    <x v="0"/>
    <x v="17"/>
  </r>
  <r>
    <x v="140"/>
    <n v="757"/>
    <n v="371"/>
    <n v="2"/>
    <s v="Electronics"/>
    <s v="Printers"/>
    <x v="2"/>
    <x v="0"/>
  </r>
  <r>
    <x v="143"/>
    <n v="545"/>
    <n v="-73"/>
    <n v="11"/>
    <s v="Electronics"/>
    <s v="Phones"/>
    <x v="0"/>
    <x v="12"/>
  </r>
  <r>
    <x v="144"/>
    <n v="1052"/>
    <n v="-82"/>
    <n v="3"/>
    <s v="Furniture"/>
    <s v="Bookcases"/>
    <x v="3"/>
    <x v="2"/>
  </r>
  <r>
    <x v="145"/>
    <n v="544"/>
    <n v="-152"/>
    <n v="3"/>
    <s v="Furniture"/>
    <s v="Bookcases"/>
    <x v="0"/>
    <x v="2"/>
  </r>
  <r>
    <x v="146"/>
    <n v="22"/>
    <n v="9"/>
    <n v="2"/>
    <s v="Clothing"/>
    <s v="Leggings"/>
    <x v="4"/>
    <x v="1"/>
  </r>
  <r>
    <x v="23"/>
    <n v="757"/>
    <n v="371"/>
    <n v="2"/>
    <s v="Electronics"/>
    <s v="Printers"/>
    <x v="2"/>
    <x v="10"/>
  </r>
  <r>
    <x v="147"/>
    <n v="742"/>
    <n v="198"/>
    <n v="2"/>
    <s v="Furniture"/>
    <s v="Bookcases"/>
    <x v="2"/>
    <x v="17"/>
  </r>
  <r>
    <x v="148"/>
    <n v="537"/>
    <n v="107"/>
    <n v="3"/>
    <s v="Clothing"/>
    <s v="Saree"/>
    <x v="0"/>
    <x v="13"/>
  </r>
  <r>
    <x v="140"/>
    <n v="536"/>
    <n v="91"/>
    <n v="1"/>
    <s v="Clothing"/>
    <s v="Trousers"/>
    <x v="0"/>
    <x v="0"/>
  </r>
  <r>
    <x v="93"/>
    <n v="6"/>
    <n v="3"/>
    <n v="1"/>
    <s v="Clothing"/>
    <s v="Hankerchief"/>
    <x v="0"/>
    <x v="2"/>
  </r>
  <r>
    <x v="0"/>
    <n v="523"/>
    <n v="204"/>
    <n v="7"/>
    <s v="Clothing"/>
    <s v="Trousers"/>
    <x v="0"/>
    <x v="0"/>
  </r>
  <r>
    <x v="149"/>
    <n v="27"/>
    <n v="9"/>
    <n v="2"/>
    <s v="Clothing"/>
    <s v="T-shirt"/>
    <x v="3"/>
    <x v="6"/>
  </r>
  <r>
    <x v="150"/>
    <n v="516"/>
    <n v="392"/>
    <n v="8"/>
    <s v="Furniture"/>
    <s v="Chairs"/>
    <x v="0"/>
    <x v="14"/>
  </r>
  <r>
    <x v="151"/>
    <n v="504"/>
    <n v="116"/>
    <n v="3"/>
    <s v="Furniture"/>
    <s v="Bookcases"/>
    <x v="0"/>
    <x v="2"/>
  </r>
  <r>
    <x v="152"/>
    <n v="502"/>
    <n v="84"/>
    <n v="4"/>
    <s v="Electronics"/>
    <s v="Phones"/>
    <x v="0"/>
    <x v="6"/>
  </r>
  <r>
    <x v="153"/>
    <n v="734"/>
    <n v="213"/>
    <n v="6"/>
    <s v="Electronics"/>
    <s v="Electronic Games"/>
    <x v="2"/>
    <x v="0"/>
  </r>
  <r>
    <x v="154"/>
    <n v="42"/>
    <n v="12"/>
    <n v="2"/>
    <s v="Clothing"/>
    <s v="Kurti"/>
    <x v="0"/>
    <x v="0"/>
  </r>
  <r>
    <x v="155"/>
    <n v="29"/>
    <n v="11"/>
    <n v="4"/>
    <s v="Clothing"/>
    <s v="Skirt"/>
    <x v="0"/>
    <x v="2"/>
  </r>
  <r>
    <x v="156"/>
    <n v="240"/>
    <n v="12"/>
    <n v="6"/>
    <s v="Clothing"/>
    <s v="Kurti"/>
    <x v="3"/>
    <x v="18"/>
  </r>
  <r>
    <x v="157"/>
    <n v="496"/>
    <n v="-79"/>
    <n v="2"/>
    <s v="Clothing"/>
    <s v="Trousers"/>
    <x v="0"/>
    <x v="18"/>
  </r>
  <r>
    <x v="158"/>
    <n v="485"/>
    <n v="29"/>
    <n v="4"/>
    <s v="Electronics"/>
    <s v="Electronic Games"/>
    <x v="0"/>
    <x v="1"/>
  </r>
  <r>
    <x v="159"/>
    <n v="31"/>
    <n v="-11"/>
    <n v="3"/>
    <s v="Clothing"/>
    <s v="Skirt"/>
    <x v="3"/>
    <x v="2"/>
  </r>
  <r>
    <x v="160"/>
    <n v="676"/>
    <n v="151"/>
    <n v="3"/>
    <s v="Electronics"/>
    <s v="Printers"/>
    <x v="2"/>
    <x v="8"/>
  </r>
  <r>
    <x v="125"/>
    <n v="23"/>
    <n v="8"/>
    <n v="2"/>
    <s v="Clothing"/>
    <s v="Hankerchief"/>
    <x v="4"/>
    <x v="0"/>
  </r>
  <r>
    <x v="161"/>
    <n v="13"/>
    <n v="3"/>
    <n v="2"/>
    <s v="Clothing"/>
    <s v="Hankerchief"/>
    <x v="0"/>
    <x v="16"/>
  </r>
  <r>
    <x v="162"/>
    <n v="180"/>
    <n v="0"/>
    <n v="8"/>
    <s v="Clothing"/>
    <s v="Stole"/>
    <x v="0"/>
    <x v="11"/>
  </r>
  <r>
    <x v="1"/>
    <n v="671"/>
    <n v="114"/>
    <n v="9"/>
    <s v="Electronics"/>
    <s v="Phones"/>
    <x v="2"/>
    <x v="1"/>
  </r>
  <r>
    <x v="163"/>
    <n v="22"/>
    <n v="11"/>
    <n v="3"/>
    <s v="Clothing"/>
    <s v="Kurti"/>
    <x v="0"/>
    <x v="6"/>
  </r>
  <r>
    <x v="87"/>
    <n v="668"/>
    <n v="-31"/>
    <n v="3"/>
    <s v="Electronics"/>
    <s v="Printers"/>
    <x v="2"/>
    <x v="5"/>
  </r>
  <r>
    <x v="92"/>
    <n v="145"/>
    <n v="0"/>
    <n v="3"/>
    <s v="Clothing"/>
    <s v="Saree"/>
    <x v="3"/>
    <x v="3"/>
  </r>
  <r>
    <x v="164"/>
    <n v="24"/>
    <n v="8"/>
    <n v="2"/>
    <s v="Clothing"/>
    <s v="Skirt"/>
    <x v="4"/>
    <x v="7"/>
  </r>
  <r>
    <x v="57"/>
    <n v="476"/>
    <n v="0"/>
    <n v="3"/>
    <s v="Furniture"/>
    <s v="Chairs"/>
    <x v="0"/>
    <x v="14"/>
  </r>
  <r>
    <x v="153"/>
    <n v="24"/>
    <n v="11"/>
    <n v="5"/>
    <s v="Clothing"/>
    <s v="Hankerchief"/>
    <x v="4"/>
    <x v="0"/>
  </r>
  <r>
    <x v="5"/>
    <n v="37"/>
    <n v="3"/>
    <n v="3"/>
    <s v="Clothing"/>
    <s v="Hankerchief"/>
    <x v="0"/>
    <x v="1"/>
  </r>
  <r>
    <x v="165"/>
    <n v="152"/>
    <n v="50"/>
    <n v="6"/>
    <s v="Clothing"/>
    <s v="Stole"/>
    <x v="3"/>
    <x v="8"/>
  </r>
  <r>
    <x v="166"/>
    <n v="32"/>
    <n v="11"/>
    <n v="2"/>
    <s v="Clothing"/>
    <s v="Leggings"/>
    <x v="3"/>
    <x v="0"/>
  </r>
  <r>
    <x v="167"/>
    <n v="52"/>
    <n v="11"/>
    <n v="5"/>
    <s v="Clothing"/>
    <s v="Leggings"/>
    <x v="0"/>
    <x v="7"/>
  </r>
  <r>
    <x v="168"/>
    <n v="24"/>
    <n v="11"/>
    <n v="3"/>
    <s v="Clothing"/>
    <s v="Hankerchief"/>
    <x v="4"/>
    <x v="14"/>
  </r>
  <r>
    <x v="91"/>
    <n v="473"/>
    <n v="42"/>
    <n v="4"/>
    <s v="Furniture"/>
    <s v="Chairs"/>
    <x v="0"/>
    <x v="6"/>
  </r>
  <r>
    <x v="169"/>
    <n v="263"/>
    <n v="50"/>
    <n v="5"/>
    <s v="Clothing"/>
    <s v="Stole"/>
    <x v="0"/>
    <x v="2"/>
  </r>
  <r>
    <x v="170"/>
    <n v="61"/>
    <n v="11"/>
    <n v="3"/>
    <s v="Clothing"/>
    <s v="Kurti"/>
    <x v="0"/>
    <x v="1"/>
  </r>
  <r>
    <x v="171"/>
    <n v="469"/>
    <n v="-459"/>
    <n v="3"/>
    <s v="Electronics"/>
    <s v="Electronic Games"/>
    <x v="0"/>
    <x v="2"/>
  </r>
  <r>
    <x v="172"/>
    <n v="1272"/>
    <n v="547"/>
    <n v="2"/>
    <s v="Electronics"/>
    <s v="Phones"/>
    <x v="0"/>
    <x v="9"/>
  </r>
  <r>
    <x v="168"/>
    <n v="169"/>
    <n v="0"/>
    <n v="3"/>
    <s v="Electronics"/>
    <s v="Accessories"/>
    <x v="0"/>
    <x v="14"/>
  </r>
  <r>
    <x v="103"/>
    <n v="25"/>
    <n v="11"/>
    <n v="3"/>
    <s v="Clothing"/>
    <s v="Leggings"/>
    <x v="4"/>
    <x v="0"/>
  </r>
  <r>
    <x v="89"/>
    <n v="457"/>
    <n v="-41"/>
    <n v="4"/>
    <s v="Clothing"/>
    <s v="Saree"/>
    <x v="0"/>
    <x v="0"/>
  </r>
  <r>
    <x v="103"/>
    <n v="455"/>
    <n v="77"/>
    <n v="8"/>
    <s v="Electronics"/>
    <s v="Accessories"/>
    <x v="0"/>
    <x v="0"/>
  </r>
  <r>
    <x v="96"/>
    <n v="25"/>
    <n v="2"/>
    <n v="2"/>
    <s v="Clothing"/>
    <s v="Hankerchief"/>
    <x v="4"/>
    <x v="15"/>
  </r>
  <r>
    <x v="173"/>
    <n v="450"/>
    <n v="-90"/>
    <n v="3"/>
    <s v="Electronics"/>
    <s v="Printers"/>
    <x v="0"/>
    <x v="2"/>
  </r>
  <r>
    <x v="174"/>
    <n v="30"/>
    <n v="-35"/>
    <n v="1"/>
    <s v="Furniture"/>
    <s v="Chairs"/>
    <x v="0"/>
    <x v="13"/>
  </r>
  <r>
    <x v="175"/>
    <n v="659"/>
    <n v="-37"/>
    <n v="2"/>
    <s v="Furniture"/>
    <s v="Bookcases"/>
    <x v="2"/>
    <x v="10"/>
  </r>
  <r>
    <x v="176"/>
    <n v="448"/>
    <n v="148"/>
    <n v="2"/>
    <s v="Electronics"/>
    <s v="Printers"/>
    <x v="0"/>
    <x v="9"/>
  </r>
  <r>
    <x v="177"/>
    <n v="446"/>
    <n v="53"/>
    <n v="3"/>
    <s v="Electronics"/>
    <s v="Printers"/>
    <x v="0"/>
    <x v="7"/>
  </r>
  <r>
    <x v="178"/>
    <n v="98"/>
    <n v="-45"/>
    <n v="2"/>
    <s v="Furniture"/>
    <s v="Chairs"/>
    <x v="3"/>
    <x v="0"/>
  </r>
  <r>
    <x v="1"/>
    <n v="443"/>
    <n v="11"/>
    <n v="1"/>
    <s v="Clothing"/>
    <s v="Saree"/>
    <x v="0"/>
    <x v="1"/>
  </r>
  <r>
    <x v="87"/>
    <n v="427"/>
    <n v="-50"/>
    <n v="7"/>
    <s v="Electronics"/>
    <s v="Phones"/>
    <x v="0"/>
    <x v="5"/>
  </r>
  <r>
    <x v="123"/>
    <n v="656"/>
    <n v="-36"/>
    <n v="2"/>
    <s v="Furniture"/>
    <s v="Bookcases"/>
    <x v="2"/>
    <x v="16"/>
  </r>
  <r>
    <x v="179"/>
    <n v="424"/>
    <n v="161"/>
    <n v="2"/>
    <s v="Clothing"/>
    <s v="Saree"/>
    <x v="0"/>
    <x v="12"/>
  </r>
  <r>
    <x v="76"/>
    <n v="27"/>
    <n v="8"/>
    <n v="2"/>
    <s v="Clothing"/>
    <s v="T-shirt"/>
    <x v="4"/>
    <x v="0"/>
  </r>
  <r>
    <x v="4"/>
    <n v="424"/>
    <n v="-272"/>
    <n v="5"/>
    <s v="Electronics"/>
    <s v="Phones"/>
    <x v="0"/>
    <x v="2"/>
  </r>
  <r>
    <x v="180"/>
    <n v="202"/>
    <n v="4"/>
    <n v="4"/>
    <s v="Clothing"/>
    <s v="Hankerchief"/>
    <x v="0"/>
    <x v="3"/>
  </r>
  <r>
    <x v="154"/>
    <n v="1275"/>
    <n v="357"/>
    <n v="2"/>
    <s v="Electronics"/>
    <s v="Phones"/>
    <x v="3"/>
    <x v="0"/>
  </r>
  <r>
    <x v="14"/>
    <n v="418"/>
    <n v="70"/>
    <n v="7"/>
    <s v="Electronics"/>
    <s v="Phones"/>
    <x v="0"/>
    <x v="1"/>
  </r>
  <r>
    <x v="181"/>
    <n v="417"/>
    <n v="49"/>
    <n v="3"/>
    <s v="Electronics"/>
    <s v="Electronic Games"/>
    <x v="0"/>
    <x v="0"/>
  </r>
  <r>
    <x v="18"/>
    <n v="199"/>
    <n v="48"/>
    <n v="4"/>
    <s v="Clothing"/>
    <s v="Stole"/>
    <x v="3"/>
    <x v="7"/>
  </r>
  <r>
    <x v="129"/>
    <n v="385"/>
    <n v="-77"/>
    <n v="11"/>
    <s v="Furniture"/>
    <s v="Furnishings"/>
    <x v="3"/>
    <x v="2"/>
  </r>
  <r>
    <x v="132"/>
    <n v="414"/>
    <n v="199"/>
    <n v="3"/>
    <s v="Electronics"/>
    <s v="Phones"/>
    <x v="0"/>
    <x v="8"/>
  </r>
  <r>
    <x v="10"/>
    <n v="97"/>
    <n v="-45"/>
    <n v="4"/>
    <s v="Clothing"/>
    <s v="Saree"/>
    <x v="0"/>
    <x v="0"/>
  </r>
  <r>
    <x v="182"/>
    <n v="648"/>
    <n v="50"/>
    <n v="6"/>
    <s v="Electronics"/>
    <s v="Electronic Games"/>
    <x v="2"/>
    <x v="11"/>
  </r>
  <r>
    <x v="183"/>
    <n v="27"/>
    <n v="-25"/>
    <n v="2"/>
    <s v="Clothing"/>
    <s v="Shirt"/>
    <x v="4"/>
    <x v="3"/>
  </r>
  <r>
    <x v="184"/>
    <n v="27"/>
    <n v="12"/>
    <n v="1"/>
    <s v="Clothing"/>
    <s v="Stole"/>
    <x v="4"/>
    <x v="2"/>
  </r>
  <r>
    <x v="185"/>
    <n v="27"/>
    <n v="1"/>
    <n v="1"/>
    <s v="Clothing"/>
    <s v="Stole"/>
    <x v="3"/>
    <x v="7"/>
  </r>
  <r>
    <x v="37"/>
    <n v="413"/>
    <n v="-314"/>
    <n v="9"/>
    <s v="Furniture"/>
    <s v="Chairs"/>
    <x v="0"/>
    <x v="0"/>
  </r>
  <r>
    <x v="99"/>
    <n v="53"/>
    <n v="2"/>
    <n v="4"/>
    <s v="Clothing"/>
    <s v="Hankerchief"/>
    <x v="0"/>
    <x v="0"/>
  </r>
  <r>
    <x v="51"/>
    <n v="29"/>
    <n v="8"/>
    <n v="5"/>
    <s v="Clothing"/>
    <s v="Hankerchief"/>
    <x v="3"/>
    <x v="13"/>
  </r>
  <r>
    <x v="186"/>
    <n v="30"/>
    <n v="13"/>
    <n v="1"/>
    <s v="Clothing"/>
    <s v="T-shirt"/>
    <x v="3"/>
    <x v="13"/>
  </r>
  <r>
    <x v="187"/>
    <n v="412"/>
    <n v="412"/>
    <n v="6"/>
    <s v="Clothing"/>
    <s v="Saree"/>
    <x v="0"/>
    <x v="2"/>
  </r>
  <r>
    <x v="188"/>
    <n v="646"/>
    <n v="-23"/>
    <n v="2"/>
    <s v="Electronics"/>
    <s v="Printers"/>
    <x v="2"/>
    <x v="9"/>
  </r>
  <r>
    <x v="93"/>
    <n v="30"/>
    <n v="-5"/>
    <n v="5"/>
    <s v="Clothing"/>
    <s v="Stole"/>
    <x v="3"/>
    <x v="2"/>
  </r>
  <r>
    <x v="99"/>
    <n v="618"/>
    <n v="27"/>
    <n v="4"/>
    <s v="Furniture"/>
    <s v="Bookcases"/>
    <x v="2"/>
    <x v="0"/>
  </r>
  <r>
    <x v="189"/>
    <n v="143"/>
    <n v="-124"/>
    <n v="5"/>
    <s v="Clothing"/>
    <s v="Saree"/>
    <x v="3"/>
    <x v="7"/>
  </r>
  <r>
    <x v="37"/>
    <n v="31"/>
    <n v="1"/>
    <n v="2"/>
    <s v="Clothing"/>
    <s v="Hankerchief"/>
    <x v="3"/>
    <x v="0"/>
  </r>
  <r>
    <x v="98"/>
    <n v="409"/>
    <n v="86"/>
    <n v="3"/>
    <s v="Clothing"/>
    <s v="Saree"/>
    <x v="0"/>
    <x v="4"/>
  </r>
  <r>
    <x v="93"/>
    <n v="406"/>
    <n v="126"/>
    <n v="2"/>
    <s v="Clothing"/>
    <s v="Saree"/>
    <x v="0"/>
    <x v="2"/>
  </r>
  <r>
    <x v="190"/>
    <n v="565"/>
    <n v="66"/>
    <n v="7"/>
    <s v="Clothing"/>
    <s v="Saree"/>
    <x v="2"/>
    <x v="10"/>
  </r>
  <r>
    <x v="135"/>
    <n v="85"/>
    <n v="2"/>
    <n v="6"/>
    <s v="Clothing"/>
    <s v="Stole"/>
    <x v="0"/>
    <x v="4"/>
  </r>
  <r>
    <x v="191"/>
    <n v="561"/>
    <n v="118"/>
    <n v="5"/>
    <s v="Furniture"/>
    <s v="Bookcases"/>
    <x v="2"/>
    <x v="8"/>
  </r>
  <r>
    <x v="192"/>
    <n v="503"/>
    <n v="-56"/>
    <n v="2"/>
    <s v="Clothing"/>
    <s v="Trousers"/>
    <x v="0"/>
    <x v="5"/>
  </r>
  <r>
    <x v="156"/>
    <n v="31"/>
    <n v="14"/>
    <n v="3"/>
    <s v="Clothing"/>
    <s v="Stole"/>
    <x v="3"/>
    <x v="18"/>
  </r>
  <r>
    <x v="193"/>
    <n v="398"/>
    <n v="111"/>
    <n v="8"/>
    <s v="Clothing"/>
    <s v="Hankerchief"/>
    <x v="0"/>
    <x v="1"/>
  </r>
  <r>
    <x v="194"/>
    <n v="388"/>
    <n v="93"/>
    <n v="2"/>
    <s v="Furniture"/>
    <s v="Bookcases"/>
    <x v="0"/>
    <x v="7"/>
  </r>
  <r>
    <x v="34"/>
    <n v="498"/>
    <n v="-116"/>
    <n v="4"/>
    <s v="Clothing"/>
    <s v="Saree"/>
    <x v="3"/>
    <x v="0"/>
  </r>
  <r>
    <x v="195"/>
    <n v="561"/>
    <n v="212"/>
    <n v="3"/>
    <s v="Clothing"/>
    <s v="Saree"/>
    <x v="2"/>
    <x v="1"/>
  </r>
  <r>
    <x v="196"/>
    <n v="61"/>
    <n v="3"/>
    <n v="4"/>
    <s v="Clothing"/>
    <s v="Hankerchief"/>
    <x v="0"/>
    <x v="2"/>
  </r>
  <r>
    <x v="197"/>
    <n v="34"/>
    <n v="-22"/>
    <n v="4"/>
    <s v="Clothing"/>
    <s v="T-shirt"/>
    <x v="0"/>
    <x v="13"/>
  </r>
  <r>
    <x v="198"/>
    <n v="32"/>
    <n v="6"/>
    <n v="3"/>
    <s v="Clothing"/>
    <s v="Shirt"/>
    <x v="3"/>
    <x v="6"/>
  </r>
  <r>
    <x v="16"/>
    <n v="623"/>
    <n v="-192"/>
    <n v="3"/>
    <s v="Furniture"/>
    <s v="Tables"/>
    <x v="3"/>
    <x v="1"/>
  </r>
  <r>
    <x v="199"/>
    <n v="520"/>
    <n v="151"/>
    <n v="3"/>
    <s v="Electronics"/>
    <s v="Phones"/>
    <x v="2"/>
    <x v="4"/>
  </r>
  <r>
    <x v="82"/>
    <n v="32"/>
    <n v="-16"/>
    <n v="6"/>
    <s v="Clothing"/>
    <s v="Saree"/>
    <x v="3"/>
    <x v="0"/>
  </r>
  <r>
    <x v="10"/>
    <n v="32"/>
    <n v="-5"/>
    <n v="5"/>
    <s v="Clothing"/>
    <s v="Hankerchief"/>
    <x v="3"/>
    <x v="0"/>
  </r>
  <r>
    <x v="200"/>
    <n v="510"/>
    <n v="234"/>
    <n v="6"/>
    <s v="Electronics"/>
    <s v="Electronic Games"/>
    <x v="1"/>
    <x v="6"/>
  </r>
  <r>
    <x v="201"/>
    <n v="382"/>
    <n v="68"/>
    <n v="3"/>
    <s v="Clothing"/>
    <s v="Saree"/>
    <x v="0"/>
    <x v="2"/>
  </r>
  <r>
    <x v="85"/>
    <n v="33"/>
    <n v="13"/>
    <n v="3"/>
    <s v="Clothing"/>
    <s v="Leggings"/>
    <x v="3"/>
    <x v="6"/>
  </r>
  <r>
    <x v="28"/>
    <n v="381"/>
    <n v="-13"/>
    <n v="2"/>
    <s v="Clothing"/>
    <s v="Saree"/>
    <x v="0"/>
    <x v="11"/>
  </r>
  <r>
    <x v="58"/>
    <n v="490"/>
    <n v="88"/>
    <n v="2"/>
    <s v="Electronics"/>
    <s v="Accessories"/>
    <x v="1"/>
    <x v="17"/>
  </r>
  <r>
    <x v="202"/>
    <n v="381"/>
    <n v="144"/>
    <n v="2"/>
    <s v="Clothing"/>
    <s v="Saree"/>
    <x v="0"/>
    <x v="2"/>
  </r>
  <r>
    <x v="198"/>
    <n v="487"/>
    <n v="143"/>
    <n v="4"/>
    <s v="Electronics"/>
    <s v="Phones"/>
    <x v="1"/>
    <x v="6"/>
  </r>
  <r>
    <x v="177"/>
    <n v="366"/>
    <n v="84"/>
    <n v="3"/>
    <s v="Furniture"/>
    <s v="Bookcases"/>
    <x v="0"/>
    <x v="7"/>
  </r>
  <r>
    <x v="178"/>
    <n v="33"/>
    <n v="-29"/>
    <n v="3"/>
    <s v="Clothing"/>
    <s v="Shirt"/>
    <x v="3"/>
    <x v="0"/>
  </r>
  <r>
    <x v="105"/>
    <n v="365"/>
    <n v="107"/>
    <n v="3"/>
    <s v="Electronics"/>
    <s v="Phones"/>
    <x v="0"/>
    <x v="2"/>
  </r>
  <r>
    <x v="187"/>
    <n v="207"/>
    <n v="-100"/>
    <n v="2"/>
    <s v="Clothing"/>
    <s v="Saree"/>
    <x v="3"/>
    <x v="2"/>
  </r>
  <r>
    <x v="168"/>
    <n v="359"/>
    <n v="-338"/>
    <n v="5"/>
    <s v="Furniture"/>
    <s v="Bookcases"/>
    <x v="0"/>
    <x v="14"/>
  </r>
  <r>
    <x v="104"/>
    <n v="351"/>
    <n v="-47"/>
    <n v="8"/>
    <s v="Electronics"/>
    <s v="Phones"/>
    <x v="0"/>
    <x v="2"/>
  </r>
  <r>
    <x v="81"/>
    <n v="485"/>
    <n v="199"/>
    <n v="4"/>
    <s v="Clothing"/>
    <s v="Saree"/>
    <x v="1"/>
    <x v="16"/>
  </r>
  <r>
    <x v="8"/>
    <n v="37"/>
    <n v="-23"/>
    <n v="4"/>
    <s v="Clothing"/>
    <s v="Shirt"/>
    <x v="3"/>
    <x v="4"/>
  </r>
  <r>
    <x v="86"/>
    <n v="34"/>
    <n v="10"/>
    <n v="2"/>
    <s v="Clothing"/>
    <s v="T-shirt"/>
    <x v="4"/>
    <x v="0"/>
  </r>
  <r>
    <x v="203"/>
    <n v="346"/>
    <n v="108"/>
    <n v="3"/>
    <s v="Furniture"/>
    <s v="Chairs"/>
    <x v="0"/>
    <x v="2"/>
  </r>
  <r>
    <x v="126"/>
    <n v="342"/>
    <n v="-103"/>
    <n v="4"/>
    <s v="Electronics"/>
    <s v="Electronic Games"/>
    <x v="0"/>
    <x v="6"/>
  </r>
  <r>
    <x v="204"/>
    <n v="35"/>
    <n v="-8"/>
    <n v="2"/>
    <s v="Furniture"/>
    <s v="Furnishings"/>
    <x v="4"/>
    <x v="12"/>
  </r>
  <r>
    <x v="205"/>
    <n v="121"/>
    <n v="41"/>
    <n v="4"/>
    <s v="Clothing"/>
    <s v="Stole"/>
    <x v="3"/>
    <x v="0"/>
  </r>
  <r>
    <x v="103"/>
    <n v="336"/>
    <n v="57"/>
    <n v="2"/>
    <s v="Electronics"/>
    <s v="Phones"/>
    <x v="0"/>
    <x v="0"/>
  </r>
  <r>
    <x v="9"/>
    <n v="336"/>
    <n v="71"/>
    <n v="3"/>
    <s v="Furniture"/>
    <s v="Bookcases"/>
    <x v="0"/>
    <x v="5"/>
  </r>
  <r>
    <x v="206"/>
    <n v="27"/>
    <n v="4"/>
    <n v="1"/>
    <s v="Clothing"/>
    <s v="Hankerchief"/>
    <x v="0"/>
    <x v="16"/>
  </r>
  <r>
    <x v="141"/>
    <n v="333"/>
    <n v="50"/>
    <n v="2"/>
    <s v="Electronics"/>
    <s v="Phones"/>
    <x v="0"/>
    <x v="8"/>
  </r>
  <r>
    <x v="5"/>
    <n v="36"/>
    <n v="7"/>
    <n v="3"/>
    <s v="Clothing"/>
    <s v="Leggings"/>
    <x v="4"/>
    <x v="1"/>
  </r>
  <r>
    <x v="207"/>
    <n v="333"/>
    <n v="-15"/>
    <n v="3"/>
    <s v="Electronics"/>
    <s v="Phones"/>
    <x v="0"/>
    <x v="0"/>
  </r>
  <r>
    <x v="208"/>
    <n v="327"/>
    <n v="114"/>
    <n v="4"/>
    <s v="Clothing"/>
    <s v="Trousers"/>
    <x v="0"/>
    <x v="0"/>
  </r>
  <r>
    <x v="209"/>
    <n v="18"/>
    <n v="6"/>
    <n v="3"/>
    <s v="Clothing"/>
    <s v="Hankerchief"/>
    <x v="3"/>
    <x v="2"/>
  </r>
  <r>
    <x v="198"/>
    <n v="325"/>
    <n v="32"/>
    <n v="7"/>
    <s v="Clothing"/>
    <s v="T-shirt"/>
    <x v="0"/>
    <x v="6"/>
  </r>
  <r>
    <x v="210"/>
    <n v="482"/>
    <n v="-6"/>
    <n v="7"/>
    <s v="Electronics"/>
    <s v="Electronic Games"/>
    <x v="1"/>
    <x v="0"/>
  </r>
  <r>
    <x v="13"/>
    <n v="465"/>
    <n v="-33"/>
    <n v="4"/>
    <s v="Electronics"/>
    <s v="Phones"/>
    <x v="1"/>
    <x v="2"/>
  </r>
  <r>
    <x v="112"/>
    <n v="40"/>
    <n v="-12"/>
    <n v="3"/>
    <s v="Clothing"/>
    <s v="Shirt"/>
    <x v="0"/>
    <x v="4"/>
  </r>
  <r>
    <x v="117"/>
    <n v="107"/>
    <n v="36"/>
    <n v="6"/>
    <s v="Clothing"/>
    <s v="Stole"/>
    <x v="0"/>
    <x v="0"/>
  </r>
  <r>
    <x v="15"/>
    <n v="312"/>
    <n v="-312"/>
    <n v="7"/>
    <s v="Furniture"/>
    <s v="Chairs"/>
    <x v="0"/>
    <x v="0"/>
  </r>
  <r>
    <x v="211"/>
    <n v="451"/>
    <n v="25"/>
    <n v="3"/>
    <s v="Electronics"/>
    <s v="Phones"/>
    <x v="1"/>
    <x v="17"/>
  </r>
  <r>
    <x v="145"/>
    <n v="312"/>
    <n v="62"/>
    <n v="1"/>
    <s v="Electronics"/>
    <s v="Electronic Games"/>
    <x v="0"/>
    <x v="2"/>
  </r>
  <r>
    <x v="212"/>
    <n v="311"/>
    <n v="72"/>
    <n v="2"/>
    <s v="Furniture"/>
    <s v="Bookcases"/>
    <x v="0"/>
    <x v="4"/>
  </r>
  <r>
    <x v="213"/>
    <n v="11"/>
    <n v="5"/>
    <n v="2"/>
    <s v="Clothing"/>
    <s v="Hankerchief"/>
    <x v="3"/>
    <x v="18"/>
  </r>
  <r>
    <x v="189"/>
    <n v="37"/>
    <n v="-5"/>
    <n v="3"/>
    <s v="Clothing"/>
    <s v="T-shirt"/>
    <x v="4"/>
    <x v="7"/>
  </r>
  <r>
    <x v="214"/>
    <n v="444"/>
    <n v="-200"/>
    <n v="4"/>
    <s v="Electronics"/>
    <s v="Phones"/>
    <x v="1"/>
    <x v="12"/>
  </r>
  <r>
    <x v="215"/>
    <n v="434"/>
    <n v="26"/>
    <n v="11"/>
    <s v="Clothing"/>
    <s v="Shirt"/>
    <x v="2"/>
    <x v="3"/>
  </r>
  <r>
    <x v="216"/>
    <n v="299"/>
    <n v="0"/>
    <n v="6"/>
    <s v="Clothing"/>
    <s v="Stole"/>
    <x v="0"/>
    <x v="8"/>
  </r>
  <r>
    <x v="103"/>
    <n v="37"/>
    <n v="17"/>
    <n v="3"/>
    <s v="Clothing"/>
    <s v="Hankerchief"/>
    <x v="4"/>
    <x v="0"/>
  </r>
  <r>
    <x v="217"/>
    <n v="299"/>
    <n v="113"/>
    <n v="2"/>
    <s v="Furniture"/>
    <s v="Bookcases"/>
    <x v="0"/>
    <x v="0"/>
  </r>
  <r>
    <x v="218"/>
    <n v="298"/>
    <n v="74"/>
    <n v="2"/>
    <s v="Furniture"/>
    <s v="Bookcases"/>
    <x v="0"/>
    <x v="3"/>
  </r>
  <r>
    <x v="219"/>
    <n v="94"/>
    <n v="7"/>
    <n v="7"/>
    <s v="Clothing"/>
    <s v="Leggings"/>
    <x v="3"/>
    <x v="13"/>
  </r>
  <r>
    <x v="220"/>
    <n v="296"/>
    <n v="225"/>
    <n v="11"/>
    <s v="Clothing"/>
    <s v="Saree"/>
    <x v="0"/>
    <x v="7"/>
  </r>
  <r>
    <x v="221"/>
    <n v="37"/>
    <n v="17"/>
    <n v="3"/>
    <s v="Clothing"/>
    <s v="Hankerchief"/>
    <x v="4"/>
    <x v="0"/>
  </r>
  <r>
    <x v="222"/>
    <n v="291"/>
    <n v="93"/>
    <n v="2"/>
    <s v="Electronics"/>
    <s v="Printers"/>
    <x v="0"/>
    <x v="2"/>
  </r>
  <r>
    <x v="183"/>
    <n v="327"/>
    <n v="-39"/>
    <n v="1"/>
    <s v="Electronics"/>
    <s v="Phones"/>
    <x v="0"/>
    <x v="3"/>
  </r>
  <r>
    <x v="199"/>
    <n v="291"/>
    <n v="119"/>
    <n v="11"/>
    <s v="Clothing"/>
    <s v="Saree"/>
    <x v="0"/>
    <x v="4"/>
  </r>
  <r>
    <x v="159"/>
    <n v="287"/>
    <n v="-66"/>
    <n v="6"/>
    <s v="Clothing"/>
    <s v="Kurti"/>
    <x v="0"/>
    <x v="2"/>
  </r>
  <r>
    <x v="223"/>
    <n v="42"/>
    <n v="15"/>
    <n v="1"/>
    <s v="Electronics"/>
    <s v="Accessories"/>
    <x v="3"/>
    <x v="8"/>
  </r>
  <r>
    <x v="180"/>
    <n v="429"/>
    <n v="61"/>
    <n v="3"/>
    <s v="Electronics"/>
    <s v="Electronic Games"/>
    <x v="2"/>
    <x v="3"/>
  </r>
  <r>
    <x v="224"/>
    <n v="285"/>
    <n v="128"/>
    <n v="2"/>
    <s v="Electronics"/>
    <s v="Printers"/>
    <x v="0"/>
    <x v="1"/>
  </r>
  <r>
    <x v="225"/>
    <n v="277"/>
    <n v="3"/>
    <n v="1"/>
    <s v="Electronics"/>
    <s v="Electronic Games"/>
    <x v="0"/>
    <x v="13"/>
  </r>
  <r>
    <x v="23"/>
    <n v="274"/>
    <n v="-7"/>
    <n v="4"/>
    <s v="Electronics"/>
    <s v="Phones"/>
    <x v="0"/>
    <x v="10"/>
  </r>
  <r>
    <x v="226"/>
    <n v="273"/>
    <n v="-87"/>
    <n v="4"/>
    <s v="Electronics"/>
    <s v="Phones"/>
    <x v="0"/>
    <x v="0"/>
  </r>
  <r>
    <x v="140"/>
    <n v="269"/>
    <n v="91"/>
    <n v="1"/>
    <s v="Electronics"/>
    <s v="Electronic Games"/>
    <x v="0"/>
    <x v="0"/>
  </r>
  <r>
    <x v="222"/>
    <n v="11"/>
    <n v="5"/>
    <n v="1"/>
    <s v="Clothing"/>
    <s v="Skirt"/>
    <x v="0"/>
    <x v="2"/>
  </r>
  <r>
    <x v="2"/>
    <n v="39"/>
    <n v="2"/>
    <n v="2"/>
    <s v="Clothing"/>
    <s v="Saree"/>
    <x v="4"/>
    <x v="2"/>
  </r>
  <r>
    <x v="211"/>
    <n v="264"/>
    <n v="-26"/>
    <n v="3"/>
    <s v="Clothing"/>
    <s v="Trousers"/>
    <x v="0"/>
    <x v="17"/>
  </r>
  <r>
    <x v="227"/>
    <n v="40"/>
    <n v="16"/>
    <n v="3"/>
    <s v="Clothing"/>
    <s v="Hankerchief"/>
    <x v="4"/>
    <x v="5"/>
  </r>
  <r>
    <x v="228"/>
    <n v="41"/>
    <n v="19"/>
    <n v="2"/>
    <s v="Clothing"/>
    <s v="T-shirt"/>
    <x v="4"/>
    <x v="12"/>
  </r>
  <r>
    <x v="190"/>
    <n v="253"/>
    <n v="-63"/>
    <n v="2"/>
    <s v="Clothing"/>
    <s v="Saree"/>
    <x v="3"/>
    <x v="10"/>
  </r>
  <r>
    <x v="229"/>
    <n v="406"/>
    <n v="97"/>
    <n v="7"/>
    <s v="Furniture"/>
    <s v="Chairs"/>
    <x v="2"/>
    <x v="6"/>
  </r>
  <r>
    <x v="230"/>
    <n v="32"/>
    <n v="7"/>
    <n v="3"/>
    <s v="Clothing"/>
    <s v="Hankerchief"/>
    <x v="0"/>
    <x v="2"/>
  </r>
  <r>
    <x v="145"/>
    <n v="260"/>
    <n v="68"/>
    <n v="2"/>
    <s v="Electronics"/>
    <s v="Printers"/>
    <x v="0"/>
    <x v="2"/>
  </r>
  <r>
    <x v="231"/>
    <n v="41"/>
    <n v="19"/>
    <n v="5"/>
    <s v="Clothing"/>
    <s v="Hankerchief"/>
    <x v="4"/>
    <x v="18"/>
  </r>
  <r>
    <x v="30"/>
    <n v="401"/>
    <n v="13"/>
    <n v="6"/>
    <s v="Furniture"/>
    <s v="Chairs"/>
    <x v="2"/>
    <x v="2"/>
  </r>
  <r>
    <x v="227"/>
    <n v="382"/>
    <n v="30"/>
    <n v="3"/>
    <s v="Clothing"/>
    <s v="Saree"/>
    <x v="2"/>
    <x v="5"/>
  </r>
  <r>
    <x v="232"/>
    <n v="867"/>
    <n v="251"/>
    <n v="5"/>
    <s v="Electronics"/>
    <s v="Phones"/>
    <x v="0"/>
    <x v="8"/>
  </r>
  <r>
    <x v="233"/>
    <n v="43"/>
    <n v="0"/>
    <n v="3"/>
    <s v="Clothing"/>
    <s v="Saree"/>
    <x v="4"/>
    <x v="12"/>
  </r>
  <r>
    <x v="234"/>
    <n v="43"/>
    <n v="-43"/>
    <n v="7"/>
    <s v="Clothing"/>
    <s v="Stole"/>
    <x v="4"/>
    <x v="2"/>
  </r>
  <r>
    <x v="185"/>
    <n v="74"/>
    <n v="29"/>
    <n v="3"/>
    <s v="Clothing"/>
    <s v="Stole"/>
    <x v="0"/>
    <x v="7"/>
  </r>
  <r>
    <x v="15"/>
    <n v="44"/>
    <n v="-26"/>
    <n v="3"/>
    <s v="Clothing"/>
    <s v="Hankerchief"/>
    <x v="4"/>
    <x v="0"/>
  </r>
  <r>
    <x v="235"/>
    <n v="259"/>
    <n v="-55"/>
    <n v="2"/>
    <s v="Furniture"/>
    <s v="Chairs"/>
    <x v="0"/>
    <x v="13"/>
  </r>
  <r>
    <x v="57"/>
    <n v="257"/>
    <n v="23"/>
    <n v="5"/>
    <s v="Clothing"/>
    <s v="Hankerchief"/>
    <x v="0"/>
    <x v="14"/>
  </r>
  <r>
    <x v="97"/>
    <n v="76"/>
    <n v="27"/>
    <n v="5"/>
    <s v="Clothing"/>
    <s v="Stole"/>
    <x v="0"/>
    <x v="0"/>
  </r>
  <r>
    <x v="236"/>
    <n v="44"/>
    <n v="-32"/>
    <n v="3"/>
    <s v="Clothing"/>
    <s v="Stole"/>
    <x v="4"/>
    <x v="2"/>
  </r>
  <r>
    <x v="237"/>
    <n v="257"/>
    <n v="3"/>
    <n v="2"/>
    <s v="Clothing"/>
    <s v="Saree"/>
    <x v="0"/>
    <x v="2"/>
  </r>
  <r>
    <x v="238"/>
    <n v="255"/>
    <n v="76"/>
    <n v="9"/>
    <s v="Clothing"/>
    <s v="Hankerchief"/>
    <x v="0"/>
    <x v="16"/>
  </r>
  <r>
    <x v="239"/>
    <n v="44"/>
    <n v="14"/>
    <n v="3"/>
    <s v="Clothing"/>
    <s v="Hankerchief"/>
    <x v="4"/>
    <x v="1"/>
  </r>
  <r>
    <x v="189"/>
    <n v="45"/>
    <n v="-2"/>
    <n v="4"/>
    <s v="Clothing"/>
    <s v="Shirt"/>
    <x v="0"/>
    <x v="7"/>
  </r>
  <r>
    <x v="0"/>
    <n v="44"/>
    <n v="-3"/>
    <n v="1"/>
    <s v="Clothing"/>
    <s v="Saree"/>
    <x v="4"/>
    <x v="0"/>
  </r>
  <r>
    <x v="58"/>
    <n v="382"/>
    <n v="119"/>
    <n v="2"/>
    <s v="Clothing"/>
    <s v="Saree"/>
    <x v="2"/>
    <x v="17"/>
  </r>
  <r>
    <x v="147"/>
    <n v="250"/>
    <n v="100"/>
    <n v="3"/>
    <s v="Clothing"/>
    <s v="Trousers"/>
    <x v="0"/>
    <x v="17"/>
  </r>
  <r>
    <x v="240"/>
    <n v="45"/>
    <n v="-15"/>
    <n v="2"/>
    <s v="Furniture"/>
    <s v="Chairs"/>
    <x v="0"/>
    <x v="7"/>
  </r>
  <r>
    <x v="135"/>
    <n v="246"/>
    <n v="61"/>
    <n v="2"/>
    <s v="Furniture"/>
    <s v="Bookcases"/>
    <x v="0"/>
    <x v="4"/>
  </r>
  <r>
    <x v="222"/>
    <n v="50"/>
    <n v="25"/>
    <n v="5"/>
    <s v="Clothing"/>
    <s v="Stole"/>
    <x v="0"/>
    <x v="2"/>
  </r>
  <r>
    <x v="241"/>
    <n v="246"/>
    <n v="98"/>
    <n v="5"/>
    <s v="Clothing"/>
    <s v="Hankerchief"/>
    <x v="0"/>
    <x v="2"/>
  </r>
  <r>
    <x v="6"/>
    <n v="44"/>
    <n v="99"/>
    <n v="3"/>
    <s v="Clothing"/>
    <s v="Kurti"/>
    <x v="4"/>
    <x v="3"/>
  </r>
  <r>
    <x v="242"/>
    <n v="245"/>
    <n v="-78"/>
    <n v="3"/>
    <s v="Clothing"/>
    <s v="Saree"/>
    <x v="0"/>
    <x v="3"/>
  </r>
  <r>
    <x v="155"/>
    <n v="245"/>
    <n v="30"/>
    <n v="2"/>
    <s v="Clothing"/>
    <s v="Saree"/>
    <x v="0"/>
    <x v="2"/>
  </r>
  <r>
    <x v="243"/>
    <n v="376"/>
    <n v="0"/>
    <n v="7"/>
    <s v="Clothing"/>
    <s v="Stole"/>
    <x v="2"/>
    <x v="5"/>
  </r>
  <r>
    <x v="81"/>
    <n v="45"/>
    <n v="1"/>
    <n v="3"/>
    <s v="Clothing"/>
    <s v="T-shirt"/>
    <x v="4"/>
    <x v="16"/>
  </r>
  <r>
    <x v="244"/>
    <n v="45"/>
    <n v="-28"/>
    <n v="2"/>
    <s v="Clothing"/>
    <s v="Stole"/>
    <x v="4"/>
    <x v="7"/>
  </r>
  <r>
    <x v="245"/>
    <n v="244"/>
    <n v="-122"/>
    <n v="5"/>
    <s v="Furniture"/>
    <s v="Furnishings"/>
    <x v="0"/>
    <x v="0"/>
  </r>
  <r>
    <x v="246"/>
    <n v="244"/>
    <n v="83"/>
    <n v="2"/>
    <s v="Furniture"/>
    <s v="Bookcases"/>
    <x v="0"/>
    <x v="0"/>
  </r>
  <r>
    <x v="138"/>
    <n v="10"/>
    <n v="4"/>
    <n v="1"/>
    <s v="Clothing"/>
    <s v="Kurti"/>
    <x v="3"/>
    <x v="9"/>
  </r>
  <r>
    <x v="217"/>
    <n v="375"/>
    <n v="180"/>
    <n v="3"/>
    <s v="Furniture"/>
    <s v="Bookcases"/>
    <x v="2"/>
    <x v="0"/>
  </r>
  <r>
    <x v="74"/>
    <n v="46"/>
    <n v="14"/>
    <n v="5"/>
    <s v="Clothing"/>
    <s v="Skirt"/>
    <x v="4"/>
    <x v="0"/>
  </r>
  <r>
    <x v="247"/>
    <n v="49"/>
    <n v="-31"/>
    <n v="2"/>
    <s v="Clothing"/>
    <s v="Stole"/>
    <x v="3"/>
    <x v="1"/>
  </r>
  <r>
    <x v="248"/>
    <n v="47"/>
    <n v="-20"/>
    <n v="2"/>
    <s v="Clothing"/>
    <s v="Kurti"/>
    <x v="4"/>
    <x v="2"/>
  </r>
  <r>
    <x v="170"/>
    <n v="355"/>
    <n v="-114"/>
    <n v="7"/>
    <s v="Clothing"/>
    <s v="Stole"/>
    <x v="2"/>
    <x v="1"/>
  </r>
  <r>
    <x v="249"/>
    <n v="32"/>
    <n v="8"/>
    <n v="5"/>
    <s v="Clothing"/>
    <s v="Hankerchief"/>
    <x v="3"/>
    <x v="0"/>
  </r>
  <r>
    <x v="0"/>
    <n v="243"/>
    <n v="-14"/>
    <n v="2"/>
    <s v="Furniture"/>
    <s v="Chairs"/>
    <x v="0"/>
    <x v="0"/>
  </r>
  <r>
    <x v="250"/>
    <n v="241"/>
    <n v="-77"/>
    <n v="4"/>
    <s v="Electronics"/>
    <s v="Electronic Games"/>
    <x v="0"/>
    <x v="5"/>
  </r>
  <r>
    <x v="251"/>
    <n v="47"/>
    <n v="15"/>
    <n v="5"/>
    <s v="Clothing"/>
    <s v="Saree"/>
    <x v="4"/>
    <x v="6"/>
  </r>
  <r>
    <x v="24"/>
    <n v="50"/>
    <n v="-10"/>
    <n v="6"/>
    <s v="Clothing"/>
    <s v="Skirt"/>
    <x v="4"/>
    <x v="8"/>
  </r>
  <r>
    <x v="179"/>
    <n v="15"/>
    <n v="6"/>
    <n v="2"/>
    <s v="Clothing"/>
    <s v="Hankerchief"/>
    <x v="0"/>
    <x v="12"/>
  </r>
  <r>
    <x v="81"/>
    <n v="148"/>
    <n v="24"/>
    <n v="3"/>
    <s v="Clothing"/>
    <s v="Stole"/>
    <x v="0"/>
    <x v="16"/>
  </r>
  <r>
    <x v="252"/>
    <n v="299"/>
    <n v="-28"/>
    <n v="3"/>
    <s v="Electronics"/>
    <s v="Electronic Games"/>
    <x v="3"/>
    <x v="17"/>
  </r>
  <r>
    <x v="82"/>
    <n v="68"/>
    <n v="-30"/>
    <n v="1"/>
    <s v="Electronics"/>
    <s v="Phones"/>
    <x v="3"/>
    <x v="0"/>
  </r>
  <r>
    <x v="81"/>
    <n v="52"/>
    <n v="18"/>
    <n v="5"/>
    <s v="Clothing"/>
    <s v="Leggings"/>
    <x v="4"/>
    <x v="16"/>
  </r>
  <r>
    <x v="131"/>
    <n v="239"/>
    <n v="-162"/>
    <n v="5"/>
    <s v="Furniture"/>
    <s v="Chairs"/>
    <x v="0"/>
    <x v="2"/>
  </r>
  <r>
    <x v="135"/>
    <n v="27"/>
    <n v="6"/>
    <n v="3"/>
    <s v="Clothing"/>
    <s v="Skirt"/>
    <x v="0"/>
    <x v="4"/>
  </r>
  <r>
    <x v="104"/>
    <n v="238"/>
    <n v="20"/>
    <n v="2"/>
    <s v="Clothing"/>
    <s v="Saree"/>
    <x v="0"/>
    <x v="2"/>
  </r>
  <r>
    <x v="177"/>
    <n v="48"/>
    <n v="16"/>
    <n v="3"/>
    <s v="Clothing"/>
    <s v="Shirt"/>
    <x v="0"/>
    <x v="7"/>
  </r>
  <r>
    <x v="253"/>
    <n v="66"/>
    <n v="22"/>
    <n v="3"/>
    <s v="Clothing"/>
    <s v="Stole"/>
    <x v="3"/>
    <x v="15"/>
  </r>
  <r>
    <x v="254"/>
    <n v="53"/>
    <n v="24"/>
    <n v="1"/>
    <s v="Clothing"/>
    <s v="Hankerchief"/>
    <x v="4"/>
    <x v="10"/>
  </r>
  <r>
    <x v="207"/>
    <n v="233"/>
    <n v="-10"/>
    <n v="5"/>
    <s v="Electronics"/>
    <s v="Electronic Games"/>
    <x v="0"/>
    <x v="0"/>
  </r>
  <r>
    <x v="202"/>
    <n v="53"/>
    <n v="-2"/>
    <n v="3"/>
    <s v="Clothing"/>
    <s v="Saree"/>
    <x v="4"/>
    <x v="2"/>
  </r>
  <r>
    <x v="175"/>
    <n v="54"/>
    <n v="8"/>
    <n v="4"/>
    <s v="Clothing"/>
    <s v="T-shirt"/>
    <x v="4"/>
    <x v="10"/>
  </r>
  <r>
    <x v="255"/>
    <n v="352"/>
    <n v="-345"/>
    <n v="5"/>
    <s v="Clothing"/>
    <s v="Saree"/>
    <x v="2"/>
    <x v="0"/>
  </r>
  <r>
    <x v="114"/>
    <n v="349"/>
    <n v="0"/>
    <n v="7"/>
    <s v="Clothing"/>
    <s v="Stole"/>
    <x v="2"/>
    <x v="0"/>
  </r>
  <r>
    <x v="256"/>
    <n v="341"/>
    <n v="-85"/>
    <n v="6"/>
    <s v="Clothing"/>
    <s v="Trousers"/>
    <x v="2"/>
    <x v="1"/>
  </r>
  <r>
    <x v="232"/>
    <n v="54"/>
    <n v="12"/>
    <n v="3"/>
    <s v="Clothing"/>
    <s v="Saree"/>
    <x v="4"/>
    <x v="8"/>
  </r>
  <r>
    <x v="1"/>
    <n v="57"/>
    <n v="7"/>
    <n v="2"/>
    <s v="Clothing"/>
    <s v="Shirt"/>
    <x v="3"/>
    <x v="1"/>
  </r>
  <r>
    <x v="55"/>
    <n v="340"/>
    <n v="20"/>
    <n v="7"/>
    <s v="Clothing"/>
    <s v="Shirt"/>
    <x v="2"/>
    <x v="3"/>
  </r>
  <r>
    <x v="1"/>
    <n v="227"/>
    <n v="48"/>
    <n v="5"/>
    <s v="Clothing"/>
    <s v="Stole"/>
    <x v="0"/>
    <x v="1"/>
  </r>
  <r>
    <x v="223"/>
    <n v="330"/>
    <n v="81"/>
    <n v="1"/>
    <s v="Furniture"/>
    <s v="Bookcases"/>
    <x v="2"/>
    <x v="8"/>
  </r>
  <r>
    <x v="36"/>
    <n v="216"/>
    <n v="-38"/>
    <n v="6"/>
    <s v="Furniture"/>
    <s v="Furnishings"/>
    <x v="3"/>
    <x v="2"/>
  </r>
  <r>
    <x v="257"/>
    <n v="224"/>
    <n v="-143"/>
    <n v="3"/>
    <s v="Furniture"/>
    <s v="Chairs"/>
    <x v="0"/>
    <x v="10"/>
  </r>
  <r>
    <x v="258"/>
    <n v="55"/>
    <n v="-33"/>
    <n v="2"/>
    <s v="Furniture"/>
    <s v="Chairs"/>
    <x v="4"/>
    <x v="4"/>
  </r>
  <r>
    <x v="121"/>
    <n v="49"/>
    <n v="21"/>
    <n v="1"/>
    <s v="Clothing"/>
    <s v="Stole"/>
    <x v="3"/>
    <x v="10"/>
  </r>
  <r>
    <x v="175"/>
    <n v="224"/>
    <n v="87"/>
    <n v="3"/>
    <s v="Clothing"/>
    <s v="Trousers"/>
    <x v="0"/>
    <x v="10"/>
  </r>
  <r>
    <x v="155"/>
    <n v="223"/>
    <n v="27"/>
    <n v="2"/>
    <s v="Furniture"/>
    <s v="Bookcases"/>
    <x v="0"/>
    <x v="2"/>
  </r>
  <r>
    <x v="259"/>
    <n v="324"/>
    <n v="39"/>
    <n v="8"/>
    <s v="Electronics"/>
    <s v="Accessories"/>
    <x v="2"/>
    <x v="0"/>
  </r>
  <r>
    <x v="93"/>
    <n v="56"/>
    <n v="18"/>
    <n v="2"/>
    <s v="Clothing"/>
    <s v="Hankerchief"/>
    <x v="4"/>
    <x v="2"/>
  </r>
  <r>
    <x v="260"/>
    <n v="223"/>
    <n v="62"/>
    <n v="7"/>
    <s v="Clothing"/>
    <s v="Shirt"/>
    <x v="0"/>
    <x v="8"/>
  </r>
  <r>
    <x v="237"/>
    <n v="10"/>
    <n v="2"/>
    <n v="2"/>
    <s v="Clothing"/>
    <s v="Skirt"/>
    <x v="0"/>
    <x v="2"/>
  </r>
  <r>
    <x v="261"/>
    <n v="57"/>
    <n v="6"/>
    <n v="5"/>
    <s v="Clothing"/>
    <s v="Leggings"/>
    <x v="4"/>
    <x v="0"/>
  </r>
  <r>
    <x v="73"/>
    <n v="322"/>
    <n v="-113"/>
    <n v="4"/>
    <s v="Clothing"/>
    <s v="Saree"/>
    <x v="2"/>
    <x v="2"/>
  </r>
  <r>
    <x v="262"/>
    <n v="219"/>
    <n v="4"/>
    <n v="2"/>
    <s v="Clothing"/>
    <s v="Saree"/>
    <x v="0"/>
    <x v="0"/>
  </r>
  <r>
    <x v="263"/>
    <n v="103"/>
    <n v="21"/>
    <n v="7"/>
    <s v="Clothing"/>
    <s v="Stole"/>
    <x v="3"/>
    <x v="8"/>
  </r>
  <r>
    <x v="10"/>
    <n v="47"/>
    <n v="-27"/>
    <n v="4"/>
    <s v="Clothing"/>
    <s v="Saree"/>
    <x v="0"/>
    <x v="0"/>
  </r>
  <r>
    <x v="155"/>
    <n v="219"/>
    <n v="0"/>
    <n v="1"/>
    <s v="Clothing"/>
    <s v="Saree"/>
    <x v="0"/>
    <x v="2"/>
  </r>
  <r>
    <x v="208"/>
    <n v="57"/>
    <n v="-48"/>
    <n v="6"/>
    <s v="Clothing"/>
    <s v="Leggings"/>
    <x v="4"/>
    <x v="0"/>
  </r>
  <r>
    <x v="264"/>
    <n v="319"/>
    <n v="102"/>
    <n v="6"/>
    <s v="Electronics"/>
    <s v="Accessories"/>
    <x v="2"/>
    <x v="12"/>
  </r>
  <r>
    <x v="34"/>
    <n v="315"/>
    <n v="-8"/>
    <n v="3"/>
    <s v="Furniture"/>
    <s v="Chairs"/>
    <x v="2"/>
    <x v="0"/>
  </r>
  <r>
    <x v="184"/>
    <n v="314"/>
    <n v="-41"/>
    <n v="3"/>
    <s v="Electronics"/>
    <s v="Electronic Games"/>
    <x v="2"/>
    <x v="2"/>
  </r>
  <r>
    <x v="162"/>
    <n v="311"/>
    <n v="40"/>
    <n v="1"/>
    <s v="Electronics"/>
    <s v="Electronic Games"/>
    <x v="1"/>
    <x v="11"/>
  </r>
  <r>
    <x v="51"/>
    <n v="307"/>
    <n v="74"/>
    <n v="3"/>
    <s v="Electronics"/>
    <s v="Accessories"/>
    <x v="1"/>
    <x v="13"/>
  </r>
  <r>
    <x v="155"/>
    <n v="294"/>
    <n v="109"/>
    <n v="7"/>
    <s v="Electronics"/>
    <s v="Accessories"/>
    <x v="1"/>
    <x v="2"/>
  </r>
  <r>
    <x v="239"/>
    <n v="216"/>
    <n v="-83"/>
    <n v="3"/>
    <s v="Electronics"/>
    <s v="Electronic Games"/>
    <x v="0"/>
    <x v="1"/>
  </r>
  <r>
    <x v="258"/>
    <n v="58"/>
    <n v="-42"/>
    <n v="2"/>
    <s v="Furniture"/>
    <s v="Chairs"/>
    <x v="4"/>
    <x v="4"/>
  </r>
  <r>
    <x v="45"/>
    <n v="48"/>
    <n v="20"/>
    <n v="4"/>
    <s v="Clothing"/>
    <s v="Stole"/>
    <x v="3"/>
    <x v="7"/>
  </r>
  <r>
    <x v="2"/>
    <n v="54"/>
    <n v="14"/>
    <n v="3"/>
    <s v="Clothing"/>
    <s v="T-shirt"/>
    <x v="3"/>
    <x v="2"/>
  </r>
  <r>
    <x v="58"/>
    <n v="216"/>
    <n v="50"/>
    <n v="4"/>
    <s v="Clothing"/>
    <s v="Stole"/>
    <x v="0"/>
    <x v="17"/>
  </r>
  <r>
    <x v="260"/>
    <n v="215"/>
    <n v="-30"/>
    <n v="2"/>
    <s v="Clothing"/>
    <s v="Saree"/>
    <x v="0"/>
    <x v="8"/>
  </r>
  <r>
    <x v="265"/>
    <n v="43"/>
    <n v="8"/>
    <n v="3"/>
    <s v="Clothing"/>
    <s v="Leggings"/>
    <x v="0"/>
    <x v="12"/>
  </r>
  <r>
    <x v="21"/>
    <n v="136"/>
    <n v="-33"/>
    <n v="5"/>
    <s v="Clothing"/>
    <s v="Saree"/>
    <x v="0"/>
    <x v="0"/>
  </r>
  <r>
    <x v="266"/>
    <n v="59"/>
    <n v="-30"/>
    <n v="3"/>
    <s v="Clothing"/>
    <s v="Leggings"/>
    <x v="4"/>
    <x v="4"/>
  </r>
  <r>
    <x v="1"/>
    <n v="213"/>
    <n v="4"/>
    <n v="14"/>
    <s v="Clothing"/>
    <s v="Shirt"/>
    <x v="0"/>
    <x v="1"/>
  </r>
  <r>
    <x v="253"/>
    <n v="59"/>
    <n v="21"/>
    <n v="2"/>
    <s v="Clothing"/>
    <s v="Stole"/>
    <x v="4"/>
    <x v="15"/>
  </r>
  <r>
    <x v="267"/>
    <n v="55"/>
    <n v="3"/>
    <n v="3"/>
    <s v="Clothing"/>
    <s v="T-shirt"/>
    <x v="0"/>
    <x v="12"/>
  </r>
  <r>
    <x v="2"/>
    <n v="294"/>
    <n v="62"/>
    <n v="9"/>
    <s v="Clothing"/>
    <s v="T-shirt"/>
    <x v="1"/>
    <x v="2"/>
  </r>
  <r>
    <x v="59"/>
    <n v="210"/>
    <n v="62"/>
    <n v="2"/>
    <s v="Electronics"/>
    <s v="Phones"/>
    <x v="0"/>
    <x v="13"/>
  </r>
  <r>
    <x v="206"/>
    <n v="59"/>
    <n v="24"/>
    <n v="6"/>
    <s v="Clothing"/>
    <s v="Kurti"/>
    <x v="4"/>
    <x v="16"/>
  </r>
  <r>
    <x v="15"/>
    <n v="396"/>
    <n v="-31"/>
    <n v="9"/>
    <s v="Clothing"/>
    <s v="Saree"/>
    <x v="0"/>
    <x v="0"/>
  </r>
  <r>
    <x v="268"/>
    <n v="284"/>
    <n v="45"/>
    <n v="2"/>
    <s v="Furniture"/>
    <s v="Bookcases"/>
    <x v="1"/>
    <x v="0"/>
  </r>
  <r>
    <x v="269"/>
    <n v="276"/>
    <n v="52"/>
    <n v="5"/>
    <s v="Clothing"/>
    <s v="Saree"/>
    <x v="1"/>
    <x v="8"/>
  </r>
  <r>
    <x v="227"/>
    <n v="23"/>
    <n v="2"/>
    <n v="2"/>
    <s v="Clothing"/>
    <s v="Skirt"/>
    <x v="3"/>
    <x v="5"/>
  </r>
  <r>
    <x v="270"/>
    <n v="209"/>
    <n v="-63"/>
    <n v="4"/>
    <s v="Electronics"/>
    <s v="Electronic Games"/>
    <x v="0"/>
    <x v="10"/>
  </r>
  <r>
    <x v="271"/>
    <n v="50"/>
    <n v="-28"/>
    <n v="5"/>
    <s v="Furniture"/>
    <s v="Furnishings"/>
    <x v="0"/>
    <x v="6"/>
  </r>
  <r>
    <x v="272"/>
    <n v="57"/>
    <n v="27"/>
    <n v="2"/>
    <s v="Clothing"/>
    <s v="Shirt"/>
    <x v="0"/>
    <x v="2"/>
  </r>
  <r>
    <x v="273"/>
    <n v="276"/>
    <n v="-21"/>
    <n v="2"/>
    <s v="Electronics"/>
    <s v="Phones"/>
    <x v="1"/>
    <x v="18"/>
  </r>
  <r>
    <x v="274"/>
    <n v="268"/>
    <n v="6"/>
    <n v="2"/>
    <s v="Furniture"/>
    <s v="Bookcases"/>
    <x v="3"/>
    <x v="2"/>
  </r>
  <r>
    <x v="104"/>
    <n v="269"/>
    <n v="111"/>
    <n v="3"/>
    <s v="Clothing"/>
    <s v="Trousers"/>
    <x v="1"/>
    <x v="2"/>
  </r>
  <r>
    <x v="75"/>
    <n v="209"/>
    <n v="2"/>
    <n v="1"/>
    <s v="Clothing"/>
    <s v="Saree"/>
    <x v="0"/>
    <x v="0"/>
  </r>
  <r>
    <x v="275"/>
    <n v="60"/>
    <n v="-12"/>
    <n v="4"/>
    <s v="Clothing"/>
    <s v="Hankerchief"/>
    <x v="4"/>
    <x v="0"/>
  </r>
  <r>
    <x v="173"/>
    <n v="269"/>
    <n v="-86"/>
    <n v="2"/>
    <s v="Electronics"/>
    <s v="Electronic Games"/>
    <x v="1"/>
    <x v="2"/>
  </r>
  <r>
    <x v="110"/>
    <n v="208"/>
    <n v="-25"/>
    <n v="2"/>
    <s v="Clothing"/>
    <s v="Saree"/>
    <x v="0"/>
    <x v="0"/>
  </r>
  <r>
    <x v="167"/>
    <n v="27"/>
    <n v="2"/>
    <n v="2"/>
    <s v="Clothing"/>
    <s v="Leggings"/>
    <x v="3"/>
    <x v="7"/>
  </r>
  <r>
    <x v="276"/>
    <n v="206"/>
    <n v="-206"/>
    <n v="3"/>
    <s v="Clothing"/>
    <s v="Saree"/>
    <x v="0"/>
    <x v="16"/>
  </r>
  <r>
    <x v="277"/>
    <n v="61"/>
    <n v="8"/>
    <n v="4"/>
    <s v="Clothing"/>
    <s v="Hankerchief"/>
    <x v="4"/>
    <x v="14"/>
  </r>
  <r>
    <x v="110"/>
    <n v="212"/>
    <n v="-24"/>
    <n v="2"/>
    <s v="Furniture"/>
    <s v="Chairs"/>
    <x v="0"/>
    <x v="0"/>
  </r>
  <r>
    <x v="218"/>
    <n v="262"/>
    <n v="64"/>
    <n v="6"/>
    <s v="Clothing"/>
    <s v="Saree"/>
    <x v="1"/>
    <x v="3"/>
  </r>
  <r>
    <x v="13"/>
    <n v="204"/>
    <n v="276"/>
    <n v="3"/>
    <s v="Furniture"/>
    <s v="Bookcases"/>
    <x v="0"/>
    <x v="2"/>
  </r>
  <r>
    <x v="67"/>
    <n v="59"/>
    <n v="-46"/>
    <n v="7"/>
    <s v="Clothing"/>
    <s v="T-shirt"/>
    <x v="3"/>
    <x v="0"/>
  </r>
  <r>
    <x v="110"/>
    <n v="199"/>
    <n v="-18"/>
    <n v="2"/>
    <s v="Clothing"/>
    <s v="Saree"/>
    <x v="0"/>
    <x v="0"/>
  </r>
  <r>
    <x v="278"/>
    <n v="59"/>
    <n v="6"/>
    <n v="1"/>
    <s v="Electronics"/>
    <s v="Accessories"/>
    <x v="3"/>
    <x v="2"/>
  </r>
  <r>
    <x v="211"/>
    <n v="45"/>
    <n v="9"/>
    <n v="3"/>
    <s v="Clothing"/>
    <s v="Leggings"/>
    <x v="3"/>
    <x v="17"/>
  </r>
  <r>
    <x v="74"/>
    <n v="211"/>
    <n v="19"/>
    <n v="8"/>
    <s v="Clothing"/>
    <s v="Stole"/>
    <x v="0"/>
    <x v="0"/>
  </r>
  <r>
    <x v="150"/>
    <n v="65"/>
    <n v="-16"/>
    <n v="2"/>
    <s v="Electronics"/>
    <s v="Phones"/>
    <x v="4"/>
    <x v="14"/>
  </r>
  <r>
    <x v="36"/>
    <n v="25"/>
    <n v="0"/>
    <n v="4"/>
    <s v="Clothing"/>
    <s v="Skirt"/>
    <x v="3"/>
    <x v="2"/>
  </r>
  <r>
    <x v="279"/>
    <n v="196"/>
    <n v="-7"/>
    <n v="5"/>
    <s v="Electronics"/>
    <s v="Phones"/>
    <x v="0"/>
    <x v="8"/>
  </r>
  <r>
    <x v="21"/>
    <n v="261"/>
    <n v="13"/>
    <n v="6"/>
    <s v="Clothing"/>
    <s v="Shirt"/>
    <x v="2"/>
    <x v="0"/>
  </r>
  <r>
    <x v="87"/>
    <n v="195"/>
    <n v="-117"/>
    <n v="5"/>
    <s v="Electronics"/>
    <s v="Phones"/>
    <x v="0"/>
    <x v="5"/>
  </r>
  <r>
    <x v="134"/>
    <n v="192"/>
    <n v="-146"/>
    <n v="3"/>
    <s v="Clothing"/>
    <s v="Saree"/>
    <x v="0"/>
    <x v="17"/>
  </r>
  <r>
    <x v="280"/>
    <n v="189"/>
    <n v="87"/>
    <n v="7"/>
    <s v="Clothing"/>
    <s v="Stole"/>
    <x v="0"/>
    <x v="10"/>
  </r>
  <r>
    <x v="125"/>
    <n v="32"/>
    <n v="2"/>
    <n v="2"/>
    <s v="Clothing"/>
    <s v="Kurti"/>
    <x v="3"/>
    <x v="0"/>
  </r>
  <r>
    <x v="42"/>
    <n v="188"/>
    <n v="13"/>
    <n v="7"/>
    <s v="Clothing"/>
    <s v="Shirt"/>
    <x v="0"/>
    <x v="0"/>
  </r>
  <r>
    <x v="281"/>
    <n v="73"/>
    <n v="-25"/>
    <n v="3"/>
    <s v="Clothing"/>
    <s v="Saree"/>
    <x v="0"/>
    <x v="0"/>
  </r>
  <r>
    <x v="20"/>
    <n v="259"/>
    <n v="47"/>
    <n v="5"/>
    <s v="Clothing"/>
    <s v="Hankerchief"/>
    <x v="2"/>
    <x v="8"/>
  </r>
  <r>
    <x v="282"/>
    <n v="187"/>
    <n v="-15"/>
    <n v="3"/>
    <s v="Clothing"/>
    <s v="Trousers"/>
    <x v="0"/>
    <x v="0"/>
  </r>
  <r>
    <x v="18"/>
    <n v="26"/>
    <n v="11"/>
    <n v="2"/>
    <s v="Clothing"/>
    <s v="Hankerchief"/>
    <x v="3"/>
    <x v="7"/>
  </r>
  <r>
    <x v="35"/>
    <n v="185"/>
    <n v="-26"/>
    <n v="6"/>
    <s v="Furniture"/>
    <s v="Chairs"/>
    <x v="0"/>
    <x v="3"/>
  </r>
  <r>
    <x v="283"/>
    <n v="248"/>
    <n v="8"/>
    <n v="2"/>
    <s v="Clothing"/>
    <s v="Saree"/>
    <x v="2"/>
    <x v="1"/>
  </r>
  <r>
    <x v="284"/>
    <n v="67"/>
    <n v="9"/>
    <n v="4"/>
    <s v="Clothing"/>
    <s v="Leggings"/>
    <x v="4"/>
    <x v="0"/>
  </r>
  <r>
    <x v="257"/>
    <n v="248"/>
    <n v="-70"/>
    <n v="3"/>
    <s v="Furniture"/>
    <s v="Chairs"/>
    <x v="2"/>
    <x v="10"/>
  </r>
  <r>
    <x v="218"/>
    <n v="246"/>
    <n v="61"/>
    <n v="2"/>
    <s v="Furniture"/>
    <s v="Bookcases"/>
    <x v="2"/>
    <x v="3"/>
  </r>
  <r>
    <x v="285"/>
    <n v="179"/>
    <n v="-25"/>
    <n v="5"/>
    <s v="Clothing"/>
    <s v="Kurti"/>
    <x v="0"/>
    <x v="8"/>
  </r>
  <r>
    <x v="286"/>
    <n v="176"/>
    <n v="-28"/>
    <n v="5"/>
    <s v="Furniture"/>
    <s v="Furnishings"/>
    <x v="0"/>
    <x v="15"/>
  </r>
  <r>
    <x v="267"/>
    <n v="176"/>
    <n v="-13"/>
    <n v="5"/>
    <s v="Furniture"/>
    <s v="Furnishings"/>
    <x v="0"/>
    <x v="12"/>
  </r>
  <r>
    <x v="50"/>
    <n v="68"/>
    <n v="-62"/>
    <n v="2"/>
    <s v="Clothing"/>
    <s v="Trousers"/>
    <x v="4"/>
    <x v="6"/>
  </r>
  <r>
    <x v="287"/>
    <n v="176"/>
    <n v="37"/>
    <n v="6"/>
    <s v="Electronics"/>
    <s v="Accessories"/>
    <x v="0"/>
    <x v="11"/>
  </r>
  <r>
    <x v="216"/>
    <n v="88"/>
    <n v="11"/>
    <n v="7"/>
    <s v="Clothing"/>
    <s v="Hankerchief"/>
    <x v="3"/>
    <x v="8"/>
  </r>
  <r>
    <x v="288"/>
    <n v="68"/>
    <n v="20"/>
    <n v="5"/>
    <s v="Clothing"/>
    <s v="Hankerchief"/>
    <x v="4"/>
    <x v="18"/>
  </r>
  <r>
    <x v="289"/>
    <n v="231"/>
    <n v="99"/>
    <n v="2"/>
    <s v="Electronics"/>
    <s v="Electronic Games"/>
    <x v="2"/>
    <x v="2"/>
  </r>
  <r>
    <x v="232"/>
    <n v="62"/>
    <n v="8"/>
    <n v="2"/>
    <s v="Clothing"/>
    <s v="T-shirt"/>
    <x v="3"/>
    <x v="8"/>
  </r>
  <r>
    <x v="190"/>
    <n v="175"/>
    <n v="77"/>
    <n v="3"/>
    <s v="Clothing"/>
    <s v="Saree"/>
    <x v="0"/>
    <x v="10"/>
  </r>
  <r>
    <x v="100"/>
    <n v="71"/>
    <n v="4"/>
    <n v="5"/>
    <s v="Clothing"/>
    <s v="Leggings"/>
    <x v="4"/>
    <x v="6"/>
  </r>
  <r>
    <x v="276"/>
    <n v="174"/>
    <n v="-70"/>
    <n v="3"/>
    <s v="Electronics"/>
    <s v="Accessories"/>
    <x v="0"/>
    <x v="16"/>
  </r>
  <r>
    <x v="102"/>
    <n v="173"/>
    <n v="69"/>
    <n v="3"/>
    <s v="Furniture"/>
    <s v="Chairs"/>
    <x v="0"/>
    <x v="0"/>
  </r>
  <r>
    <x v="85"/>
    <n v="171"/>
    <n v="2"/>
    <n v="2"/>
    <s v="Electronics"/>
    <s v="Electronic Games"/>
    <x v="0"/>
    <x v="6"/>
  </r>
  <r>
    <x v="134"/>
    <n v="268"/>
    <n v="-25"/>
    <n v="3"/>
    <s v="Clothing"/>
    <s v="Saree"/>
    <x v="0"/>
    <x v="17"/>
  </r>
  <r>
    <x v="290"/>
    <n v="71"/>
    <n v="32"/>
    <n v="3"/>
    <s v="Clothing"/>
    <s v="Saree"/>
    <x v="4"/>
    <x v="8"/>
  </r>
  <r>
    <x v="291"/>
    <n v="29"/>
    <n v="10"/>
    <n v="4"/>
    <s v="Clothing"/>
    <s v="Hankerchief"/>
    <x v="3"/>
    <x v="9"/>
  </r>
  <r>
    <x v="292"/>
    <n v="65"/>
    <n v="17"/>
    <n v="2"/>
    <s v="Clothing"/>
    <s v="T-shirt"/>
    <x v="3"/>
    <x v="6"/>
  </r>
  <r>
    <x v="29"/>
    <n v="72"/>
    <n v="-46"/>
    <n v="7"/>
    <s v="Clothing"/>
    <s v="Kurti"/>
    <x v="4"/>
    <x v="12"/>
  </r>
  <r>
    <x v="293"/>
    <n v="168"/>
    <n v="-51"/>
    <n v="2"/>
    <s v="Furniture"/>
    <s v="Bookcases"/>
    <x v="0"/>
    <x v="0"/>
  </r>
  <r>
    <x v="74"/>
    <n v="165"/>
    <n v="30"/>
    <n v="3"/>
    <s v="Clothing"/>
    <s v="Stole"/>
    <x v="0"/>
    <x v="0"/>
  </r>
  <r>
    <x v="252"/>
    <n v="74"/>
    <n v="-59"/>
    <n v="2"/>
    <s v="Electronics"/>
    <s v="Accessories"/>
    <x v="4"/>
    <x v="17"/>
  </r>
  <r>
    <x v="152"/>
    <n v="89"/>
    <n v="17"/>
    <n v="2"/>
    <s v="Clothing"/>
    <s v="Stole"/>
    <x v="3"/>
    <x v="6"/>
  </r>
  <r>
    <x v="207"/>
    <n v="228"/>
    <n v="63"/>
    <n v="3"/>
    <s v="Electronics"/>
    <s v="Electronic Games"/>
    <x v="2"/>
    <x v="0"/>
  </r>
  <r>
    <x v="64"/>
    <n v="119"/>
    <n v="-24"/>
    <n v="4"/>
    <s v="Furniture"/>
    <s v="Furnishings"/>
    <x v="0"/>
    <x v="1"/>
  </r>
  <r>
    <x v="118"/>
    <n v="75"/>
    <n v="-25"/>
    <n v="3"/>
    <s v="Clothing"/>
    <s v="Stole"/>
    <x v="3"/>
    <x v="2"/>
  </r>
  <r>
    <x v="101"/>
    <n v="67"/>
    <n v="20"/>
    <n v="4"/>
    <s v="Clothing"/>
    <s v="T-shirt"/>
    <x v="3"/>
    <x v="9"/>
  </r>
  <r>
    <x v="89"/>
    <n v="7"/>
    <n v="0"/>
    <n v="1"/>
    <s v="Clothing"/>
    <s v="Leggings"/>
    <x v="0"/>
    <x v="0"/>
  </r>
  <r>
    <x v="148"/>
    <n v="222"/>
    <n v="35"/>
    <n v="5"/>
    <s v="Clothing"/>
    <s v="Saree"/>
    <x v="2"/>
    <x v="13"/>
  </r>
  <r>
    <x v="204"/>
    <n v="219"/>
    <n v="-9"/>
    <n v="4"/>
    <s v="Clothing"/>
    <s v="Saree"/>
    <x v="2"/>
    <x v="12"/>
  </r>
  <r>
    <x v="10"/>
    <n v="42"/>
    <n v="-23"/>
    <n v="2"/>
    <s v="Furniture"/>
    <s v="Furnishings"/>
    <x v="3"/>
    <x v="0"/>
  </r>
  <r>
    <x v="66"/>
    <n v="216"/>
    <n v="-135"/>
    <n v="3"/>
    <s v="Furniture"/>
    <s v="Chairs"/>
    <x v="2"/>
    <x v="10"/>
  </r>
  <r>
    <x v="294"/>
    <n v="47"/>
    <n v="-21"/>
    <n v="2"/>
    <s v="Electronics"/>
    <s v="Electronic Games"/>
    <x v="0"/>
    <x v="6"/>
  </r>
  <r>
    <x v="233"/>
    <n v="68"/>
    <n v="-55"/>
    <n v="5"/>
    <s v="Electronics"/>
    <s v="Accessories"/>
    <x v="3"/>
    <x v="12"/>
  </r>
  <r>
    <x v="103"/>
    <n v="74"/>
    <n v="33"/>
    <n v="2"/>
    <s v="Clothing"/>
    <s v="Shirt"/>
    <x v="4"/>
    <x v="0"/>
  </r>
  <r>
    <x v="109"/>
    <n v="165"/>
    <n v="46"/>
    <n v="3"/>
    <s v="Furniture"/>
    <s v="Furnishings"/>
    <x v="0"/>
    <x v="2"/>
  </r>
  <r>
    <x v="179"/>
    <n v="101"/>
    <n v="11"/>
    <n v="2"/>
    <s v="Clothing"/>
    <s v="Hankerchief"/>
    <x v="3"/>
    <x v="12"/>
  </r>
  <r>
    <x v="295"/>
    <n v="162"/>
    <n v="73"/>
    <n v="2"/>
    <s v="Electronics"/>
    <s v="Electronic Games"/>
    <x v="0"/>
    <x v="6"/>
  </r>
  <r>
    <x v="247"/>
    <n v="20"/>
    <n v="-22"/>
    <n v="1"/>
    <s v="Furniture"/>
    <s v="Furnishings"/>
    <x v="3"/>
    <x v="1"/>
  </r>
  <r>
    <x v="135"/>
    <n v="162"/>
    <n v="55"/>
    <n v="3"/>
    <s v="Clothing"/>
    <s v="Stole"/>
    <x v="0"/>
    <x v="4"/>
  </r>
  <r>
    <x v="173"/>
    <n v="229"/>
    <n v="-23"/>
    <n v="2"/>
    <s v="Clothing"/>
    <s v="Saree"/>
    <x v="3"/>
    <x v="2"/>
  </r>
  <r>
    <x v="296"/>
    <n v="27"/>
    <n v="0"/>
    <n v="2"/>
    <s v="Clothing"/>
    <s v="Leggings"/>
    <x v="0"/>
    <x v="7"/>
  </r>
  <r>
    <x v="20"/>
    <n v="685"/>
    <n v="7"/>
    <n v="7"/>
    <s v="Clothing"/>
    <s v="Trousers"/>
    <x v="3"/>
    <x v="8"/>
  </r>
  <r>
    <x v="196"/>
    <n v="75"/>
    <n v="2"/>
    <n v="5"/>
    <s v="Clothing"/>
    <s v="Leggings"/>
    <x v="4"/>
    <x v="2"/>
  </r>
  <r>
    <x v="191"/>
    <n v="161"/>
    <n v="-229"/>
    <n v="8"/>
    <s v="Furniture"/>
    <s v="Furnishings"/>
    <x v="0"/>
    <x v="8"/>
  </r>
  <r>
    <x v="269"/>
    <n v="71"/>
    <n v="19"/>
    <n v="3"/>
    <s v="Clothing"/>
    <s v="T-shirt"/>
    <x v="0"/>
    <x v="8"/>
  </r>
  <r>
    <x v="104"/>
    <n v="211"/>
    <n v="-105"/>
    <n v="2"/>
    <s v="Clothing"/>
    <s v="Saree"/>
    <x v="2"/>
    <x v="2"/>
  </r>
  <r>
    <x v="297"/>
    <n v="79"/>
    <n v="5"/>
    <n v="6"/>
    <s v="Clothing"/>
    <s v="Hankerchief"/>
    <x v="4"/>
    <x v="18"/>
  </r>
  <r>
    <x v="111"/>
    <n v="32"/>
    <n v="-22"/>
    <n v="5"/>
    <s v="Clothing"/>
    <s v="Saree"/>
    <x v="3"/>
    <x v="0"/>
  </r>
  <r>
    <x v="298"/>
    <n v="161"/>
    <n v="40"/>
    <n v="3"/>
    <s v="Clothing"/>
    <s v="Stole"/>
    <x v="0"/>
    <x v="0"/>
  </r>
  <r>
    <x v="89"/>
    <n v="159"/>
    <n v="4"/>
    <n v="1"/>
    <s v="Clothing"/>
    <s v="Saree"/>
    <x v="0"/>
    <x v="0"/>
  </r>
  <r>
    <x v="113"/>
    <n v="210"/>
    <n v="-50"/>
    <n v="4"/>
    <s v="Clothing"/>
    <s v="Hankerchief"/>
    <x v="2"/>
    <x v="12"/>
  </r>
  <r>
    <x v="193"/>
    <n v="79"/>
    <n v="39"/>
    <n v="2"/>
    <s v="Clothing"/>
    <s v="Shirt"/>
    <x v="4"/>
    <x v="1"/>
  </r>
  <r>
    <x v="150"/>
    <n v="207"/>
    <n v="153"/>
    <n v="3"/>
    <s v="Clothing"/>
    <s v="Saree"/>
    <x v="2"/>
    <x v="14"/>
  </r>
  <r>
    <x v="166"/>
    <n v="36"/>
    <n v="0"/>
    <n v="4"/>
    <s v="Clothing"/>
    <s v="Kurti"/>
    <x v="0"/>
    <x v="0"/>
  </r>
  <r>
    <x v="76"/>
    <n v="206"/>
    <n v="12"/>
    <n v="1"/>
    <s v="Electronics"/>
    <s v="Printers"/>
    <x v="2"/>
    <x v="0"/>
  </r>
  <r>
    <x v="109"/>
    <n v="46"/>
    <n v="0"/>
    <n v="4"/>
    <s v="Clothing"/>
    <s v="Leggings"/>
    <x v="0"/>
    <x v="2"/>
  </r>
  <r>
    <x v="241"/>
    <n v="156"/>
    <n v="23"/>
    <n v="3"/>
    <s v="Clothing"/>
    <s v="Stole"/>
    <x v="0"/>
    <x v="2"/>
  </r>
  <r>
    <x v="254"/>
    <n v="154"/>
    <n v="54"/>
    <n v="3"/>
    <s v="Clothing"/>
    <s v="Hankerchief"/>
    <x v="0"/>
    <x v="10"/>
  </r>
  <r>
    <x v="299"/>
    <n v="36"/>
    <n v="15"/>
    <n v="3"/>
    <s v="Clothing"/>
    <s v="Stole"/>
    <x v="3"/>
    <x v="11"/>
  </r>
  <r>
    <x v="300"/>
    <n v="206"/>
    <n v="51"/>
    <n v="4"/>
    <s v="Clothing"/>
    <s v="Hankerchief"/>
    <x v="2"/>
    <x v="14"/>
  </r>
  <r>
    <x v="301"/>
    <n v="200"/>
    <n v="7"/>
    <n v="4"/>
    <s v="Electronics"/>
    <s v="Electronic Games"/>
    <x v="2"/>
    <x v="1"/>
  </r>
  <r>
    <x v="300"/>
    <n v="199"/>
    <n v="-1"/>
    <n v="1"/>
    <s v="Clothing"/>
    <s v="Saree"/>
    <x v="2"/>
    <x v="14"/>
  </r>
  <r>
    <x v="256"/>
    <n v="154"/>
    <n v="22"/>
    <n v="7"/>
    <s v="Clothing"/>
    <s v="T-shirt"/>
    <x v="0"/>
    <x v="1"/>
  </r>
  <r>
    <x v="302"/>
    <n v="152"/>
    <n v="23"/>
    <n v="3"/>
    <s v="Furniture"/>
    <s v="Furnishings"/>
    <x v="0"/>
    <x v="2"/>
  </r>
  <r>
    <x v="303"/>
    <n v="152"/>
    <n v="50"/>
    <n v="6"/>
    <s v="Clothing"/>
    <s v="Stole"/>
    <x v="0"/>
    <x v="0"/>
  </r>
  <r>
    <x v="173"/>
    <n v="122"/>
    <n v="-21"/>
    <n v="3"/>
    <s v="Furniture"/>
    <s v="Furnishings"/>
    <x v="3"/>
    <x v="2"/>
  </r>
  <r>
    <x v="202"/>
    <n v="149"/>
    <n v="48"/>
    <n v="6"/>
    <s v="Clothing"/>
    <s v="Stole"/>
    <x v="0"/>
    <x v="2"/>
  </r>
  <r>
    <x v="304"/>
    <n v="149"/>
    <n v="-87"/>
    <n v="4"/>
    <s v="Clothing"/>
    <s v="Saree"/>
    <x v="0"/>
    <x v="17"/>
  </r>
  <r>
    <x v="249"/>
    <n v="197"/>
    <n v="20"/>
    <n v="4"/>
    <s v="Clothing"/>
    <s v="Kurti"/>
    <x v="2"/>
    <x v="0"/>
  </r>
  <r>
    <x v="39"/>
    <n v="76"/>
    <n v="-54"/>
    <n v="3"/>
    <s v="Electronics"/>
    <s v="Electronic Games"/>
    <x v="0"/>
    <x v="2"/>
  </r>
  <r>
    <x v="230"/>
    <n v="221"/>
    <n v="-15"/>
    <n v="2"/>
    <s v="Electronics"/>
    <s v="Electronic Games"/>
    <x v="0"/>
    <x v="2"/>
  </r>
  <r>
    <x v="198"/>
    <n v="79"/>
    <n v="32"/>
    <n v="3"/>
    <s v="Clothing"/>
    <s v="Saree"/>
    <x v="4"/>
    <x v="6"/>
  </r>
  <r>
    <x v="305"/>
    <n v="45"/>
    <n v="12"/>
    <n v="7"/>
    <s v="Clothing"/>
    <s v="Hankerchief"/>
    <x v="3"/>
    <x v="2"/>
  </r>
  <r>
    <x v="189"/>
    <n v="149"/>
    <n v="-1"/>
    <n v="1"/>
    <s v="Clothing"/>
    <s v="Saree"/>
    <x v="0"/>
    <x v="7"/>
  </r>
  <r>
    <x v="269"/>
    <n v="80"/>
    <n v="22"/>
    <n v="3"/>
    <s v="Clothing"/>
    <s v="Stole"/>
    <x v="4"/>
    <x v="8"/>
  </r>
  <r>
    <x v="224"/>
    <n v="195"/>
    <n v="12"/>
    <n v="9"/>
    <s v="Clothing"/>
    <s v="Shirt"/>
    <x v="2"/>
    <x v="1"/>
  </r>
  <r>
    <x v="29"/>
    <n v="19"/>
    <n v="0"/>
    <n v="3"/>
    <s v="Clothing"/>
    <s v="Skirt"/>
    <x v="3"/>
    <x v="12"/>
  </r>
  <r>
    <x v="101"/>
    <n v="81"/>
    <n v="41"/>
    <n v="3"/>
    <s v="Clothing"/>
    <s v="Stole"/>
    <x v="4"/>
    <x v="9"/>
  </r>
  <r>
    <x v="306"/>
    <n v="83"/>
    <n v="34"/>
    <n v="5"/>
    <s v="Clothing"/>
    <s v="Shirt"/>
    <x v="4"/>
    <x v="10"/>
  </r>
  <r>
    <x v="24"/>
    <n v="149"/>
    <n v="17"/>
    <n v="4"/>
    <s v="Furniture"/>
    <s v="Furnishings"/>
    <x v="0"/>
    <x v="8"/>
  </r>
  <r>
    <x v="307"/>
    <n v="193"/>
    <n v="46"/>
    <n v="1"/>
    <s v="Electronics"/>
    <s v="Printers"/>
    <x v="2"/>
    <x v="2"/>
  </r>
  <r>
    <x v="58"/>
    <n v="85"/>
    <n v="24"/>
    <n v="10"/>
    <s v="Clothing"/>
    <s v="Hankerchief"/>
    <x v="4"/>
    <x v="17"/>
  </r>
  <r>
    <x v="189"/>
    <n v="44"/>
    <n v="-17"/>
    <n v="5"/>
    <s v="Clothing"/>
    <s v="Saree"/>
    <x v="3"/>
    <x v="7"/>
  </r>
  <r>
    <x v="308"/>
    <n v="149"/>
    <n v="-40"/>
    <n v="2"/>
    <s v="Electronics"/>
    <s v="Phones"/>
    <x v="0"/>
    <x v="15"/>
  </r>
  <r>
    <x v="309"/>
    <n v="26"/>
    <n v="0"/>
    <n v="2"/>
    <s v="Clothing"/>
    <s v="Kurti"/>
    <x v="0"/>
    <x v="2"/>
  </r>
  <r>
    <x v="226"/>
    <n v="86"/>
    <n v="0"/>
    <n v="4"/>
    <s v="Clothing"/>
    <s v="T-shirt"/>
    <x v="4"/>
    <x v="0"/>
  </r>
  <r>
    <x v="310"/>
    <n v="86"/>
    <n v="22"/>
    <n v="2"/>
    <s v="Clothing"/>
    <s v="Saree"/>
    <x v="4"/>
    <x v="2"/>
  </r>
  <r>
    <x v="34"/>
    <n v="79"/>
    <n v="16"/>
    <n v="3"/>
    <s v="Clothing"/>
    <s v="T-shirt"/>
    <x v="0"/>
    <x v="0"/>
  </r>
  <r>
    <x v="311"/>
    <n v="193"/>
    <n v="-275"/>
    <n v="3"/>
    <s v="Electronics"/>
    <s v="Phones"/>
    <x v="2"/>
    <x v="6"/>
  </r>
  <r>
    <x v="131"/>
    <n v="148"/>
    <n v="0"/>
    <n v="3"/>
    <s v="Clothing"/>
    <s v="Saree"/>
    <x v="0"/>
    <x v="2"/>
  </r>
  <r>
    <x v="312"/>
    <n v="70"/>
    <n v="-14"/>
    <n v="2"/>
    <s v="Furniture"/>
    <s v="Furnishings"/>
    <x v="3"/>
    <x v="13"/>
  </r>
  <r>
    <x v="313"/>
    <n v="148"/>
    <n v="59"/>
    <n v="3"/>
    <s v="Clothing"/>
    <s v="Hankerchief"/>
    <x v="0"/>
    <x v="1"/>
  </r>
  <r>
    <x v="21"/>
    <n v="190"/>
    <n v="19"/>
    <n v="9"/>
    <s v="Furniture"/>
    <s v="Furnishings"/>
    <x v="2"/>
    <x v="0"/>
  </r>
  <r>
    <x v="228"/>
    <n v="52"/>
    <n v="14"/>
    <n v="2"/>
    <s v="Clothing"/>
    <s v="Stole"/>
    <x v="0"/>
    <x v="12"/>
  </r>
  <r>
    <x v="295"/>
    <n v="147"/>
    <n v="44"/>
    <n v="3"/>
    <s v="Clothing"/>
    <s v="Saree"/>
    <x v="0"/>
    <x v="6"/>
  </r>
  <r>
    <x v="159"/>
    <n v="190"/>
    <n v="68"/>
    <n v="8"/>
    <s v="Clothing"/>
    <s v="T-shirt"/>
    <x v="2"/>
    <x v="2"/>
  </r>
  <r>
    <x v="314"/>
    <n v="80"/>
    <n v="-56"/>
    <n v="4"/>
    <s v="Electronics"/>
    <s v="Electronic Games"/>
    <x v="3"/>
    <x v="7"/>
  </r>
  <r>
    <x v="102"/>
    <n v="147"/>
    <n v="48"/>
    <n v="3"/>
    <s v="Clothing"/>
    <s v="Saree"/>
    <x v="0"/>
    <x v="0"/>
  </r>
  <r>
    <x v="154"/>
    <n v="66"/>
    <n v="12"/>
    <n v="3"/>
    <s v="Clothing"/>
    <s v="Stole"/>
    <x v="0"/>
    <x v="0"/>
  </r>
  <r>
    <x v="315"/>
    <n v="86"/>
    <n v="8"/>
    <n v="2"/>
    <s v="Clothing"/>
    <s v="Saree"/>
    <x v="4"/>
    <x v="0"/>
  </r>
  <r>
    <x v="241"/>
    <n v="88"/>
    <n v="19"/>
    <n v="2"/>
    <s v="Clothing"/>
    <s v="Shirt"/>
    <x v="4"/>
    <x v="2"/>
  </r>
  <r>
    <x v="101"/>
    <n v="188"/>
    <n v="-193"/>
    <n v="2"/>
    <s v="Electronics"/>
    <s v="Electronic Games"/>
    <x v="2"/>
    <x v="9"/>
  </r>
  <r>
    <x v="147"/>
    <n v="89"/>
    <n v="29"/>
    <n v="2"/>
    <s v="Clothing"/>
    <s v="Stole"/>
    <x v="3"/>
    <x v="17"/>
  </r>
  <r>
    <x v="316"/>
    <n v="146"/>
    <n v="19"/>
    <n v="5"/>
    <s v="Clothing"/>
    <s v="Stole"/>
    <x v="0"/>
    <x v="0"/>
  </r>
  <r>
    <x v="94"/>
    <n v="143"/>
    <n v="32"/>
    <n v="1"/>
    <s v="Furniture"/>
    <s v="Bookcases"/>
    <x v="0"/>
    <x v="17"/>
  </r>
  <r>
    <x v="244"/>
    <n v="25"/>
    <n v="-1"/>
    <n v="4"/>
    <s v="Clothing"/>
    <s v="Kurti"/>
    <x v="0"/>
    <x v="7"/>
  </r>
  <r>
    <x v="297"/>
    <n v="30"/>
    <n v="12"/>
    <n v="3"/>
    <s v="Clothing"/>
    <s v="Skirt"/>
    <x v="3"/>
    <x v="18"/>
  </r>
  <r>
    <x v="112"/>
    <n v="140"/>
    <n v="-58"/>
    <n v="4"/>
    <s v="Furniture"/>
    <s v="Furnishings"/>
    <x v="0"/>
    <x v="4"/>
  </r>
  <r>
    <x v="214"/>
    <n v="83"/>
    <n v="-48"/>
    <n v="1"/>
    <s v="Furniture"/>
    <s v="Bookcases"/>
    <x v="3"/>
    <x v="12"/>
  </r>
  <r>
    <x v="317"/>
    <n v="140"/>
    <n v="6"/>
    <n v="5"/>
    <s v="Clothing"/>
    <s v="Saree"/>
    <x v="0"/>
    <x v="0"/>
  </r>
  <r>
    <x v="166"/>
    <n v="28"/>
    <n v="14"/>
    <n v="4"/>
    <s v="Clothing"/>
    <s v="Hankerchief"/>
    <x v="0"/>
    <x v="0"/>
  </r>
  <r>
    <x v="318"/>
    <n v="139"/>
    <n v="14"/>
    <n v="3"/>
    <s v="Clothing"/>
    <s v="Stole"/>
    <x v="0"/>
    <x v="0"/>
  </r>
  <r>
    <x v="18"/>
    <n v="30"/>
    <n v="14"/>
    <n v="3"/>
    <s v="Clothing"/>
    <s v="Hankerchief"/>
    <x v="3"/>
    <x v="7"/>
  </r>
  <r>
    <x v="222"/>
    <n v="89"/>
    <n v="36"/>
    <n v="3"/>
    <s v="Clothing"/>
    <s v="Shirt"/>
    <x v="3"/>
    <x v="2"/>
  </r>
  <r>
    <x v="91"/>
    <n v="187"/>
    <n v="30"/>
    <n v="4"/>
    <s v="Electronics"/>
    <s v="Accessories"/>
    <x v="2"/>
    <x v="6"/>
  </r>
  <r>
    <x v="241"/>
    <n v="139"/>
    <n v="21"/>
    <n v="3"/>
    <s v="Electronics"/>
    <s v="Accessories"/>
    <x v="0"/>
    <x v="2"/>
  </r>
  <r>
    <x v="257"/>
    <n v="437"/>
    <n v="-14"/>
    <n v="2"/>
    <s v="Clothing"/>
    <s v="Saree"/>
    <x v="3"/>
    <x v="10"/>
  </r>
  <r>
    <x v="195"/>
    <n v="138"/>
    <n v="-3"/>
    <n v="5"/>
    <s v="Clothing"/>
    <s v="Saree"/>
    <x v="0"/>
    <x v="1"/>
  </r>
  <r>
    <x v="267"/>
    <n v="85"/>
    <n v="13"/>
    <n v="2"/>
    <s v="Clothing"/>
    <s v="Shirt"/>
    <x v="3"/>
    <x v="12"/>
  </r>
  <r>
    <x v="170"/>
    <n v="83"/>
    <n v="12"/>
    <n v="3"/>
    <s v="Clothing"/>
    <s v="Stole"/>
    <x v="3"/>
    <x v="1"/>
  </r>
  <r>
    <x v="262"/>
    <n v="91"/>
    <n v="22"/>
    <n v="2"/>
    <s v="Clothing"/>
    <s v="Stole"/>
    <x v="3"/>
    <x v="0"/>
  </r>
  <r>
    <x v="140"/>
    <n v="137"/>
    <n v="5"/>
    <n v="5"/>
    <s v="Clothing"/>
    <s v="Shirt"/>
    <x v="0"/>
    <x v="0"/>
  </r>
  <r>
    <x v="319"/>
    <n v="33"/>
    <n v="-12"/>
    <n v="7"/>
    <s v="Clothing"/>
    <s v="Saree"/>
    <x v="3"/>
    <x v="0"/>
  </r>
  <r>
    <x v="40"/>
    <n v="134"/>
    <n v="-34"/>
    <n v="2"/>
    <s v="Furniture"/>
    <s v="Chairs"/>
    <x v="0"/>
    <x v="10"/>
  </r>
  <r>
    <x v="320"/>
    <n v="134"/>
    <n v="42"/>
    <n v="2"/>
    <s v="Furniture"/>
    <s v="Chairs"/>
    <x v="0"/>
    <x v="2"/>
  </r>
  <r>
    <x v="321"/>
    <n v="133"/>
    <n v="-56"/>
    <n v="2"/>
    <s v="Furniture"/>
    <s v="Chairs"/>
    <x v="0"/>
    <x v="15"/>
  </r>
  <r>
    <x v="168"/>
    <n v="93"/>
    <n v="-84"/>
    <n v="3"/>
    <s v="Clothing"/>
    <s v="Saree"/>
    <x v="3"/>
    <x v="14"/>
  </r>
  <r>
    <x v="129"/>
    <n v="86"/>
    <n v="-21"/>
    <n v="1"/>
    <s v="Electronics"/>
    <s v="Electronic Games"/>
    <x v="3"/>
    <x v="2"/>
  </r>
  <r>
    <x v="23"/>
    <n v="132"/>
    <n v="54"/>
    <n v="5"/>
    <s v="Clothing"/>
    <s v="Stole"/>
    <x v="0"/>
    <x v="10"/>
  </r>
  <r>
    <x v="53"/>
    <n v="132"/>
    <n v="-10"/>
    <n v="3"/>
    <s v="Clothing"/>
    <s v="Saree"/>
    <x v="0"/>
    <x v="13"/>
  </r>
  <r>
    <x v="220"/>
    <n v="132"/>
    <n v="-79"/>
    <n v="5"/>
    <s v="Furniture"/>
    <s v="Furnishings"/>
    <x v="0"/>
    <x v="7"/>
  </r>
  <r>
    <x v="260"/>
    <n v="93"/>
    <n v="-65"/>
    <n v="4"/>
    <s v="Clothing"/>
    <s v="Stole"/>
    <x v="3"/>
    <x v="8"/>
  </r>
  <r>
    <x v="322"/>
    <n v="95"/>
    <n v="5"/>
    <n v="2"/>
    <s v="Clothing"/>
    <s v="Stole"/>
    <x v="3"/>
    <x v="1"/>
  </r>
  <r>
    <x v="35"/>
    <n v="97"/>
    <n v="12"/>
    <n v="2"/>
    <s v="Clothing"/>
    <s v="Hankerchief"/>
    <x v="3"/>
    <x v="3"/>
  </r>
  <r>
    <x v="323"/>
    <n v="131"/>
    <n v="-154"/>
    <n v="8"/>
    <s v="Furniture"/>
    <s v="Furnishings"/>
    <x v="0"/>
    <x v="17"/>
  </r>
  <r>
    <x v="266"/>
    <n v="97"/>
    <n v="29"/>
    <n v="2"/>
    <s v="Clothing"/>
    <s v="Hankerchief"/>
    <x v="3"/>
    <x v="4"/>
  </r>
  <r>
    <x v="18"/>
    <n v="128"/>
    <n v="4"/>
    <n v="3"/>
    <s v="Clothing"/>
    <s v="Saree"/>
    <x v="0"/>
    <x v="7"/>
  </r>
  <r>
    <x v="10"/>
    <n v="186"/>
    <n v="241"/>
    <n v="9"/>
    <s v="Clothing"/>
    <s v="Shirt"/>
    <x v="2"/>
    <x v="0"/>
  </r>
  <r>
    <x v="34"/>
    <n v="128"/>
    <n v="47"/>
    <n v="4"/>
    <s v="Clothing"/>
    <s v="Hankerchief"/>
    <x v="0"/>
    <x v="0"/>
  </r>
  <r>
    <x v="140"/>
    <n v="185"/>
    <n v="48"/>
    <n v="4"/>
    <s v="Clothing"/>
    <s v="Stole"/>
    <x v="2"/>
    <x v="0"/>
  </r>
  <r>
    <x v="324"/>
    <n v="29"/>
    <n v="10"/>
    <n v="2"/>
    <s v="Clothing"/>
    <s v="Stole"/>
    <x v="0"/>
    <x v="0"/>
  </r>
  <r>
    <x v="33"/>
    <n v="127"/>
    <n v="29"/>
    <n v="3"/>
    <s v="Furniture"/>
    <s v="Furnishings"/>
    <x v="0"/>
    <x v="7"/>
  </r>
  <r>
    <x v="205"/>
    <n v="97"/>
    <n v="36"/>
    <n v="7"/>
    <s v="Clothing"/>
    <s v="Hankerchief"/>
    <x v="3"/>
    <x v="0"/>
  </r>
  <r>
    <x v="108"/>
    <n v="125"/>
    <n v="0"/>
    <n v="3"/>
    <s v="Electronics"/>
    <s v="Accessories"/>
    <x v="0"/>
    <x v="17"/>
  </r>
  <r>
    <x v="325"/>
    <n v="299"/>
    <n v="-8"/>
    <n v="2"/>
    <s v="Clothing"/>
    <s v="Saree"/>
    <x v="0"/>
    <x v="12"/>
  </r>
  <r>
    <x v="326"/>
    <n v="124"/>
    <n v="54"/>
    <n v="5"/>
    <s v="Clothing"/>
    <s v="T-shirt"/>
    <x v="0"/>
    <x v="6"/>
  </r>
  <r>
    <x v="195"/>
    <n v="90"/>
    <n v="17"/>
    <n v="3"/>
    <s v="Clothing"/>
    <s v="Shirt"/>
    <x v="0"/>
    <x v="1"/>
  </r>
  <r>
    <x v="221"/>
    <n v="122"/>
    <n v="11"/>
    <n v="4"/>
    <s v="Clothing"/>
    <s v="Hankerchief"/>
    <x v="0"/>
    <x v="0"/>
  </r>
  <r>
    <x v="305"/>
    <n v="122"/>
    <n v="-66"/>
    <n v="9"/>
    <s v="Electronics"/>
    <s v="Accessories"/>
    <x v="0"/>
    <x v="2"/>
  </r>
  <r>
    <x v="42"/>
    <n v="90"/>
    <n v="30"/>
    <n v="2"/>
    <s v="Furniture"/>
    <s v="Chairs"/>
    <x v="3"/>
    <x v="0"/>
  </r>
  <r>
    <x v="327"/>
    <n v="182"/>
    <n v="-11"/>
    <n v="3"/>
    <s v="Furniture"/>
    <s v="Bookcases"/>
    <x v="2"/>
    <x v="2"/>
  </r>
  <r>
    <x v="121"/>
    <n v="122"/>
    <n v="59"/>
    <n v="7"/>
    <s v="Furniture"/>
    <s v="Furnishings"/>
    <x v="0"/>
    <x v="10"/>
  </r>
  <r>
    <x v="328"/>
    <n v="121"/>
    <n v="19"/>
    <n v="4"/>
    <s v="Clothing"/>
    <s v="Stole"/>
    <x v="0"/>
    <x v="13"/>
  </r>
  <r>
    <x v="135"/>
    <n v="120"/>
    <n v="1"/>
    <n v="1"/>
    <s v="Furniture"/>
    <s v="Chairs"/>
    <x v="0"/>
    <x v="4"/>
  </r>
  <r>
    <x v="147"/>
    <n v="120"/>
    <n v="23"/>
    <n v="5"/>
    <s v="Clothing"/>
    <s v="Stole"/>
    <x v="0"/>
    <x v="17"/>
  </r>
  <r>
    <x v="74"/>
    <n v="34"/>
    <n v="-11"/>
    <n v="5"/>
    <s v="Clothing"/>
    <s v="T-shirt"/>
    <x v="0"/>
    <x v="0"/>
  </r>
  <r>
    <x v="67"/>
    <n v="117"/>
    <n v="17"/>
    <n v="6"/>
    <s v="Clothing"/>
    <s v="Kurti"/>
    <x v="0"/>
    <x v="0"/>
  </r>
  <r>
    <x v="329"/>
    <n v="38"/>
    <n v="9"/>
    <n v="2"/>
    <s v="Clothing"/>
    <s v="Stole"/>
    <x v="0"/>
    <x v="13"/>
  </r>
  <r>
    <x v="6"/>
    <n v="117"/>
    <n v="-6"/>
    <n v="3"/>
    <s v="Electronics"/>
    <s v="Phones"/>
    <x v="0"/>
    <x v="3"/>
  </r>
  <r>
    <x v="185"/>
    <n v="180"/>
    <n v="54"/>
    <n v="4"/>
    <s v="Clothing"/>
    <s v="T-shirt"/>
    <x v="2"/>
    <x v="7"/>
  </r>
  <r>
    <x v="192"/>
    <n v="99"/>
    <n v="-5"/>
    <n v="1"/>
    <s v="Clothing"/>
    <s v="Saree"/>
    <x v="3"/>
    <x v="5"/>
  </r>
  <r>
    <x v="89"/>
    <n v="172"/>
    <n v="-103"/>
    <n v="3"/>
    <s v="Furniture"/>
    <s v="Chairs"/>
    <x v="1"/>
    <x v="0"/>
  </r>
  <r>
    <x v="117"/>
    <n v="116"/>
    <n v="16"/>
    <n v="4"/>
    <s v="Clothing"/>
    <s v="Stole"/>
    <x v="0"/>
    <x v="0"/>
  </r>
  <r>
    <x v="6"/>
    <n v="116"/>
    <n v="-4"/>
    <n v="1"/>
    <s v="Clothing"/>
    <s v="Saree"/>
    <x v="0"/>
    <x v="3"/>
  </r>
  <r>
    <x v="330"/>
    <n v="171"/>
    <n v="68"/>
    <n v="7"/>
    <s v="Clothing"/>
    <s v="Stole"/>
    <x v="1"/>
    <x v="0"/>
  </r>
  <r>
    <x v="98"/>
    <n v="46"/>
    <n v="14"/>
    <n v="5"/>
    <s v="Clothing"/>
    <s v="Skirt"/>
    <x v="0"/>
    <x v="4"/>
  </r>
  <r>
    <x v="69"/>
    <n v="115"/>
    <n v="-39"/>
    <n v="3"/>
    <s v="Clothing"/>
    <s v="Trousers"/>
    <x v="0"/>
    <x v="4"/>
  </r>
  <r>
    <x v="331"/>
    <n v="100"/>
    <n v="7"/>
    <n v="2"/>
    <s v="Clothing"/>
    <s v="T-shirt"/>
    <x v="3"/>
    <x v="1"/>
  </r>
  <r>
    <x v="132"/>
    <n v="44"/>
    <n v="8"/>
    <n v="2"/>
    <s v="Clothing"/>
    <s v="Stole"/>
    <x v="0"/>
    <x v="8"/>
  </r>
  <r>
    <x v="206"/>
    <n v="139"/>
    <n v="14"/>
    <n v="3"/>
    <s v="Clothing"/>
    <s v="Kurti"/>
    <x v="0"/>
    <x v="16"/>
  </r>
  <r>
    <x v="332"/>
    <n v="171"/>
    <n v="-140"/>
    <n v="2"/>
    <s v="Furniture"/>
    <s v="Bookcases"/>
    <x v="1"/>
    <x v="9"/>
  </r>
  <r>
    <x v="333"/>
    <n v="100"/>
    <n v="12"/>
    <n v="2"/>
    <s v="Clothing"/>
    <s v="T-shirt"/>
    <x v="3"/>
    <x v="2"/>
  </r>
  <r>
    <x v="317"/>
    <n v="115"/>
    <n v="25"/>
    <n v="6"/>
    <s v="Clothing"/>
    <s v="Stole"/>
    <x v="0"/>
    <x v="0"/>
  </r>
  <r>
    <x v="6"/>
    <n v="168"/>
    <n v="-9"/>
    <n v="3"/>
    <s v="Clothing"/>
    <s v="Saree"/>
    <x v="0"/>
    <x v="3"/>
  </r>
  <r>
    <x v="334"/>
    <n v="115"/>
    <n v="47"/>
    <n v="2"/>
    <s v="Electronics"/>
    <s v="Accessories"/>
    <x v="0"/>
    <x v="6"/>
  </r>
  <r>
    <x v="4"/>
    <n v="168"/>
    <n v="-111"/>
    <n v="2"/>
    <s v="Electronics"/>
    <s v="Phones"/>
    <x v="1"/>
    <x v="2"/>
  </r>
  <r>
    <x v="335"/>
    <n v="31"/>
    <n v="-7"/>
    <n v="5"/>
    <s v="Clothing"/>
    <s v="Skirt"/>
    <x v="3"/>
    <x v="2"/>
  </r>
  <r>
    <x v="34"/>
    <n v="114"/>
    <n v="41"/>
    <n v="6"/>
    <s v="Furniture"/>
    <s v="Furnishings"/>
    <x v="0"/>
    <x v="0"/>
  </r>
  <r>
    <x v="105"/>
    <n v="111"/>
    <n v="9"/>
    <n v="4"/>
    <s v="Clothing"/>
    <s v="Stole"/>
    <x v="0"/>
    <x v="2"/>
  </r>
  <r>
    <x v="336"/>
    <n v="11"/>
    <n v="-8"/>
    <n v="2"/>
    <s v="Clothing"/>
    <s v="Skirt"/>
    <x v="3"/>
    <x v="16"/>
  </r>
  <r>
    <x v="217"/>
    <n v="110"/>
    <n v="35"/>
    <n v="1"/>
    <s v="Furniture"/>
    <s v="Furnishings"/>
    <x v="0"/>
    <x v="0"/>
  </r>
  <r>
    <x v="98"/>
    <n v="59"/>
    <n v="15"/>
    <n v="2"/>
    <s v="Clothing"/>
    <s v="T-shirt"/>
    <x v="3"/>
    <x v="4"/>
  </r>
  <r>
    <x v="198"/>
    <n v="166"/>
    <n v="27"/>
    <n v="2"/>
    <s v="Electronics"/>
    <s v="Accessories"/>
    <x v="1"/>
    <x v="6"/>
  </r>
  <r>
    <x v="27"/>
    <n v="109"/>
    <n v="-6"/>
    <n v="6"/>
    <s v="Clothing"/>
    <s v="Saree"/>
    <x v="0"/>
    <x v="2"/>
  </r>
  <r>
    <x v="276"/>
    <n v="34"/>
    <n v="-6"/>
    <n v="4"/>
    <s v="Clothing"/>
    <s v="Leggings"/>
    <x v="0"/>
    <x v="16"/>
  </r>
  <r>
    <x v="260"/>
    <n v="109"/>
    <n v="40"/>
    <n v="1"/>
    <s v="Furniture"/>
    <s v="Furnishings"/>
    <x v="0"/>
    <x v="8"/>
  </r>
  <r>
    <x v="44"/>
    <n v="108"/>
    <n v="22"/>
    <n v="3"/>
    <s v="Electronics"/>
    <s v="Accessories"/>
    <x v="0"/>
    <x v="2"/>
  </r>
  <r>
    <x v="278"/>
    <n v="103"/>
    <n v="50"/>
    <n v="2"/>
    <s v="Furniture"/>
    <s v="Furnishings"/>
    <x v="3"/>
    <x v="2"/>
  </r>
  <r>
    <x v="178"/>
    <n v="10"/>
    <n v="-8"/>
    <n v="2"/>
    <s v="Clothing"/>
    <s v="Skirt"/>
    <x v="0"/>
    <x v="0"/>
  </r>
  <r>
    <x v="139"/>
    <n v="90"/>
    <n v="17"/>
    <n v="3"/>
    <s v="Clothing"/>
    <s v="Hankerchief"/>
    <x v="0"/>
    <x v="0"/>
  </r>
  <r>
    <x v="173"/>
    <n v="105"/>
    <n v="46"/>
    <n v="2"/>
    <s v="Clothing"/>
    <s v="Stole"/>
    <x v="3"/>
    <x v="2"/>
  </r>
  <r>
    <x v="304"/>
    <n v="105"/>
    <n v="20"/>
    <n v="2"/>
    <s v="Clothing"/>
    <s v="Stole"/>
    <x v="4"/>
    <x v="17"/>
  </r>
  <r>
    <x v="337"/>
    <n v="22"/>
    <n v="-6"/>
    <n v="1"/>
    <s v="Furniture"/>
    <s v="Furnishings"/>
    <x v="0"/>
    <x v="17"/>
  </r>
  <r>
    <x v="83"/>
    <n v="105"/>
    <n v="-33"/>
    <n v="5"/>
    <s v="Clothing"/>
    <s v="Kurti"/>
    <x v="0"/>
    <x v="9"/>
  </r>
  <r>
    <x v="338"/>
    <n v="105"/>
    <n v="25"/>
    <n v="2"/>
    <s v="Clothing"/>
    <s v="Hankerchief"/>
    <x v="1"/>
    <x v="17"/>
  </r>
  <r>
    <x v="339"/>
    <n v="25"/>
    <n v="-7"/>
    <n v="5"/>
    <s v="Clothing"/>
    <s v="Saree"/>
    <x v="3"/>
    <x v="2"/>
  </r>
  <r>
    <x v="278"/>
    <n v="104"/>
    <n v="2"/>
    <n v="2"/>
    <s v="Furniture"/>
    <s v="Furnishings"/>
    <x v="0"/>
    <x v="2"/>
  </r>
  <r>
    <x v="340"/>
    <n v="16"/>
    <n v="5"/>
    <n v="1"/>
    <s v="Clothing"/>
    <s v="Stole"/>
    <x v="3"/>
    <x v="9"/>
  </r>
  <r>
    <x v="183"/>
    <n v="64"/>
    <n v="-7"/>
    <n v="3"/>
    <s v="Clothing"/>
    <s v="Saree"/>
    <x v="0"/>
    <x v="3"/>
  </r>
  <r>
    <x v="341"/>
    <n v="38"/>
    <n v="-6"/>
    <n v="2"/>
    <s v="Furniture"/>
    <s v="Furnishings"/>
    <x v="3"/>
    <x v="13"/>
  </r>
  <r>
    <x v="342"/>
    <n v="83"/>
    <n v="12"/>
    <n v="2"/>
    <s v="Furniture"/>
    <s v="Chairs"/>
    <x v="0"/>
    <x v="8"/>
  </r>
  <r>
    <x v="159"/>
    <n v="103"/>
    <n v="36"/>
    <n v="2"/>
    <s v="Clothing"/>
    <s v="Hankerchief"/>
    <x v="0"/>
    <x v="2"/>
  </r>
  <r>
    <x v="131"/>
    <n v="37"/>
    <n v="-6"/>
    <n v="1"/>
    <s v="Clothing"/>
    <s v="Saree"/>
    <x v="3"/>
    <x v="2"/>
  </r>
  <r>
    <x v="343"/>
    <n v="105"/>
    <n v="33"/>
    <n v="6"/>
    <s v="Clothing"/>
    <s v="Saree"/>
    <x v="1"/>
    <x v="0"/>
  </r>
  <r>
    <x v="110"/>
    <n v="78"/>
    <n v="-6"/>
    <n v="2"/>
    <s v="Furniture"/>
    <s v="Furnishings"/>
    <x v="3"/>
    <x v="0"/>
  </r>
  <r>
    <x v="14"/>
    <n v="102"/>
    <n v="-90"/>
    <n v="1"/>
    <s v="Clothing"/>
    <s v="Saree"/>
    <x v="0"/>
    <x v="1"/>
  </r>
  <r>
    <x v="344"/>
    <n v="102"/>
    <n v="11"/>
    <n v="6"/>
    <s v="Clothing"/>
    <s v="T-shirt"/>
    <x v="0"/>
    <x v="8"/>
  </r>
  <r>
    <x v="230"/>
    <n v="10"/>
    <n v="-8"/>
    <n v="1"/>
    <s v="Clothing"/>
    <s v="Kurti"/>
    <x v="3"/>
    <x v="2"/>
  </r>
  <r>
    <x v="93"/>
    <n v="101"/>
    <n v="18"/>
    <n v="9"/>
    <s v="Clothing"/>
    <s v="Skirt"/>
    <x v="0"/>
    <x v="2"/>
  </r>
  <r>
    <x v="345"/>
    <n v="42"/>
    <n v="-6"/>
    <n v="4"/>
    <s v="Clothing"/>
    <s v="Saree"/>
    <x v="3"/>
    <x v="10"/>
  </r>
  <r>
    <x v="239"/>
    <n v="56"/>
    <n v="18"/>
    <n v="2"/>
    <s v="Clothing"/>
    <s v="Hankerchief"/>
    <x v="3"/>
    <x v="1"/>
  </r>
  <r>
    <x v="339"/>
    <n v="95"/>
    <n v="5"/>
    <n v="2"/>
    <s v="Clothing"/>
    <s v="Stole"/>
    <x v="0"/>
    <x v="2"/>
  </r>
  <r>
    <x v="346"/>
    <n v="159"/>
    <n v="2"/>
    <n v="3"/>
    <s v="Furniture"/>
    <s v="Furnishings"/>
    <x v="1"/>
    <x v="7"/>
  </r>
  <r>
    <x v="304"/>
    <n v="158"/>
    <n v="69"/>
    <n v="3"/>
    <s v="Clothing"/>
    <s v="Stole"/>
    <x v="1"/>
    <x v="17"/>
  </r>
  <r>
    <x v="230"/>
    <n v="106"/>
    <n v="0"/>
    <n v="2"/>
    <s v="Electronics"/>
    <s v="Phones"/>
    <x v="1"/>
    <x v="2"/>
  </r>
  <r>
    <x v="92"/>
    <n v="101"/>
    <n v="16"/>
    <n v="4"/>
    <s v="Clothing"/>
    <s v="T-shirt"/>
    <x v="0"/>
    <x v="3"/>
  </r>
  <r>
    <x v="152"/>
    <n v="107"/>
    <n v="37"/>
    <n v="3"/>
    <s v="Clothing"/>
    <s v="Shirt"/>
    <x v="0"/>
    <x v="6"/>
  </r>
  <r>
    <x v="347"/>
    <n v="156"/>
    <n v="36"/>
    <n v="5"/>
    <s v="Clothing"/>
    <s v="T-shirt"/>
    <x v="1"/>
    <x v="3"/>
  </r>
  <r>
    <x v="348"/>
    <n v="108"/>
    <n v="-19"/>
    <n v="3"/>
    <s v="Electronics"/>
    <s v="Electronic Games"/>
    <x v="3"/>
    <x v="0"/>
  </r>
  <r>
    <x v="233"/>
    <n v="107"/>
    <n v="-54"/>
    <n v="4"/>
    <s v="Clothing"/>
    <s v="Stole"/>
    <x v="1"/>
    <x v="12"/>
  </r>
  <r>
    <x v="349"/>
    <n v="100"/>
    <n v="-58"/>
    <n v="4"/>
    <s v="Clothing"/>
    <s v="Hankerchief"/>
    <x v="0"/>
    <x v="0"/>
  </r>
  <r>
    <x v="249"/>
    <n v="108"/>
    <n v="26"/>
    <n v="4"/>
    <s v="Clothing"/>
    <s v="Shirt"/>
    <x v="3"/>
    <x v="0"/>
  </r>
  <r>
    <x v="350"/>
    <n v="100"/>
    <n v="6"/>
    <n v="4"/>
    <s v="Clothing"/>
    <s v="Stole"/>
    <x v="0"/>
    <x v="2"/>
  </r>
  <r>
    <x v="186"/>
    <n v="100"/>
    <n v="-23"/>
    <n v="1"/>
    <s v="Electronics"/>
    <s v="Phones"/>
    <x v="0"/>
    <x v="13"/>
  </r>
  <r>
    <x v="96"/>
    <n v="43"/>
    <n v="17"/>
    <n v="2"/>
    <s v="Clothing"/>
    <s v="T-shirt"/>
    <x v="3"/>
    <x v="15"/>
  </r>
  <r>
    <x v="167"/>
    <n v="155"/>
    <n v="26"/>
    <n v="3"/>
    <s v="Clothing"/>
    <s v="Stole"/>
    <x v="1"/>
    <x v="7"/>
  </r>
  <r>
    <x v="351"/>
    <n v="151"/>
    <n v="9"/>
    <n v="3"/>
    <s v="Clothing"/>
    <s v="Hankerchief"/>
    <x v="1"/>
    <x v="2"/>
  </r>
  <r>
    <x v="133"/>
    <n v="151"/>
    <n v="29"/>
    <n v="5"/>
    <s v="Clothing"/>
    <s v="Hankerchief"/>
    <x v="1"/>
    <x v="13"/>
  </r>
  <r>
    <x v="15"/>
    <n v="110"/>
    <n v="-68"/>
    <n v="4"/>
    <s v="Clothing"/>
    <s v="Saree"/>
    <x v="1"/>
    <x v="0"/>
  </r>
  <r>
    <x v="74"/>
    <n v="98"/>
    <n v="9"/>
    <n v="2"/>
    <s v="Furniture"/>
    <s v="Furnishings"/>
    <x v="0"/>
    <x v="0"/>
  </r>
  <r>
    <x v="15"/>
    <n v="97"/>
    <n v="-62"/>
    <n v="2"/>
    <s v="Clothing"/>
    <s v="Trousers"/>
    <x v="0"/>
    <x v="0"/>
  </r>
  <r>
    <x v="94"/>
    <n v="111"/>
    <n v="35"/>
    <n v="5"/>
    <s v="Clothing"/>
    <s v="Shirt"/>
    <x v="0"/>
    <x v="17"/>
  </r>
  <r>
    <x v="265"/>
    <n v="45"/>
    <n v="17"/>
    <n v="1"/>
    <s v="Electronics"/>
    <s v="Accessories"/>
    <x v="0"/>
    <x v="12"/>
  </r>
  <r>
    <x v="352"/>
    <n v="112"/>
    <n v="15"/>
    <n v="2"/>
    <s v="Furniture"/>
    <s v="Chairs"/>
    <x v="0"/>
    <x v="2"/>
  </r>
  <r>
    <x v="2"/>
    <n v="110"/>
    <n v="20"/>
    <n v="5"/>
    <s v="Clothing"/>
    <s v="Stole"/>
    <x v="4"/>
    <x v="2"/>
  </r>
  <r>
    <x v="61"/>
    <n v="98"/>
    <n v="-5"/>
    <n v="2"/>
    <s v="Clothing"/>
    <s v="Saree"/>
    <x v="3"/>
    <x v="0"/>
  </r>
  <r>
    <x v="353"/>
    <n v="110"/>
    <n v="12"/>
    <n v="7"/>
    <s v="Clothing"/>
    <s v="Stole"/>
    <x v="4"/>
    <x v="6"/>
  </r>
  <r>
    <x v="18"/>
    <n v="95"/>
    <n v="11"/>
    <n v="4"/>
    <s v="Furniture"/>
    <s v="Furnishings"/>
    <x v="0"/>
    <x v="7"/>
  </r>
  <r>
    <x v="184"/>
    <n v="1228"/>
    <n v="14"/>
    <n v="3"/>
    <s v="Furniture"/>
    <s v="Chairs"/>
    <x v="3"/>
    <x v="2"/>
  </r>
  <r>
    <x v="253"/>
    <n v="29"/>
    <n v="0"/>
    <n v="3"/>
    <s v="Furniture"/>
    <s v="Furnishings"/>
    <x v="0"/>
    <x v="15"/>
  </r>
  <r>
    <x v="1"/>
    <n v="94"/>
    <n v="27"/>
    <n v="2"/>
    <s v="Clothing"/>
    <s v="T-shirt"/>
    <x v="0"/>
    <x v="1"/>
  </r>
  <r>
    <x v="87"/>
    <n v="115"/>
    <n v="25"/>
    <n v="1"/>
    <s v="Electronics"/>
    <s v="Accessories"/>
    <x v="0"/>
    <x v="5"/>
  </r>
  <r>
    <x v="170"/>
    <n v="149"/>
    <n v="15"/>
    <n v="3"/>
    <s v="Clothing"/>
    <s v="Saree"/>
    <x v="1"/>
    <x v="1"/>
  </r>
  <r>
    <x v="92"/>
    <n v="148"/>
    <n v="23"/>
    <n v="4"/>
    <s v="Clothing"/>
    <s v="Kurti"/>
    <x v="1"/>
    <x v="3"/>
  </r>
  <r>
    <x v="25"/>
    <n v="93"/>
    <n v="15"/>
    <n v="2"/>
    <s v="Electronics"/>
    <s v="Accessories"/>
    <x v="0"/>
    <x v="11"/>
  </r>
  <r>
    <x v="329"/>
    <n v="113"/>
    <n v="24"/>
    <n v="4"/>
    <s v="Clothing"/>
    <s v="Hankerchief"/>
    <x v="4"/>
    <x v="13"/>
  </r>
  <r>
    <x v="232"/>
    <n v="48"/>
    <n v="2"/>
    <n v="3"/>
    <s v="Clothing"/>
    <s v="Stole"/>
    <x v="0"/>
    <x v="8"/>
  </r>
  <r>
    <x v="296"/>
    <n v="148"/>
    <n v="9"/>
    <n v="1"/>
    <s v="Electronics"/>
    <s v="Electronic Games"/>
    <x v="3"/>
    <x v="7"/>
  </r>
  <r>
    <x v="354"/>
    <n v="114"/>
    <n v="11"/>
    <n v="4"/>
    <s v="Clothing"/>
    <s v="T-shirt"/>
    <x v="4"/>
    <x v="7"/>
  </r>
  <r>
    <x v="51"/>
    <n v="92"/>
    <n v="42"/>
    <n v="2"/>
    <s v="Clothing"/>
    <s v="Stole"/>
    <x v="0"/>
    <x v="13"/>
  </r>
  <r>
    <x v="355"/>
    <n v="117"/>
    <n v="14"/>
    <n v="3"/>
    <s v="Clothing"/>
    <s v="Shirt"/>
    <x v="3"/>
    <x v="0"/>
  </r>
  <r>
    <x v="52"/>
    <n v="21"/>
    <n v="-10"/>
    <n v="4"/>
    <s v="Clothing"/>
    <s v="Leggings"/>
    <x v="0"/>
    <x v="0"/>
  </r>
  <r>
    <x v="356"/>
    <n v="33"/>
    <n v="-10"/>
    <n v="6"/>
    <s v="Clothing"/>
    <s v="Leggings"/>
    <x v="3"/>
    <x v="0"/>
  </r>
  <r>
    <x v="69"/>
    <n v="114"/>
    <n v="8"/>
    <n v="3"/>
    <s v="Electronics"/>
    <s v="Accessories"/>
    <x v="4"/>
    <x v="4"/>
  </r>
  <r>
    <x v="172"/>
    <n v="115"/>
    <n v="0"/>
    <n v="1"/>
    <s v="Electronics"/>
    <s v="Accessories"/>
    <x v="4"/>
    <x v="9"/>
  </r>
  <r>
    <x v="9"/>
    <n v="90"/>
    <n v="29"/>
    <n v="5"/>
    <s v="Clothing"/>
    <s v="T-shirt"/>
    <x v="0"/>
    <x v="5"/>
  </r>
  <r>
    <x v="357"/>
    <n v="61"/>
    <n v="1"/>
    <n v="2"/>
    <s v="Furniture"/>
    <s v="Furnishings"/>
    <x v="0"/>
    <x v="11"/>
  </r>
  <r>
    <x v="358"/>
    <n v="119"/>
    <n v="1"/>
    <n v="1"/>
    <s v="Furniture"/>
    <s v="Chairs"/>
    <x v="0"/>
    <x v="6"/>
  </r>
  <r>
    <x v="81"/>
    <n v="117"/>
    <n v="36"/>
    <n v="2"/>
    <s v="Clothing"/>
    <s v="Trousers"/>
    <x v="4"/>
    <x v="16"/>
  </r>
  <r>
    <x v="359"/>
    <n v="148"/>
    <n v="54"/>
    <n v="2"/>
    <s v="Furniture"/>
    <s v="Chairs"/>
    <x v="3"/>
    <x v="3"/>
  </r>
  <r>
    <x v="158"/>
    <n v="249"/>
    <n v="-5"/>
    <n v="4"/>
    <s v="Clothing"/>
    <s v="Saree"/>
    <x v="0"/>
    <x v="1"/>
  </r>
  <r>
    <x v="85"/>
    <n v="147"/>
    <n v="73"/>
    <n v="3"/>
    <s v="Clothing"/>
    <s v="Stole"/>
    <x v="3"/>
    <x v="6"/>
  </r>
  <r>
    <x v="360"/>
    <n v="118"/>
    <n v="35"/>
    <n v="7"/>
    <s v="Clothing"/>
    <s v="T-shirt"/>
    <x v="1"/>
    <x v="0"/>
  </r>
  <r>
    <x v="162"/>
    <n v="119"/>
    <n v="56"/>
    <n v="7"/>
    <s v="Clothing"/>
    <s v="Saree"/>
    <x v="1"/>
    <x v="11"/>
  </r>
  <r>
    <x v="346"/>
    <n v="90"/>
    <n v="27"/>
    <n v="2"/>
    <s v="Clothing"/>
    <s v="T-shirt"/>
    <x v="0"/>
    <x v="7"/>
  </r>
  <r>
    <x v="231"/>
    <n v="32"/>
    <n v="1"/>
    <n v="2"/>
    <s v="Clothing"/>
    <s v="Stole"/>
    <x v="0"/>
    <x v="18"/>
  </r>
  <r>
    <x v="361"/>
    <n v="89"/>
    <n v="-89"/>
    <n v="2"/>
    <s v="Furniture"/>
    <s v="Furnishings"/>
    <x v="0"/>
    <x v="15"/>
  </r>
  <r>
    <x v="296"/>
    <n v="146"/>
    <n v="66"/>
    <n v="1"/>
    <s v="Electronics"/>
    <s v="Phones"/>
    <x v="3"/>
    <x v="7"/>
  </r>
  <r>
    <x v="362"/>
    <n v="89"/>
    <n v="-37"/>
    <n v="4"/>
    <s v="Clothing"/>
    <s v="Shirt"/>
    <x v="0"/>
    <x v="2"/>
  </r>
  <r>
    <x v="211"/>
    <n v="88"/>
    <n v="11"/>
    <n v="3"/>
    <s v="Electronics"/>
    <s v="Accessories"/>
    <x v="0"/>
    <x v="17"/>
  </r>
  <r>
    <x v="363"/>
    <n v="121"/>
    <n v="41"/>
    <n v="4"/>
    <s v="Clothing"/>
    <s v="Stole"/>
    <x v="1"/>
    <x v="12"/>
  </r>
  <r>
    <x v="241"/>
    <n v="88"/>
    <n v="20"/>
    <n v="2"/>
    <s v="Clothing"/>
    <s v="Saree"/>
    <x v="0"/>
    <x v="2"/>
  </r>
  <r>
    <x v="150"/>
    <n v="87"/>
    <n v="-83"/>
    <n v="5"/>
    <s v="Clothing"/>
    <s v="Kurti"/>
    <x v="0"/>
    <x v="14"/>
  </r>
  <r>
    <x v="364"/>
    <n v="87"/>
    <n v="4"/>
    <n v="2"/>
    <s v="Clothing"/>
    <s v="Shirt"/>
    <x v="0"/>
    <x v="3"/>
  </r>
  <r>
    <x v="365"/>
    <n v="122"/>
    <n v="15"/>
    <n v="3"/>
    <s v="Electronics"/>
    <s v="Accessories"/>
    <x v="1"/>
    <x v="12"/>
  </r>
  <r>
    <x v="366"/>
    <n v="87"/>
    <n v="10"/>
    <n v="3"/>
    <s v="Clothing"/>
    <s v="Stole"/>
    <x v="0"/>
    <x v="17"/>
  </r>
  <r>
    <x v="367"/>
    <n v="53"/>
    <n v="8"/>
    <n v="3"/>
    <s v="Furniture"/>
    <s v="Furnishings"/>
    <x v="3"/>
    <x v="2"/>
  </r>
  <r>
    <x v="102"/>
    <n v="87"/>
    <n v="-32"/>
    <n v="9"/>
    <s v="Clothing"/>
    <s v="Skirt"/>
    <x v="0"/>
    <x v="0"/>
  </r>
  <r>
    <x v="368"/>
    <n v="86"/>
    <n v="-55"/>
    <n v="6"/>
    <s v="Clothing"/>
    <s v="Saree"/>
    <x v="0"/>
    <x v="10"/>
  </r>
  <r>
    <x v="369"/>
    <n v="125"/>
    <n v="22"/>
    <n v="3"/>
    <s v="Clothing"/>
    <s v="Stole"/>
    <x v="1"/>
    <x v="8"/>
  </r>
  <r>
    <x v="148"/>
    <n v="128"/>
    <n v="-3"/>
    <n v="3"/>
    <s v="Clothing"/>
    <s v="Saree"/>
    <x v="4"/>
    <x v="13"/>
  </r>
  <r>
    <x v="192"/>
    <n v="143"/>
    <n v="-124"/>
    <n v="5"/>
    <s v="Clothing"/>
    <s v="Saree"/>
    <x v="3"/>
    <x v="5"/>
  </r>
  <r>
    <x v="53"/>
    <n v="86"/>
    <n v="22"/>
    <n v="2"/>
    <s v="Clothing"/>
    <s v="Saree"/>
    <x v="0"/>
    <x v="13"/>
  </r>
  <r>
    <x v="370"/>
    <n v="86"/>
    <n v="9"/>
    <n v="3"/>
    <s v="Clothing"/>
    <s v="Saree"/>
    <x v="0"/>
    <x v="5"/>
  </r>
  <r>
    <x v="257"/>
    <n v="85"/>
    <n v="-9"/>
    <n v="4"/>
    <s v="Clothing"/>
    <s v="Saree"/>
    <x v="0"/>
    <x v="10"/>
  </r>
  <r>
    <x v="236"/>
    <n v="129"/>
    <n v="-75"/>
    <n v="5"/>
    <s v="Clothing"/>
    <s v="Shirt"/>
    <x v="4"/>
    <x v="2"/>
  </r>
  <r>
    <x v="371"/>
    <n v="84"/>
    <n v="-42"/>
    <n v="2"/>
    <s v="Electronics"/>
    <s v="Accessories"/>
    <x v="0"/>
    <x v="13"/>
  </r>
  <r>
    <x v="91"/>
    <n v="83"/>
    <n v="-81"/>
    <n v="3"/>
    <s v="Furniture"/>
    <s v="Chairs"/>
    <x v="0"/>
    <x v="6"/>
  </r>
  <r>
    <x v="265"/>
    <n v="143"/>
    <n v="6"/>
    <n v="2"/>
    <s v="Electronics"/>
    <s v="Accessories"/>
    <x v="3"/>
    <x v="12"/>
  </r>
  <r>
    <x v="372"/>
    <n v="336"/>
    <n v="123"/>
    <n v="3"/>
    <s v="Electronics"/>
    <s v="Phones"/>
    <x v="3"/>
    <x v="18"/>
  </r>
  <r>
    <x v="44"/>
    <n v="323"/>
    <n v="122"/>
    <n v="5"/>
    <s v="Electronics"/>
    <s v="Phones"/>
    <x v="3"/>
    <x v="2"/>
  </r>
  <r>
    <x v="228"/>
    <n v="130"/>
    <n v="61"/>
    <n v="3"/>
    <s v="Clothing"/>
    <s v="Shirt"/>
    <x v="4"/>
    <x v="12"/>
  </r>
  <r>
    <x v="260"/>
    <n v="152"/>
    <n v="-3"/>
    <n v="5"/>
    <s v="Clothing"/>
    <s v="Saree"/>
    <x v="0"/>
    <x v="8"/>
  </r>
  <r>
    <x v="365"/>
    <n v="25"/>
    <n v="10"/>
    <n v="1"/>
    <s v="Furniture"/>
    <s v="Furnishings"/>
    <x v="3"/>
    <x v="12"/>
  </r>
  <r>
    <x v="109"/>
    <n v="140"/>
    <n v="15"/>
    <n v="5"/>
    <s v="Clothing"/>
    <s v="Stole"/>
    <x v="3"/>
    <x v="2"/>
  </r>
  <r>
    <x v="209"/>
    <n v="45"/>
    <n v="0"/>
    <n v="2"/>
    <s v="Clothing"/>
    <s v="Stole"/>
    <x v="3"/>
    <x v="2"/>
  </r>
  <r>
    <x v="125"/>
    <n v="132"/>
    <n v="49"/>
    <n v="3"/>
    <s v="Clothing"/>
    <s v="Shirt"/>
    <x v="0"/>
    <x v="0"/>
  </r>
  <r>
    <x v="197"/>
    <n v="133"/>
    <n v="12"/>
    <n v="5"/>
    <s v="Clothing"/>
    <s v="Stole"/>
    <x v="4"/>
    <x v="13"/>
  </r>
  <r>
    <x v="155"/>
    <n v="82"/>
    <n v="13"/>
    <n v="2"/>
    <s v="Clothing"/>
    <s v="Shirt"/>
    <x v="0"/>
    <x v="2"/>
  </r>
  <r>
    <x v="211"/>
    <n v="140"/>
    <n v="56"/>
    <n v="4"/>
    <s v="Clothing"/>
    <s v="Shirt"/>
    <x v="3"/>
    <x v="17"/>
  </r>
  <r>
    <x v="298"/>
    <n v="81"/>
    <n v="19"/>
    <n v="7"/>
    <s v="Clothing"/>
    <s v="Hankerchief"/>
    <x v="0"/>
    <x v="0"/>
  </r>
  <r>
    <x v="45"/>
    <n v="137"/>
    <n v="38"/>
    <n v="5"/>
    <s v="Clothing"/>
    <s v="Hankerchief"/>
    <x v="4"/>
    <x v="7"/>
  </r>
  <r>
    <x v="373"/>
    <n v="137"/>
    <n v="-41"/>
    <n v="3"/>
    <s v="Electronics"/>
    <s v="Phones"/>
    <x v="4"/>
    <x v="9"/>
  </r>
  <r>
    <x v="351"/>
    <n v="140"/>
    <n v="57"/>
    <n v="2"/>
    <s v="Clothing"/>
    <s v="Trousers"/>
    <x v="4"/>
    <x v="2"/>
  </r>
  <r>
    <x v="374"/>
    <n v="139"/>
    <n v="30"/>
    <n v="3"/>
    <s v="Clothing"/>
    <s v="Shirt"/>
    <x v="3"/>
    <x v="6"/>
  </r>
  <r>
    <x v="241"/>
    <n v="138"/>
    <n v="11"/>
    <n v="5"/>
    <s v="Clothing"/>
    <s v="Stole"/>
    <x v="3"/>
    <x v="2"/>
  </r>
  <r>
    <x v="375"/>
    <n v="79"/>
    <n v="-124"/>
    <n v="9"/>
    <s v="Clothing"/>
    <s v="Skirt"/>
    <x v="0"/>
    <x v="8"/>
  </r>
  <r>
    <x v="376"/>
    <n v="136"/>
    <n v="41"/>
    <n v="3"/>
    <s v="Electronics"/>
    <s v="Accessories"/>
    <x v="3"/>
    <x v="18"/>
  </r>
  <r>
    <x v="265"/>
    <n v="145"/>
    <n v="16"/>
    <n v="3"/>
    <s v="Clothing"/>
    <s v="T-shirt"/>
    <x v="4"/>
    <x v="12"/>
  </r>
  <r>
    <x v="142"/>
    <n v="44"/>
    <n v="20"/>
    <n v="2"/>
    <s v="Clothing"/>
    <s v="T-shirt"/>
    <x v="3"/>
    <x v="17"/>
  </r>
  <r>
    <x v="274"/>
    <n v="79"/>
    <n v="6"/>
    <n v="7"/>
    <s v="Clothing"/>
    <s v="Saree"/>
    <x v="0"/>
    <x v="2"/>
  </r>
  <r>
    <x v="126"/>
    <n v="79"/>
    <n v="36"/>
    <n v="4"/>
    <s v="Clothing"/>
    <s v="Shirt"/>
    <x v="0"/>
    <x v="6"/>
  </r>
  <r>
    <x v="180"/>
    <n v="134"/>
    <n v="-13"/>
    <n v="3"/>
    <s v="Electronics"/>
    <s v="Electronic Games"/>
    <x v="3"/>
    <x v="3"/>
  </r>
  <r>
    <x v="21"/>
    <n v="133"/>
    <n v="5"/>
    <n v="5"/>
    <s v="Clothing"/>
    <s v="Stole"/>
    <x v="3"/>
    <x v="0"/>
  </r>
  <r>
    <x v="179"/>
    <n v="47"/>
    <n v="20"/>
    <n v="7"/>
    <s v="Clothing"/>
    <s v="Hankerchief"/>
    <x v="3"/>
    <x v="12"/>
  </r>
  <r>
    <x v="226"/>
    <n v="133"/>
    <n v="-42"/>
    <n v="1"/>
    <s v="Electronics"/>
    <s v="Printers"/>
    <x v="3"/>
    <x v="0"/>
  </r>
  <r>
    <x v="377"/>
    <n v="78"/>
    <n v="27"/>
    <n v="3"/>
    <s v="Clothing"/>
    <s v="Stole"/>
    <x v="0"/>
    <x v="8"/>
  </r>
  <r>
    <x v="378"/>
    <n v="78"/>
    <n v="7"/>
    <n v="1"/>
    <s v="Furniture"/>
    <s v="Chairs"/>
    <x v="0"/>
    <x v="4"/>
  </r>
  <r>
    <x v="379"/>
    <n v="76"/>
    <n v="-92"/>
    <n v="8"/>
    <s v="Furniture"/>
    <s v="Furnishings"/>
    <x v="0"/>
    <x v="2"/>
  </r>
  <r>
    <x v="380"/>
    <n v="76"/>
    <n v="-50"/>
    <n v="1"/>
    <s v="Clothing"/>
    <s v="Saree"/>
    <x v="0"/>
    <x v="2"/>
  </r>
  <r>
    <x v="202"/>
    <n v="76"/>
    <n v="19"/>
    <n v="3"/>
    <s v="Clothing"/>
    <s v="Hankerchief"/>
    <x v="0"/>
    <x v="2"/>
  </r>
  <r>
    <x v="123"/>
    <n v="74"/>
    <n v="29"/>
    <n v="3"/>
    <s v="Clothing"/>
    <s v="Stole"/>
    <x v="0"/>
    <x v="16"/>
  </r>
  <r>
    <x v="381"/>
    <n v="74"/>
    <n v="-25"/>
    <n v="3"/>
    <s v="Clothing"/>
    <s v="Stole"/>
    <x v="0"/>
    <x v="2"/>
  </r>
  <r>
    <x v="113"/>
    <n v="146"/>
    <n v="-63"/>
    <n v="3"/>
    <s v="Electronics"/>
    <s v="Electronic Games"/>
    <x v="4"/>
    <x v="12"/>
  </r>
  <r>
    <x v="110"/>
    <n v="73"/>
    <n v="-31"/>
    <n v="1"/>
    <s v="Furniture"/>
    <s v="Bookcases"/>
    <x v="0"/>
    <x v="0"/>
  </r>
  <r>
    <x v="58"/>
    <n v="80"/>
    <n v="22"/>
    <n v="3"/>
    <s v="Clothing"/>
    <s v="Stole"/>
    <x v="3"/>
    <x v="17"/>
  </r>
  <r>
    <x v="262"/>
    <n v="133"/>
    <n v="46"/>
    <n v="5"/>
    <s v="Clothing"/>
    <s v="Shirt"/>
    <x v="1"/>
    <x v="0"/>
  </r>
  <r>
    <x v="382"/>
    <n v="146"/>
    <n v="7"/>
    <n v="2"/>
    <s v="Electronics"/>
    <s v="Phones"/>
    <x v="4"/>
    <x v="9"/>
  </r>
  <r>
    <x v="186"/>
    <n v="130"/>
    <n v="-41"/>
    <n v="4"/>
    <s v="Clothing"/>
    <s v="Saree"/>
    <x v="1"/>
    <x v="13"/>
  </r>
  <r>
    <x v="383"/>
    <n v="141"/>
    <n v="41"/>
    <n v="3"/>
    <s v="Clothing"/>
    <s v="Shirt"/>
    <x v="3"/>
    <x v="6"/>
  </r>
  <r>
    <x v="182"/>
    <n v="147"/>
    <n v="21"/>
    <n v="3"/>
    <s v="Furniture"/>
    <s v="Furnishings"/>
    <x v="4"/>
    <x v="11"/>
  </r>
  <r>
    <x v="69"/>
    <n v="73"/>
    <n v="-7"/>
    <n v="1"/>
    <s v="Electronics"/>
    <s v="Phones"/>
    <x v="0"/>
    <x v="4"/>
  </r>
  <r>
    <x v="384"/>
    <n v="148"/>
    <n v="72"/>
    <n v="7"/>
    <s v="Clothing"/>
    <s v="T-shirt"/>
    <x v="4"/>
    <x v="17"/>
  </r>
  <r>
    <x v="385"/>
    <n v="58"/>
    <n v="0"/>
    <n v="4"/>
    <s v="Clothing"/>
    <s v="Saree"/>
    <x v="3"/>
    <x v="14"/>
  </r>
  <r>
    <x v="276"/>
    <n v="21"/>
    <n v="-13"/>
    <n v="3"/>
    <s v="Clothing"/>
    <s v="Leggings"/>
    <x v="3"/>
    <x v="16"/>
  </r>
  <r>
    <x v="3"/>
    <n v="148"/>
    <n v="25"/>
    <n v="3"/>
    <s v="Clothing"/>
    <s v="Saree"/>
    <x v="4"/>
    <x v="2"/>
  </r>
  <r>
    <x v="386"/>
    <n v="144"/>
    <n v="-7"/>
    <n v="4"/>
    <s v="Electronics"/>
    <s v="Electronic Games"/>
    <x v="0"/>
    <x v="5"/>
  </r>
  <r>
    <x v="258"/>
    <n v="145"/>
    <n v="-104"/>
    <n v="5"/>
    <s v="Furniture"/>
    <s v="Chairs"/>
    <x v="3"/>
    <x v="4"/>
  </r>
  <r>
    <x v="82"/>
    <n v="72"/>
    <n v="-49"/>
    <n v="1"/>
    <s v="Electronics"/>
    <s v="Phones"/>
    <x v="0"/>
    <x v="0"/>
  </r>
  <r>
    <x v="20"/>
    <n v="125"/>
    <n v="15"/>
    <n v="5"/>
    <s v="Clothing"/>
    <s v="Shirt"/>
    <x v="1"/>
    <x v="8"/>
  </r>
  <r>
    <x v="45"/>
    <n v="149"/>
    <n v="15"/>
    <n v="3"/>
    <s v="Clothing"/>
    <s v="Saree"/>
    <x v="4"/>
    <x v="7"/>
  </r>
  <r>
    <x v="86"/>
    <n v="72"/>
    <n v="16"/>
    <n v="2"/>
    <s v="Clothing"/>
    <s v="Shirt"/>
    <x v="0"/>
    <x v="0"/>
  </r>
  <r>
    <x v="25"/>
    <n v="71"/>
    <n v="0"/>
    <n v="8"/>
    <s v="Clothing"/>
    <s v="Skirt"/>
    <x v="0"/>
    <x v="11"/>
  </r>
  <r>
    <x v="387"/>
    <n v="71"/>
    <n v="-14"/>
    <n v="4"/>
    <s v="Furniture"/>
    <s v="Furnishings"/>
    <x v="0"/>
    <x v="0"/>
  </r>
  <r>
    <x v="66"/>
    <n v="154"/>
    <n v="-85"/>
    <n v="3"/>
    <s v="Furniture"/>
    <s v="Chairs"/>
    <x v="1"/>
    <x v="10"/>
  </r>
  <r>
    <x v="120"/>
    <n v="191"/>
    <n v="13"/>
    <n v="8"/>
    <s v="Furniture"/>
    <s v="Furnishings"/>
    <x v="0"/>
    <x v="0"/>
  </r>
  <r>
    <x v="371"/>
    <n v="170"/>
    <n v="19"/>
    <n v="5"/>
    <s v="Clothing"/>
    <s v="T-shirt"/>
    <x v="3"/>
    <x v="13"/>
  </r>
  <r>
    <x v="40"/>
    <n v="47"/>
    <n v="-3"/>
    <n v="2"/>
    <s v="Clothing"/>
    <s v="Stole"/>
    <x v="3"/>
    <x v="10"/>
  </r>
  <r>
    <x v="50"/>
    <n v="122"/>
    <n v="-47"/>
    <n v="4"/>
    <s v="Clothing"/>
    <s v="Saree"/>
    <x v="1"/>
    <x v="6"/>
  </r>
  <r>
    <x v="298"/>
    <n v="70"/>
    <n v="26"/>
    <n v="5"/>
    <s v="Clothing"/>
    <s v="Hankerchief"/>
    <x v="0"/>
    <x v="0"/>
  </r>
  <r>
    <x v="231"/>
    <n v="155"/>
    <n v="5"/>
    <n v="3"/>
    <s v="Clothing"/>
    <s v="Stole"/>
    <x v="1"/>
    <x v="18"/>
  </r>
  <r>
    <x v="388"/>
    <n v="67"/>
    <n v="-86"/>
    <n v="9"/>
    <s v="Furniture"/>
    <s v="Furnishings"/>
    <x v="0"/>
    <x v="1"/>
  </r>
  <r>
    <x v="69"/>
    <n v="67"/>
    <n v="-42"/>
    <n v="3"/>
    <s v="Clothing"/>
    <s v="Stole"/>
    <x v="0"/>
    <x v="4"/>
  </r>
  <r>
    <x v="37"/>
    <n v="148"/>
    <n v="-101"/>
    <n v="2"/>
    <s v="Furniture"/>
    <s v="Bookcases"/>
    <x v="3"/>
    <x v="0"/>
  </r>
  <r>
    <x v="196"/>
    <n v="122"/>
    <n v="38"/>
    <n v="6"/>
    <s v="Clothing"/>
    <s v="T-shirt"/>
    <x v="2"/>
    <x v="2"/>
  </r>
  <r>
    <x v="389"/>
    <n v="16"/>
    <n v="-5"/>
    <n v="2"/>
    <s v="Clothing"/>
    <s v="Stole"/>
    <x v="3"/>
    <x v="3"/>
  </r>
  <r>
    <x v="173"/>
    <n v="121"/>
    <n v="-17"/>
    <n v="3"/>
    <s v="Furniture"/>
    <s v="Furnishings"/>
    <x v="2"/>
    <x v="2"/>
  </r>
  <r>
    <x v="110"/>
    <n v="42"/>
    <n v="-15"/>
    <n v="12"/>
    <s v="Clothing"/>
    <s v="Skirt"/>
    <x v="3"/>
    <x v="0"/>
  </r>
  <r>
    <x v="230"/>
    <n v="65"/>
    <n v="-4"/>
    <n v="6"/>
    <s v="Clothing"/>
    <s v="Hankerchief"/>
    <x v="0"/>
    <x v="2"/>
  </r>
  <r>
    <x v="354"/>
    <n v="119"/>
    <n v="-43"/>
    <n v="7"/>
    <s v="Clothing"/>
    <s v="Kurti"/>
    <x v="2"/>
    <x v="7"/>
  </r>
  <r>
    <x v="368"/>
    <n v="155"/>
    <n v="56"/>
    <n v="3"/>
    <s v="Furniture"/>
    <s v="Furnishings"/>
    <x v="1"/>
    <x v="10"/>
  </r>
  <r>
    <x v="4"/>
    <n v="119"/>
    <n v="-5"/>
    <n v="8"/>
    <s v="Clothing"/>
    <s v="Saree"/>
    <x v="2"/>
    <x v="2"/>
  </r>
  <r>
    <x v="390"/>
    <n v="118"/>
    <n v="25"/>
    <n v="4"/>
    <s v="Clothing"/>
    <s v="Hankerchief"/>
    <x v="2"/>
    <x v="7"/>
  </r>
  <r>
    <x v="101"/>
    <n v="116"/>
    <n v="22"/>
    <n v="1"/>
    <s v="Electronics"/>
    <s v="Accessories"/>
    <x v="2"/>
    <x v="9"/>
  </r>
  <r>
    <x v="21"/>
    <n v="158"/>
    <n v="-29"/>
    <n v="10"/>
    <s v="Clothing"/>
    <s v="Hankerchief"/>
    <x v="1"/>
    <x v="0"/>
  </r>
  <r>
    <x v="291"/>
    <n v="158"/>
    <n v="69"/>
    <n v="3"/>
    <s v="Clothing"/>
    <s v="Stole"/>
    <x v="1"/>
    <x v="9"/>
  </r>
  <r>
    <x v="256"/>
    <n v="65"/>
    <n v="-52"/>
    <n v="3"/>
    <s v="Electronics"/>
    <s v="Accessories"/>
    <x v="0"/>
    <x v="1"/>
  </r>
  <r>
    <x v="391"/>
    <n v="160"/>
    <n v="-59"/>
    <n v="2"/>
    <s v="Clothing"/>
    <s v="Saree"/>
    <x v="1"/>
    <x v="10"/>
  </r>
  <r>
    <x v="46"/>
    <n v="162"/>
    <n v="20"/>
    <n v="3"/>
    <s v="Furniture"/>
    <s v="Chairs"/>
    <x v="1"/>
    <x v="5"/>
  </r>
  <r>
    <x v="152"/>
    <n v="63"/>
    <n v="1"/>
    <n v="4"/>
    <s v="Clothing"/>
    <s v="T-shirt"/>
    <x v="0"/>
    <x v="6"/>
  </r>
  <r>
    <x v="392"/>
    <n v="64"/>
    <n v="27"/>
    <n v="5"/>
    <s v="Clothing"/>
    <s v="Hankerchief"/>
    <x v="3"/>
    <x v="0"/>
  </r>
  <r>
    <x v="393"/>
    <n v="166"/>
    <n v="-113"/>
    <n v="4"/>
    <s v="Electronics"/>
    <s v="Accessories"/>
    <x v="1"/>
    <x v="10"/>
  </r>
  <r>
    <x v="394"/>
    <n v="167"/>
    <n v="43"/>
    <n v="7"/>
    <s v="Clothing"/>
    <s v="T-shirt"/>
    <x v="1"/>
    <x v="6"/>
  </r>
  <r>
    <x v="395"/>
    <n v="123"/>
    <n v="17"/>
    <n v="3"/>
    <s v="Furniture"/>
    <s v="Furnishings"/>
    <x v="0"/>
    <x v="11"/>
  </r>
  <r>
    <x v="95"/>
    <n v="63"/>
    <n v="14"/>
    <n v="2"/>
    <s v="Clothing"/>
    <s v="Shirt"/>
    <x v="0"/>
    <x v="0"/>
  </r>
  <r>
    <x v="296"/>
    <n v="891"/>
    <n v="0"/>
    <n v="5"/>
    <s v="Clothing"/>
    <s v="Saree"/>
    <x v="0"/>
    <x v="7"/>
  </r>
  <r>
    <x v="166"/>
    <n v="75"/>
    <n v="28"/>
    <n v="9"/>
    <s v="Clothing"/>
    <s v="Hankerchief"/>
    <x v="3"/>
    <x v="0"/>
  </r>
  <r>
    <x v="239"/>
    <n v="62"/>
    <n v="6"/>
    <n v="5"/>
    <s v="Clothing"/>
    <s v="Hankerchief"/>
    <x v="0"/>
    <x v="1"/>
  </r>
  <r>
    <x v="308"/>
    <n v="29"/>
    <n v="-18"/>
    <n v="7"/>
    <s v="Clothing"/>
    <s v="Skirt"/>
    <x v="3"/>
    <x v="15"/>
  </r>
  <r>
    <x v="396"/>
    <n v="168"/>
    <n v="18"/>
    <n v="6"/>
    <s v="Clothing"/>
    <s v="Stole"/>
    <x v="4"/>
    <x v="11"/>
  </r>
  <r>
    <x v="179"/>
    <n v="70"/>
    <n v="24"/>
    <n v="3"/>
    <s v="Clothing"/>
    <s v="Stole"/>
    <x v="3"/>
    <x v="12"/>
  </r>
  <r>
    <x v="198"/>
    <n v="169"/>
    <n v="55"/>
    <n v="4"/>
    <s v="Clothing"/>
    <s v="Saree"/>
    <x v="4"/>
    <x v="6"/>
  </r>
  <r>
    <x v="120"/>
    <n v="32"/>
    <n v="-8"/>
    <n v="2"/>
    <s v="Clothing"/>
    <s v="Stole"/>
    <x v="0"/>
    <x v="0"/>
  </r>
  <r>
    <x v="89"/>
    <n v="44"/>
    <n v="-8"/>
    <n v="3"/>
    <s v="Clothing"/>
    <s v="Stole"/>
    <x v="3"/>
    <x v="0"/>
  </r>
  <r>
    <x v="77"/>
    <n v="116"/>
    <n v="-56"/>
    <n v="5"/>
    <s v="Clothing"/>
    <s v="Stole"/>
    <x v="2"/>
    <x v="16"/>
  </r>
  <r>
    <x v="397"/>
    <n v="156"/>
    <n v="21"/>
    <n v="3"/>
    <s v="Furniture"/>
    <s v="Chairs"/>
    <x v="0"/>
    <x v="0"/>
  </r>
  <r>
    <x v="141"/>
    <n v="62"/>
    <n v="6"/>
    <n v="6"/>
    <s v="Clothing"/>
    <s v="Skirt"/>
    <x v="0"/>
    <x v="8"/>
  </r>
  <r>
    <x v="25"/>
    <n v="54"/>
    <n v="1"/>
    <n v="2"/>
    <s v="Clothing"/>
    <s v="Saree"/>
    <x v="3"/>
    <x v="11"/>
  </r>
  <r>
    <x v="147"/>
    <n v="111"/>
    <n v="11"/>
    <n v="9"/>
    <s v="Clothing"/>
    <s v="Hankerchief"/>
    <x v="2"/>
    <x v="17"/>
  </r>
  <r>
    <x v="398"/>
    <n v="158"/>
    <n v="-63"/>
    <n v="4"/>
    <s v="Furniture"/>
    <s v="Chairs"/>
    <x v="3"/>
    <x v="17"/>
  </r>
  <r>
    <x v="183"/>
    <n v="7"/>
    <n v="-3"/>
    <n v="2"/>
    <s v="Clothing"/>
    <s v="Skirt"/>
    <x v="3"/>
    <x v="3"/>
  </r>
  <r>
    <x v="346"/>
    <n v="61"/>
    <n v="28"/>
    <n v="2"/>
    <s v="Clothing"/>
    <s v="Hankerchief"/>
    <x v="3"/>
    <x v="7"/>
  </r>
  <r>
    <x v="176"/>
    <n v="61"/>
    <n v="-50"/>
    <n v="4"/>
    <s v="Clothing"/>
    <s v="Hankerchief"/>
    <x v="0"/>
    <x v="9"/>
  </r>
  <r>
    <x v="274"/>
    <n v="154"/>
    <n v="26"/>
    <n v="4"/>
    <s v="Electronics"/>
    <s v="Accessories"/>
    <x v="0"/>
    <x v="2"/>
  </r>
  <r>
    <x v="9"/>
    <n v="62"/>
    <n v="1"/>
    <n v="3"/>
    <s v="Clothing"/>
    <s v="Saree"/>
    <x v="0"/>
    <x v="5"/>
  </r>
  <r>
    <x v="399"/>
    <n v="169"/>
    <n v="38"/>
    <n v="3"/>
    <s v="Clothing"/>
    <s v="Saree"/>
    <x v="4"/>
    <x v="2"/>
  </r>
  <r>
    <x v="376"/>
    <n v="61"/>
    <n v="18"/>
    <n v="2"/>
    <s v="Electronics"/>
    <s v="Accessories"/>
    <x v="0"/>
    <x v="18"/>
  </r>
  <r>
    <x v="93"/>
    <n v="61"/>
    <n v="-23"/>
    <n v="2"/>
    <s v="Clothing"/>
    <s v="Saree"/>
    <x v="0"/>
    <x v="2"/>
  </r>
  <r>
    <x v="400"/>
    <n v="171"/>
    <n v="14"/>
    <n v="9"/>
    <s v="Clothing"/>
    <s v="Shirt"/>
    <x v="4"/>
    <x v="17"/>
  </r>
  <r>
    <x v="244"/>
    <n v="60"/>
    <n v="-49"/>
    <n v="8"/>
    <s v="Clothing"/>
    <s v="Hankerchief"/>
    <x v="0"/>
    <x v="7"/>
  </r>
  <r>
    <x v="356"/>
    <n v="25"/>
    <n v="-11"/>
    <n v="1"/>
    <s v="Clothing"/>
    <s v="Stole"/>
    <x v="3"/>
    <x v="0"/>
  </r>
  <r>
    <x v="156"/>
    <n v="163"/>
    <n v="26"/>
    <n v="4"/>
    <s v="Clothing"/>
    <s v="Shirt"/>
    <x v="0"/>
    <x v="18"/>
  </r>
  <r>
    <x v="132"/>
    <n v="173"/>
    <n v="86"/>
    <n v="1"/>
    <s v="Electronics"/>
    <s v="Printers"/>
    <x v="4"/>
    <x v="8"/>
  </r>
  <r>
    <x v="40"/>
    <n v="257"/>
    <n v="-3"/>
    <n v="2"/>
    <s v="Furniture"/>
    <s v="Bookcases"/>
    <x v="3"/>
    <x v="10"/>
  </r>
  <r>
    <x v="401"/>
    <n v="108"/>
    <n v="37"/>
    <n v="2"/>
    <s v="Clothing"/>
    <s v="Stole"/>
    <x v="2"/>
    <x v="6"/>
  </r>
  <r>
    <x v="402"/>
    <n v="177"/>
    <n v="41"/>
    <n v="4"/>
    <s v="Clothing"/>
    <s v="Shirt"/>
    <x v="4"/>
    <x v="5"/>
  </r>
  <r>
    <x v="74"/>
    <n v="106"/>
    <n v="15"/>
    <n v="7"/>
    <s v="Clothing"/>
    <s v="Hankerchief"/>
    <x v="2"/>
    <x v="0"/>
  </r>
  <r>
    <x v="29"/>
    <n v="41"/>
    <n v="-14"/>
    <n v="5"/>
    <s v="Clothing"/>
    <s v="Leggings"/>
    <x v="3"/>
    <x v="12"/>
  </r>
  <r>
    <x v="87"/>
    <n v="168"/>
    <n v="-10"/>
    <n v="3"/>
    <s v="Electronics"/>
    <s v="Accessories"/>
    <x v="3"/>
    <x v="5"/>
  </r>
  <r>
    <x v="108"/>
    <n v="60"/>
    <n v="21"/>
    <n v="4"/>
    <s v="Clothing"/>
    <s v="Stole"/>
    <x v="0"/>
    <x v="17"/>
  </r>
  <r>
    <x v="403"/>
    <n v="31"/>
    <n v="-11"/>
    <n v="4"/>
    <s v="Clothing"/>
    <s v="Stole"/>
    <x v="0"/>
    <x v="16"/>
  </r>
  <r>
    <x v="196"/>
    <n v="179"/>
    <n v="0"/>
    <n v="2"/>
    <s v="Clothing"/>
    <s v="Saree"/>
    <x v="4"/>
    <x v="2"/>
  </r>
  <r>
    <x v="140"/>
    <n v="106"/>
    <n v="12"/>
    <n v="3"/>
    <s v="Clothing"/>
    <s v="Trousers"/>
    <x v="2"/>
    <x v="0"/>
  </r>
  <r>
    <x v="262"/>
    <n v="60"/>
    <n v="13"/>
    <n v="2"/>
    <s v="Clothing"/>
    <s v="T-shirt"/>
    <x v="0"/>
    <x v="0"/>
  </r>
  <r>
    <x v="117"/>
    <n v="180"/>
    <n v="5"/>
    <n v="3"/>
    <s v="Clothing"/>
    <s v="Trousers"/>
    <x v="4"/>
    <x v="0"/>
  </r>
  <r>
    <x v="103"/>
    <n v="60"/>
    <n v="-10"/>
    <n v="2"/>
    <s v="Furniture"/>
    <s v="Furnishings"/>
    <x v="0"/>
    <x v="0"/>
  </r>
  <r>
    <x v="357"/>
    <n v="59"/>
    <n v="25"/>
    <n v="3"/>
    <s v="Clothing"/>
    <s v="Stole"/>
    <x v="0"/>
    <x v="11"/>
  </r>
  <r>
    <x v="54"/>
    <n v="170"/>
    <n v="73"/>
    <n v="2"/>
    <s v="Electronics"/>
    <s v="Accessories"/>
    <x v="3"/>
    <x v="16"/>
  </r>
  <r>
    <x v="362"/>
    <n v="59"/>
    <n v="10"/>
    <n v="2"/>
    <s v="Clothing"/>
    <s v="Hankerchief"/>
    <x v="0"/>
    <x v="2"/>
  </r>
  <r>
    <x v="276"/>
    <n v="24"/>
    <n v="-21"/>
    <n v="7"/>
    <s v="Clothing"/>
    <s v="Skirt"/>
    <x v="0"/>
    <x v="16"/>
  </r>
  <r>
    <x v="33"/>
    <n v="105"/>
    <n v="-26"/>
    <n v="8"/>
    <s v="Clothing"/>
    <s v="Leggings"/>
    <x v="2"/>
    <x v="7"/>
  </r>
  <r>
    <x v="211"/>
    <n v="103"/>
    <n v="46"/>
    <n v="2"/>
    <s v="Clothing"/>
    <s v="Saree"/>
    <x v="2"/>
    <x v="17"/>
  </r>
  <r>
    <x v="404"/>
    <n v="171"/>
    <n v="17"/>
    <n v="6"/>
    <s v="Clothing"/>
    <s v="T-shirt"/>
    <x v="3"/>
    <x v="7"/>
  </r>
  <r>
    <x v="147"/>
    <n v="102"/>
    <n v="13"/>
    <n v="2"/>
    <s v="Clothing"/>
    <s v="Stole"/>
    <x v="2"/>
    <x v="17"/>
  </r>
  <r>
    <x v="139"/>
    <n v="98"/>
    <n v="12"/>
    <n v="2"/>
    <s v="Clothing"/>
    <s v="Hankerchief"/>
    <x v="2"/>
    <x v="0"/>
  </r>
  <r>
    <x v="291"/>
    <n v="59"/>
    <n v="10"/>
    <n v="4"/>
    <s v="Clothing"/>
    <s v="Leggings"/>
    <x v="0"/>
    <x v="9"/>
  </r>
  <r>
    <x v="296"/>
    <n v="189"/>
    <n v="60"/>
    <n v="4"/>
    <s v="Furniture"/>
    <s v="Furnishings"/>
    <x v="4"/>
    <x v="7"/>
  </r>
  <r>
    <x v="405"/>
    <n v="58"/>
    <n v="-52"/>
    <n v="3"/>
    <s v="Furniture"/>
    <s v="Chairs"/>
    <x v="0"/>
    <x v="7"/>
  </r>
  <r>
    <x v="95"/>
    <n v="60"/>
    <n v="3"/>
    <n v="3"/>
    <s v="Clothing"/>
    <s v="Saree"/>
    <x v="3"/>
    <x v="0"/>
  </r>
  <r>
    <x v="406"/>
    <n v="58"/>
    <n v="-8"/>
    <n v="2"/>
    <s v="Clothing"/>
    <s v="Saree"/>
    <x v="0"/>
    <x v="2"/>
  </r>
  <r>
    <x v="166"/>
    <n v="94"/>
    <n v="20"/>
    <n v="2"/>
    <s v="Furniture"/>
    <s v="Furnishings"/>
    <x v="3"/>
    <x v="0"/>
  </r>
  <r>
    <x v="117"/>
    <n v="193"/>
    <n v="-166"/>
    <n v="3"/>
    <s v="Clothing"/>
    <s v="Saree"/>
    <x v="1"/>
    <x v="0"/>
  </r>
  <r>
    <x v="203"/>
    <n v="199"/>
    <n v="0"/>
    <n v="4"/>
    <s v="Clothing"/>
    <s v="Stole"/>
    <x v="1"/>
    <x v="2"/>
  </r>
  <r>
    <x v="133"/>
    <n v="202"/>
    <n v="89"/>
    <n v="9"/>
    <s v="Clothing"/>
    <s v="T-shirt"/>
    <x v="1"/>
    <x v="13"/>
  </r>
  <r>
    <x v="133"/>
    <n v="58"/>
    <n v="17"/>
    <n v="2"/>
    <s v="Clothing"/>
    <s v="Hankerchief"/>
    <x v="0"/>
    <x v="13"/>
  </r>
  <r>
    <x v="407"/>
    <n v="57"/>
    <n v="-28"/>
    <n v="2"/>
    <s v="Clothing"/>
    <s v="Kurti"/>
    <x v="0"/>
    <x v="0"/>
  </r>
  <r>
    <x v="103"/>
    <n v="204"/>
    <n v="-94"/>
    <n v="4"/>
    <s v="Clothing"/>
    <s v="Hankerchief"/>
    <x v="1"/>
    <x v="0"/>
  </r>
  <r>
    <x v="408"/>
    <n v="98"/>
    <n v="-12"/>
    <n v="2"/>
    <s v="Electronics"/>
    <s v="Electronic Games"/>
    <x v="2"/>
    <x v="11"/>
  </r>
  <r>
    <x v="110"/>
    <n v="22"/>
    <n v="-12"/>
    <n v="3"/>
    <s v="Clothing"/>
    <s v="Stole"/>
    <x v="0"/>
    <x v="0"/>
  </r>
  <r>
    <x v="83"/>
    <n v="97"/>
    <n v="17"/>
    <n v="2"/>
    <s v="Clothing"/>
    <s v="Stole"/>
    <x v="2"/>
    <x v="9"/>
  </r>
  <r>
    <x v="300"/>
    <n v="57"/>
    <n v="24"/>
    <n v="5"/>
    <s v="Clothing"/>
    <s v="Leggings"/>
    <x v="0"/>
    <x v="14"/>
  </r>
  <r>
    <x v="409"/>
    <n v="97"/>
    <n v="14"/>
    <n v="2"/>
    <s v="Clothing"/>
    <s v="T-shirt"/>
    <x v="2"/>
    <x v="7"/>
  </r>
  <r>
    <x v="171"/>
    <n v="97"/>
    <n v="17"/>
    <n v="2"/>
    <s v="Clothing"/>
    <s v="Stole"/>
    <x v="2"/>
    <x v="2"/>
  </r>
  <r>
    <x v="91"/>
    <n v="96"/>
    <n v="22"/>
    <n v="5"/>
    <s v="Clothing"/>
    <s v="Stole"/>
    <x v="2"/>
    <x v="6"/>
  </r>
  <r>
    <x v="114"/>
    <n v="94"/>
    <n v="27"/>
    <n v="2"/>
    <s v="Clothing"/>
    <s v="Shirt"/>
    <x v="2"/>
    <x v="0"/>
  </r>
  <r>
    <x v="260"/>
    <n v="26"/>
    <n v="-17"/>
    <n v="1"/>
    <s v="Clothing"/>
    <s v="Stole"/>
    <x v="0"/>
    <x v="8"/>
  </r>
  <r>
    <x v="410"/>
    <n v="93"/>
    <n v="44"/>
    <n v="2"/>
    <s v="Clothing"/>
    <s v="Stole"/>
    <x v="2"/>
    <x v="7"/>
  </r>
  <r>
    <x v="29"/>
    <n v="93"/>
    <n v="-65"/>
    <n v="4"/>
    <s v="Clothing"/>
    <s v="Stole"/>
    <x v="2"/>
    <x v="12"/>
  </r>
  <r>
    <x v="222"/>
    <n v="92"/>
    <n v="5"/>
    <n v="6"/>
    <s v="Clothing"/>
    <s v="Hankerchief"/>
    <x v="2"/>
    <x v="2"/>
  </r>
  <r>
    <x v="9"/>
    <n v="57"/>
    <n v="27"/>
    <n v="2"/>
    <s v="Clothing"/>
    <s v="T-shirt"/>
    <x v="0"/>
    <x v="5"/>
  </r>
  <r>
    <x v="138"/>
    <n v="57"/>
    <n v="7"/>
    <n v="3"/>
    <s v="Furniture"/>
    <s v="Furnishings"/>
    <x v="0"/>
    <x v="9"/>
  </r>
  <r>
    <x v="411"/>
    <n v="57"/>
    <n v="21"/>
    <n v="4"/>
    <s v="Clothing"/>
    <s v="Leggings"/>
    <x v="0"/>
    <x v="7"/>
  </r>
  <r>
    <x v="239"/>
    <n v="128"/>
    <n v="4"/>
    <n v="3"/>
    <s v="Clothing"/>
    <s v="Saree"/>
    <x v="0"/>
    <x v="1"/>
  </r>
  <r>
    <x v="37"/>
    <n v="89"/>
    <n v="-4"/>
    <n v="5"/>
    <s v="Clothing"/>
    <s v="Saree"/>
    <x v="2"/>
    <x v="0"/>
  </r>
  <r>
    <x v="132"/>
    <n v="221"/>
    <n v="26"/>
    <n v="7"/>
    <s v="Furniture"/>
    <s v="Furnishings"/>
    <x v="0"/>
    <x v="8"/>
  </r>
  <r>
    <x v="240"/>
    <n v="205"/>
    <n v="-119"/>
    <n v="3"/>
    <s v="Clothing"/>
    <s v="Saree"/>
    <x v="4"/>
    <x v="7"/>
  </r>
  <r>
    <x v="308"/>
    <n v="191"/>
    <n v="51"/>
    <n v="5"/>
    <s v="Clothing"/>
    <s v="Shirt"/>
    <x v="3"/>
    <x v="15"/>
  </r>
  <r>
    <x v="179"/>
    <n v="206"/>
    <n v="18"/>
    <n v="4"/>
    <s v="Clothing"/>
    <s v="Hankerchief"/>
    <x v="4"/>
    <x v="12"/>
  </r>
  <r>
    <x v="192"/>
    <n v="56"/>
    <n v="0"/>
    <n v="4"/>
    <s v="Clothing"/>
    <s v="Hankerchief"/>
    <x v="0"/>
    <x v="5"/>
  </r>
  <r>
    <x v="202"/>
    <n v="88"/>
    <n v="16"/>
    <n v="4"/>
    <s v="Clothing"/>
    <s v="Stole"/>
    <x v="2"/>
    <x v="2"/>
  </r>
  <r>
    <x v="294"/>
    <n v="224"/>
    <n v="58"/>
    <n v="3"/>
    <s v="Electronics"/>
    <s v="Phones"/>
    <x v="3"/>
    <x v="6"/>
  </r>
  <r>
    <x v="412"/>
    <n v="193"/>
    <n v="8"/>
    <n v="4"/>
    <s v="Clothing"/>
    <s v="T-shirt"/>
    <x v="3"/>
    <x v="13"/>
  </r>
  <r>
    <x v="101"/>
    <n v="87"/>
    <n v="36"/>
    <n v="5"/>
    <s v="Clothing"/>
    <s v="Stole"/>
    <x v="2"/>
    <x v="9"/>
  </r>
  <r>
    <x v="141"/>
    <n v="189"/>
    <n v="4"/>
    <n v="1"/>
    <s v="Clothing"/>
    <s v="Saree"/>
    <x v="3"/>
    <x v="8"/>
  </r>
  <r>
    <x v="195"/>
    <n v="55"/>
    <n v="-33"/>
    <n v="2"/>
    <s v="Furniture"/>
    <s v="Chairs"/>
    <x v="0"/>
    <x v="1"/>
  </r>
  <r>
    <x v="413"/>
    <n v="85"/>
    <n v="-1"/>
    <n v="3"/>
    <s v="Clothing"/>
    <s v="Saree"/>
    <x v="2"/>
    <x v="0"/>
  </r>
  <r>
    <x v="125"/>
    <n v="252"/>
    <n v="56"/>
    <n v="2"/>
    <s v="Electronics"/>
    <s v="Phones"/>
    <x v="3"/>
    <x v="0"/>
  </r>
  <r>
    <x v="139"/>
    <n v="197"/>
    <n v="73"/>
    <n v="1"/>
    <s v="Furniture"/>
    <s v="Bookcases"/>
    <x v="0"/>
    <x v="0"/>
  </r>
  <r>
    <x v="10"/>
    <n v="17"/>
    <n v="-3"/>
    <n v="2"/>
    <s v="Clothing"/>
    <s v="Stole"/>
    <x v="3"/>
    <x v="0"/>
  </r>
  <r>
    <x v="414"/>
    <n v="100"/>
    <n v="28"/>
    <n v="2"/>
    <s v="Clothing"/>
    <s v="Hankerchief"/>
    <x v="3"/>
    <x v="0"/>
  </r>
  <r>
    <x v="40"/>
    <n v="80"/>
    <n v="-19"/>
    <n v="5"/>
    <s v="Clothing"/>
    <s v="Stole"/>
    <x v="3"/>
    <x v="10"/>
  </r>
  <r>
    <x v="137"/>
    <n v="75"/>
    <n v="29"/>
    <n v="1"/>
    <s v="Clothing"/>
    <s v="Trousers"/>
    <x v="3"/>
    <x v="3"/>
  </r>
  <r>
    <x v="40"/>
    <n v="26"/>
    <n v="4"/>
    <n v="2"/>
    <s v="Clothing"/>
    <s v="Saree"/>
    <x v="3"/>
    <x v="10"/>
  </r>
  <r>
    <x v="415"/>
    <n v="55"/>
    <n v="12"/>
    <n v="5"/>
    <s v="Clothing"/>
    <s v="Skirt"/>
    <x v="0"/>
    <x v="0"/>
  </r>
  <r>
    <x v="292"/>
    <n v="157"/>
    <n v="5"/>
    <n v="9"/>
    <s v="Clothing"/>
    <s v="Saree"/>
    <x v="3"/>
    <x v="6"/>
  </r>
  <r>
    <x v="89"/>
    <n v="200"/>
    <n v="-60"/>
    <n v="4"/>
    <s v="Furniture"/>
    <s v="Bookcases"/>
    <x v="3"/>
    <x v="0"/>
  </r>
  <r>
    <x v="191"/>
    <n v="230"/>
    <n v="5"/>
    <n v="2"/>
    <s v="Clothing"/>
    <s v="Saree"/>
    <x v="3"/>
    <x v="8"/>
  </r>
  <r>
    <x v="179"/>
    <n v="213"/>
    <n v="-145"/>
    <n v="3"/>
    <s v="Furniture"/>
    <s v="Bookcases"/>
    <x v="4"/>
    <x v="12"/>
  </r>
  <r>
    <x v="161"/>
    <n v="55"/>
    <n v="4"/>
    <n v="2"/>
    <s v="Clothing"/>
    <s v="Stole"/>
    <x v="0"/>
    <x v="16"/>
  </r>
  <r>
    <x v="416"/>
    <n v="220"/>
    <n v="-19"/>
    <n v="2"/>
    <s v="Clothing"/>
    <s v="Saree"/>
    <x v="4"/>
    <x v="6"/>
  </r>
  <r>
    <x v="46"/>
    <n v="150"/>
    <n v="32"/>
    <n v="3"/>
    <s v="Clothing"/>
    <s v="Hankerchief"/>
    <x v="0"/>
    <x v="5"/>
  </r>
  <r>
    <x v="105"/>
    <n v="203"/>
    <n v="84"/>
    <n v="2"/>
    <s v="Electronics"/>
    <s v="Printers"/>
    <x v="3"/>
    <x v="2"/>
  </r>
  <r>
    <x v="135"/>
    <n v="93"/>
    <n v="31"/>
    <n v="3"/>
    <s v="Electronics"/>
    <s v="Accessories"/>
    <x v="3"/>
    <x v="4"/>
  </r>
  <r>
    <x v="417"/>
    <n v="290"/>
    <n v="35"/>
    <n v="6"/>
    <s v="Clothing"/>
    <s v="Hankerchief"/>
    <x v="0"/>
    <x v="7"/>
  </r>
  <r>
    <x v="237"/>
    <n v="48"/>
    <n v="6"/>
    <n v="1"/>
    <s v="Clothing"/>
    <s v="Saree"/>
    <x v="0"/>
    <x v="2"/>
  </r>
  <r>
    <x v="222"/>
    <n v="221"/>
    <n v="35"/>
    <n v="4"/>
    <s v="Electronics"/>
    <s v="Accessories"/>
    <x v="4"/>
    <x v="2"/>
  </r>
  <r>
    <x v="418"/>
    <n v="55"/>
    <n v="18"/>
    <n v="2"/>
    <s v="Clothing"/>
    <s v="Kurti"/>
    <x v="0"/>
    <x v="17"/>
  </r>
  <r>
    <x v="87"/>
    <n v="227"/>
    <n v="102"/>
    <n v="8"/>
    <s v="Electronics"/>
    <s v="Accessories"/>
    <x v="4"/>
    <x v="5"/>
  </r>
  <r>
    <x v="419"/>
    <n v="55"/>
    <n v="-39"/>
    <n v="4"/>
    <s v="Clothing"/>
    <s v="Stole"/>
    <x v="0"/>
    <x v="0"/>
  </r>
  <r>
    <x v="417"/>
    <n v="207"/>
    <n v="33"/>
    <n v="2"/>
    <s v="Electronics"/>
    <s v="Accessories"/>
    <x v="3"/>
    <x v="7"/>
  </r>
  <r>
    <x v="52"/>
    <n v="64"/>
    <n v="6"/>
    <n v="4"/>
    <s v="Clothing"/>
    <s v="Saree"/>
    <x v="0"/>
    <x v="0"/>
  </r>
  <r>
    <x v="203"/>
    <n v="89"/>
    <n v="6"/>
    <n v="5"/>
    <s v="Clothing"/>
    <s v="Saree"/>
    <x v="0"/>
    <x v="2"/>
  </r>
  <r>
    <x v="21"/>
    <n v="54"/>
    <n v="27"/>
    <n v="2"/>
    <s v="Clothing"/>
    <s v="Stole"/>
    <x v="0"/>
    <x v="0"/>
  </r>
  <r>
    <x v="109"/>
    <n v="84"/>
    <n v="41"/>
    <n v="3"/>
    <s v="Clothing"/>
    <s v="T-shirt"/>
    <x v="2"/>
    <x v="2"/>
  </r>
  <r>
    <x v="257"/>
    <n v="209"/>
    <n v="-21"/>
    <n v="2"/>
    <s v="Electronics"/>
    <s v="Electronic Games"/>
    <x v="3"/>
    <x v="10"/>
  </r>
  <r>
    <x v="168"/>
    <n v="79"/>
    <n v="33"/>
    <n v="4"/>
    <s v="Clothing"/>
    <s v="Stole"/>
    <x v="3"/>
    <x v="14"/>
  </r>
  <r>
    <x v="420"/>
    <n v="54"/>
    <n v="8"/>
    <n v="4"/>
    <s v="Clothing"/>
    <s v="T-shirt"/>
    <x v="0"/>
    <x v="5"/>
  </r>
  <r>
    <x v="64"/>
    <n v="229"/>
    <n v="59"/>
    <n v="9"/>
    <s v="Clothing"/>
    <s v="Saree"/>
    <x v="4"/>
    <x v="1"/>
  </r>
  <r>
    <x v="346"/>
    <n v="158"/>
    <n v="38"/>
    <n v="3"/>
    <s v="Clothing"/>
    <s v="Hankerchief"/>
    <x v="3"/>
    <x v="7"/>
  </r>
  <r>
    <x v="147"/>
    <n v="248"/>
    <n v="105"/>
    <n v="2"/>
    <s v="Electronics"/>
    <s v="Phones"/>
    <x v="4"/>
    <x v="17"/>
  </r>
  <r>
    <x v="18"/>
    <n v="199"/>
    <n v="6"/>
    <n v="2"/>
    <s v="Clothing"/>
    <s v="Saree"/>
    <x v="3"/>
    <x v="7"/>
  </r>
  <r>
    <x v="12"/>
    <n v="253"/>
    <n v="-11"/>
    <n v="1"/>
    <s v="Clothing"/>
    <s v="Trousers"/>
    <x v="4"/>
    <x v="2"/>
  </r>
  <r>
    <x v="275"/>
    <n v="257"/>
    <n v="-252"/>
    <n v="4"/>
    <s v="Clothing"/>
    <s v="Saree"/>
    <x v="4"/>
    <x v="0"/>
  </r>
  <r>
    <x v="421"/>
    <n v="193"/>
    <n v="33"/>
    <n v="5"/>
    <s v="Electronics"/>
    <s v="Accessories"/>
    <x v="0"/>
    <x v="6"/>
  </r>
  <r>
    <x v="422"/>
    <n v="109"/>
    <n v="35"/>
    <n v="6"/>
    <s v="Clothing"/>
    <s v="T-shirt"/>
    <x v="0"/>
    <x v="4"/>
  </r>
  <r>
    <x v="209"/>
    <n v="214"/>
    <n v="30"/>
    <n v="3"/>
    <s v="Electronics"/>
    <s v="Accessories"/>
    <x v="0"/>
    <x v="2"/>
  </r>
  <r>
    <x v="269"/>
    <n v="141"/>
    <n v="7"/>
    <n v="7"/>
    <s v="Clothing"/>
    <s v="Saree"/>
    <x v="0"/>
    <x v="8"/>
  </r>
  <r>
    <x v="132"/>
    <n v="201"/>
    <n v="32"/>
    <n v="4"/>
    <s v="Furniture"/>
    <s v="Furnishings"/>
    <x v="3"/>
    <x v="8"/>
  </r>
  <r>
    <x v="137"/>
    <n v="54"/>
    <n v="12"/>
    <n v="4"/>
    <s v="Clothing"/>
    <s v="Shirt"/>
    <x v="0"/>
    <x v="3"/>
  </r>
  <r>
    <x v="11"/>
    <n v="83"/>
    <n v="6"/>
    <n v="6"/>
    <s v="Clothing"/>
    <s v="Shirt"/>
    <x v="1"/>
    <x v="1"/>
  </r>
  <r>
    <x v="173"/>
    <n v="54"/>
    <n v="-3"/>
    <n v="3"/>
    <s v="Clothing"/>
    <s v="Saree"/>
    <x v="0"/>
    <x v="2"/>
  </r>
  <r>
    <x v="85"/>
    <n v="53"/>
    <n v="5"/>
    <n v="3"/>
    <s v="Clothing"/>
    <s v="T-shirt"/>
    <x v="0"/>
    <x v="6"/>
  </r>
  <r>
    <x v="214"/>
    <n v="258"/>
    <n v="-27"/>
    <n v="2"/>
    <s v="Electronics"/>
    <s v="Phones"/>
    <x v="4"/>
    <x v="12"/>
  </r>
  <r>
    <x v="423"/>
    <n v="199"/>
    <n v="8"/>
    <n v="2"/>
    <s v="Clothing"/>
    <s v="Saree"/>
    <x v="0"/>
    <x v="2"/>
  </r>
  <r>
    <x v="268"/>
    <n v="82"/>
    <n v="-27"/>
    <n v="3"/>
    <s v="Clothing"/>
    <s v="Kurti"/>
    <x v="1"/>
    <x v="0"/>
  </r>
  <r>
    <x v="241"/>
    <n v="139"/>
    <n v="36"/>
    <n v="3"/>
    <s v="Clothing"/>
    <s v="Stole"/>
    <x v="0"/>
    <x v="2"/>
  </r>
  <r>
    <x v="74"/>
    <n v="53"/>
    <n v="15"/>
    <n v="2"/>
    <s v="Clothing"/>
    <s v="Stole"/>
    <x v="0"/>
    <x v="0"/>
  </r>
  <r>
    <x v="304"/>
    <n v="53"/>
    <n v="1"/>
    <n v="4"/>
    <s v="Clothing"/>
    <s v="Stole"/>
    <x v="0"/>
    <x v="17"/>
  </r>
  <r>
    <x v="424"/>
    <n v="101"/>
    <n v="38"/>
    <n v="2"/>
    <s v="Furniture"/>
    <s v="Furnishings"/>
    <x v="0"/>
    <x v="0"/>
  </r>
  <r>
    <x v="29"/>
    <n v="262"/>
    <n v="215"/>
    <n v="2"/>
    <s v="Electronics"/>
    <s v="Printers"/>
    <x v="4"/>
    <x v="12"/>
  </r>
  <r>
    <x v="82"/>
    <n v="82"/>
    <n v="-39"/>
    <n v="5"/>
    <s v="Clothing"/>
    <s v="T-shirt"/>
    <x v="1"/>
    <x v="0"/>
  </r>
  <r>
    <x v="327"/>
    <n v="154"/>
    <n v="39"/>
    <n v="3"/>
    <s v="Clothing"/>
    <s v="Hankerchief"/>
    <x v="0"/>
    <x v="2"/>
  </r>
  <r>
    <x v="425"/>
    <n v="52"/>
    <n v="18"/>
    <n v="2"/>
    <s v="Clothing"/>
    <s v="Stole"/>
    <x v="0"/>
    <x v="7"/>
  </r>
  <r>
    <x v="353"/>
    <n v="1599"/>
    <n v="37"/>
    <n v="6"/>
    <s v="Electronics"/>
    <s v="Electronic Games"/>
    <x v="3"/>
    <x v="6"/>
  </r>
  <r>
    <x v="223"/>
    <n v="338"/>
    <n v="41"/>
    <n v="7"/>
    <s v="Clothing"/>
    <s v="Hankerchief"/>
    <x v="3"/>
    <x v="8"/>
  </r>
  <r>
    <x v="260"/>
    <n v="51"/>
    <n v="-49"/>
    <n v="2"/>
    <s v="Electronics"/>
    <s v="Electronic Games"/>
    <x v="0"/>
    <x v="8"/>
  </r>
  <r>
    <x v="258"/>
    <n v="224"/>
    <n v="-81"/>
    <n v="3"/>
    <s v="Furniture"/>
    <s v="Chairs"/>
    <x v="0"/>
    <x v="4"/>
  </r>
  <r>
    <x v="426"/>
    <n v="207"/>
    <n v="37"/>
    <n v="4"/>
    <s v="Clothing"/>
    <s v="Hankerchief"/>
    <x v="0"/>
    <x v="2"/>
  </r>
  <r>
    <x v="427"/>
    <n v="51"/>
    <n v="14"/>
    <n v="2"/>
    <s v="Clothing"/>
    <s v="Stole"/>
    <x v="0"/>
    <x v="11"/>
  </r>
  <r>
    <x v="98"/>
    <n v="82"/>
    <n v="8"/>
    <n v="3"/>
    <s v="Electronics"/>
    <s v="Accessories"/>
    <x v="1"/>
    <x v="4"/>
  </r>
  <r>
    <x v="106"/>
    <n v="50"/>
    <n v="-17"/>
    <n v="2"/>
    <s v="Clothing"/>
    <s v="Stole"/>
    <x v="0"/>
    <x v="16"/>
  </r>
  <r>
    <x v="14"/>
    <n v="263"/>
    <n v="-31"/>
    <n v="9"/>
    <s v="Electronics"/>
    <s v="Electronic Games"/>
    <x v="4"/>
    <x v="1"/>
  </r>
  <r>
    <x v="209"/>
    <n v="50"/>
    <n v="7"/>
    <n v="6"/>
    <s v="Clothing"/>
    <s v="Skirt"/>
    <x v="0"/>
    <x v="2"/>
  </r>
  <r>
    <x v="368"/>
    <n v="245"/>
    <n v="-3"/>
    <n v="4"/>
    <s v="Electronics"/>
    <s v="Phones"/>
    <x v="3"/>
    <x v="10"/>
  </r>
  <r>
    <x v="125"/>
    <n v="82"/>
    <n v="24"/>
    <n v="6"/>
    <s v="Clothing"/>
    <s v="Hankerchief"/>
    <x v="1"/>
    <x v="0"/>
  </r>
  <r>
    <x v="112"/>
    <n v="229"/>
    <n v="-41"/>
    <n v="8"/>
    <s v="Electronics"/>
    <s v="Accessories"/>
    <x v="0"/>
    <x v="4"/>
  </r>
  <r>
    <x v="147"/>
    <n v="50"/>
    <n v="14"/>
    <n v="1"/>
    <s v="Electronics"/>
    <s v="Electronic Games"/>
    <x v="0"/>
    <x v="17"/>
  </r>
  <r>
    <x v="179"/>
    <n v="220"/>
    <n v="40"/>
    <n v="2"/>
    <s v="Electronics"/>
    <s v="Accessories"/>
    <x v="0"/>
    <x v="12"/>
  </r>
  <r>
    <x v="8"/>
    <n v="263"/>
    <n v="-63"/>
    <n v="2"/>
    <s v="Electronics"/>
    <s v="Electronic Games"/>
    <x v="4"/>
    <x v="4"/>
  </r>
  <r>
    <x v="3"/>
    <n v="81"/>
    <n v="-41"/>
    <n v="5"/>
    <s v="Clothing"/>
    <s v="Leggings"/>
    <x v="1"/>
    <x v="2"/>
  </r>
  <r>
    <x v="428"/>
    <n v="50"/>
    <n v="-17"/>
    <n v="2"/>
    <s v="Clothing"/>
    <s v="Stole"/>
    <x v="0"/>
    <x v="15"/>
  </r>
  <r>
    <x v="3"/>
    <n v="49"/>
    <n v="5"/>
    <n v="4"/>
    <s v="Clothing"/>
    <s v="Hankerchief"/>
    <x v="0"/>
    <x v="2"/>
  </r>
  <r>
    <x v="9"/>
    <n v="237"/>
    <n v="47"/>
    <n v="9"/>
    <s v="Clothing"/>
    <s v="T-shirt"/>
    <x v="3"/>
    <x v="5"/>
  </r>
  <r>
    <x v="429"/>
    <n v="264"/>
    <n v="-30"/>
    <n v="3"/>
    <s v="Furniture"/>
    <s v="Furnishings"/>
    <x v="4"/>
    <x v="0"/>
  </r>
  <r>
    <x v="89"/>
    <n v="49"/>
    <n v="3"/>
    <n v="1"/>
    <s v="Clothing"/>
    <s v="Shirt"/>
    <x v="0"/>
    <x v="0"/>
  </r>
  <r>
    <x v="275"/>
    <n v="63"/>
    <n v="-24"/>
    <n v="6"/>
    <s v="Clothing"/>
    <s v="Kurti"/>
    <x v="0"/>
    <x v="0"/>
  </r>
  <r>
    <x v="120"/>
    <n v="81"/>
    <n v="-51"/>
    <n v="7"/>
    <s v="Clothing"/>
    <s v="Stole"/>
    <x v="1"/>
    <x v="0"/>
  </r>
  <r>
    <x v="130"/>
    <n v="264"/>
    <n v="71"/>
    <n v="10"/>
    <s v="Furniture"/>
    <s v="Furnishings"/>
    <x v="4"/>
    <x v="15"/>
  </r>
  <r>
    <x v="296"/>
    <n v="48"/>
    <n v="11"/>
    <n v="2"/>
    <s v="Clothing"/>
    <s v="Shirt"/>
    <x v="0"/>
    <x v="7"/>
  </r>
  <r>
    <x v="289"/>
    <n v="48"/>
    <n v="15"/>
    <n v="1"/>
    <s v="Clothing"/>
    <s v="Hankerchief"/>
    <x v="0"/>
    <x v="2"/>
  </r>
  <r>
    <x v="104"/>
    <n v="245"/>
    <n v="-78"/>
    <n v="2"/>
    <s v="Electronics"/>
    <s v="Printers"/>
    <x v="3"/>
    <x v="2"/>
  </r>
  <r>
    <x v="33"/>
    <n v="146"/>
    <n v="42"/>
    <n v="5"/>
    <s v="Clothing"/>
    <s v="Hankerchief"/>
    <x v="3"/>
    <x v="7"/>
  </r>
  <r>
    <x v="95"/>
    <n v="245"/>
    <n v="10"/>
    <n v="2"/>
    <s v="Furniture"/>
    <s v="Bookcases"/>
    <x v="0"/>
    <x v="0"/>
  </r>
  <r>
    <x v="232"/>
    <n v="245"/>
    <n v="91"/>
    <n v="2"/>
    <s v="Furniture"/>
    <s v="Bookcases"/>
    <x v="3"/>
    <x v="8"/>
  </r>
  <r>
    <x v="363"/>
    <n v="80"/>
    <n v="3"/>
    <n v="3"/>
    <s v="Clothing"/>
    <s v="Stole"/>
    <x v="1"/>
    <x v="12"/>
  </r>
  <r>
    <x v="164"/>
    <n v="269"/>
    <n v="33"/>
    <n v="5"/>
    <s v="Furniture"/>
    <s v="Chairs"/>
    <x v="4"/>
    <x v="7"/>
  </r>
  <r>
    <x v="430"/>
    <n v="80"/>
    <n v="22"/>
    <n v="3"/>
    <s v="Clothing"/>
    <s v="Stole"/>
    <x v="1"/>
    <x v="5"/>
  </r>
  <r>
    <x v="198"/>
    <n v="284"/>
    <n v="44"/>
    <n v="6"/>
    <s v="Clothing"/>
    <s v="Hankerchief"/>
    <x v="0"/>
    <x v="6"/>
  </r>
  <r>
    <x v="431"/>
    <n v="313"/>
    <n v="44"/>
    <n v="3"/>
    <s v="Electronics"/>
    <s v="Electronic Games"/>
    <x v="0"/>
    <x v="2"/>
  </r>
  <r>
    <x v="432"/>
    <n v="80"/>
    <n v="-26"/>
    <n v="9"/>
    <s v="Clothing"/>
    <s v="Skirt"/>
    <x v="1"/>
    <x v="7"/>
  </r>
  <r>
    <x v="433"/>
    <n v="48"/>
    <n v="-8"/>
    <n v="8"/>
    <s v="Clothing"/>
    <s v="Stole"/>
    <x v="0"/>
    <x v="11"/>
  </r>
  <r>
    <x v="434"/>
    <n v="87"/>
    <n v="16"/>
    <n v="2"/>
    <s v="Clothing"/>
    <s v="Saree"/>
    <x v="3"/>
    <x v="2"/>
  </r>
  <r>
    <x v="256"/>
    <n v="47"/>
    <n v="-114"/>
    <n v="5"/>
    <s v="Furniture"/>
    <s v="Furnishings"/>
    <x v="0"/>
    <x v="1"/>
  </r>
  <r>
    <x v="362"/>
    <n v="140"/>
    <n v="28"/>
    <n v="2"/>
    <s v="Electronics"/>
    <s v="Phones"/>
    <x v="0"/>
    <x v="2"/>
  </r>
  <r>
    <x v="141"/>
    <n v="47"/>
    <n v="1"/>
    <n v="2"/>
    <s v="Clothing"/>
    <s v="Stole"/>
    <x v="0"/>
    <x v="8"/>
  </r>
  <r>
    <x v="159"/>
    <n v="79"/>
    <n v="-2"/>
    <n v="2"/>
    <s v="Furniture"/>
    <s v="Furnishings"/>
    <x v="1"/>
    <x v="2"/>
  </r>
  <r>
    <x v="131"/>
    <n v="78"/>
    <n v="-64"/>
    <n v="7"/>
    <s v="Clothing"/>
    <s v="Stole"/>
    <x v="1"/>
    <x v="2"/>
  </r>
  <r>
    <x v="176"/>
    <n v="47"/>
    <n v="-3"/>
    <n v="2"/>
    <s v="Clothing"/>
    <s v="Stole"/>
    <x v="0"/>
    <x v="9"/>
  </r>
  <r>
    <x v="297"/>
    <n v="185"/>
    <n v="48"/>
    <n v="4"/>
    <s v="Clothing"/>
    <s v="Stole"/>
    <x v="3"/>
    <x v="18"/>
  </r>
  <r>
    <x v="172"/>
    <n v="77"/>
    <n v="36"/>
    <n v="2"/>
    <s v="Clothing"/>
    <s v="Shirt"/>
    <x v="1"/>
    <x v="9"/>
  </r>
  <r>
    <x v="435"/>
    <n v="259"/>
    <n v="47"/>
    <n v="5"/>
    <s v="Clothing"/>
    <s v="Hankerchief"/>
    <x v="3"/>
    <x v="0"/>
  </r>
  <r>
    <x v="436"/>
    <n v="75"/>
    <n v="0"/>
    <n v="7"/>
    <s v="Clothing"/>
    <s v="Saree"/>
    <x v="1"/>
    <x v="17"/>
  </r>
  <r>
    <x v="437"/>
    <n v="75"/>
    <n v="0"/>
    <n v="3"/>
    <s v="Clothing"/>
    <s v="Shirt"/>
    <x v="1"/>
    <x v="2"/>
  </r>
  <r>
    <x v="161"/>
    <n v="46"/>
    <n v="0"/>
    <n v="4"/>
    <s v="Clothing"/>
    <s v="Leggings"/>
    <x v="0"/>
    <x v="16"/>
  </r>
  <r>
    <x v="162"/>
    <n v="46"/>
    <n v="13"/>
    <n v="3"/>
    <s v="Clothing"/>
    <s v="Hankerchief"/>
    <x v="0"/>
    <x v="11"/>
  </r>
  <r>
    <x v="2"/>
    <n v="200"/>
    <n v="13"/>
    <n v="5"/>
    <s v="Electronics"/>
    <s v="Phones"/>
    <x v="0"/>
    <x v="2"/>
  </r>
  <r>
    <x v="438"/>
    <n v="46"/>
    <n v="-14"/>
    <n v="1"/>
    <s v="Electronics"/>
    <s v="Phones"/>
    <x v="0"/>
    <x v="2"/>
  </r>
  <r>
    <x v="439"/>
    <n v="126"/>
    <n v="52"/>
    <n v="4"/>
    <s v="Clothing"/>
    <s v="Hankerchief"/>
    <x v="3"/>
    <x v="2"/>
  </r>
  <r>
    <x v="237"/>
    <n v="74"/>
    <n v="29"/>
    <n v="3"/>
    <s v="Clothing"/>
    <s v="Stole"/>
    <x v="1"/>
    <x v="2"/>
  </r>
  <r>
    <x v="204"/>
    <n v="45"/>
    <n v="13"/>
    <n v="4"/>
    <s v="Clothing"/>
    <s v="Skirt"/>
    <x v="0"/>
    <x v="12"/>
  </r>
  <r>
    <x v="180"/>
    <n v="74"/>
    <n v="9"/>
    <n v="3"/>
    <s v="Clothing"/>
    <s v="Shirt"/>
    <x v="3"/>
    <x v="3"/>
  </r>
  <r>
    <x v="260"/>
    <n v="129"/>
    <n v="11"/>
    <n v="2"/>
    <s v="Electronics"/>
    <s v="Phones"/>
    <x v="3"/>
    <x v="8"/>
  </r>
  <r>
    <x v="297"/>
    <n v="122"/>
    <n v="50"/>
    <n v="7"/>
    <s v="Clothing"/>
    <s v="Stole"/>
    <x v="3"/>
    <x v="18"/>
  </r>
  <r>
    <x v="192"/>
    <n v="74"/>
    <n v="-51"/>
    <n v="3"/>
    <s v="Clothing"/>
    <s v="Stole"/>
    <x v="3"/>
    <x v="5"/>
  </r>
  <r>
    <x v="229"/>
    <n v="278"/>
    <n v="39"/>
    <n v="5"/>
    <s v="Furniture"/>
    <s v="Chairs"/>
    <x v="4"/>
    <x v="6"/>
  </r>
  <r>
    <x v="440"/>
    <n v="282"/>
    <n v="14"/>
    <n v="4"/>
    <s v="Clothing"/>
    <s v="Trousers"/>
    <x v="4"/>
    <x v="13"/>
  </r>
  <r>
    <x v="134"/>
    <n v="45"/>
    <n v="0"/>
    <n v="2"/>
    <s v="Clothing"/>
    <s v="T-shirt"/>
    <x v="0"/>
    <x v="17"/>
  </r>
  <r>
    <x v="51"/>
    <n v="45"/>
    <n v="6"/>
    <n v="3"/>
    <s v="Clothing"/>
    <s v="Shirt"/>
    <x v="0"/>
    <x v="13"/>
  </r>
  <r>
    <x v="392"/>
    <n v="45"/>
    <n v="16"/>
    <n v="3"/>
    <s v="Clothing"/>
    <s v="Stole"/>
    <x v="0"/>
    <x v="0"/>
  </r>
  <r>
    <x v="441"/>
    <n v="73"/>
    <n v="-36"/>
    <n v="3"/>
    <s v="Furniture"/>
    <s v="Chairs"/>
    <x v="3"/>
    <x v="2"/>
  </r>
  <r>
    <x v="83"/>
    <n v="45"/>
    <n v="12"/>
    <n v="4"/>
    <s v="Clothing"/>
    <s v="Hankerchief"/>
    <x v="0"/>
    <x v="9"/>
  </r>
  <r>
    <x v="312"/>
    <n v="72"/>
    <n v="-6"/>
    <n v="3"/>
    <s v="Clothing"/>
    <s v="Saree"/>
    <x v="3"/>
    <x v="13"/>
  </r>
  <r>
    <x v="371"/>
    <n v="71"/>
    <n v="-44"/>
    <n v="5"/>
    <s v="Electronics"/>
    <s v="Accessories"/>
    <x v="3"/>
    <x v="13"/>
  </r>
  <r>
    <x v="429"/>
    <n v="45"/>
    <n v="-2"/>
    <n v="4"/>
    <s v="Clothing"/>
    <s v="Shirt"/>
    <x v="0"/>
    <x v="0"/>
  </r>
  <r>
    <x v="141"/>
    <n v="286"/>
    <n v="140"/>
    <n v="6"/>
    <s v="Clothing"/>
    <s v="Shirt"/>
    <x v="4"/>
    <x v="8"/>
  </r>
  <r>
    <x v="442"/>
    <n v="294"/>
    <n v="138"/>
    <n v="2"/>
    <s v="Electronics"/>
    <s v="Printers"/>
    <x v="4"/>
    <x v="0"/>
  </r>
  <r>
    <x v="127"/>
    <n v="223"/>
    <n v="4"/>
    <n v="3"/>
    <s v="Electronics"/>
    <s v="Phones"/>
    <x v="0"/>
    <x v="13"/>
  </r>
  <r>
    <x v="443"/>
    <n v="20"/>
    <n v="-2"/>
    <n v="1"/>
    <s v="Electronics"/>
    <s v="Accessories"/>
    <x v="3"/>
    <x v="17"/>
  </r>
  <r>
    <x v="243"/>
    <n v="302"/>
    <n v="75"/>
    <n v="6"/>
    <s v="Furniture"/>
    <s v="Furnishings"/>
    <x v="4"/>
    <x v="5"/>
  </r>
  <r>
    <x v="269"/>
    <n v="113"/>
    <n v="28"/>
    <n v="2"/>
    <s v="Clothing"/>
    <s v="Saree"/>
    <x v="3"/>
    <x v="8"/>
  </r>
  <r>
    <x v="101"/>
    <n v="44"/>
    <n v="2"/>
    <n v="3"/>
    <s v="Clothing"/>
    <s v="Hankerchief"/>
    <x v="0"/>
    <x v="9"/>
  </r>
  <r>
    <x v="444"/>
    <n v="305"/>
    <n v="-270"/>
    <n v="5"/>
    <s v="Electronics"/>
    <s v="Electronic Games"/>
    <x v="4"/>
    <x v="5"/>
  </r>
  <r>
    <x v="437"/>
    <n v="306"/>
    <n v="-147"/>
    <n v="3"/>
    <s v="Clothing"/>
    <s v="Saree"/>
    <x v="4"/>
    <x v="2"/>
  </r>
  <r>
    <x v="240"/>
    <n v="70"/>
    <n v="-64"/>
    <n v="5"/>
    <s v="Clothing"/>
    <s v="Stole"/>
    <x v="3"/>
    <x v="7"/>
  </r>
  <r>
    <x v="249"/>
    <n v="44"/>
    <n v="11"/>
    <n v="4"/>
    <s v="Clothing"/>
    <s v="Stole"/>
    <x v="0"/>
    <x v="0"/>
  </r>
  <r>
    <x v="102"/>
    <n v="44"/>
    <n v="14"/>
    <n v="3"/>
    <s v="Clothing"/>
    <s v="Hankerchief"/>
    <x v="0"/>
    <x v="0"/>
  </r>
  <r>
    <x v="29"/>
    <n v="319"/>
    <n v="312"/>
    <n v="5"/>
    <s v="Clothing"/>
    <s v="Saree"/>
    <x v="4"/>
    <x v="12"/>
  </r>
  <r>
    <x v="217"/>
    <n v="287"/>
    <n v="-280"/>
    <n v="12"/>
    <s v="Furniture"/>
    <s v="Chairs"/>
    <x v="3"/>
    <x v="0"/>
  </r>
  <r>
    <x v="296"/>
    <n v="44"/>
    <n v="10"/>
    <n v="3"/>
    <s v="Clothing"/>
    <s v="Stole"/>
    <x v="0"/>
    <x v="7"/>
  </r>
  <r>
    <x v="111"/>
    <n v="288"/>
    <n v="-180"/>
    <n v="4"/>
    <s v="Furniture"/>
    <s v="Chairs"/>
    <x v="0"/>
    <x v="0"/>
  </r>
  <r>
    <x v="52"/>
    <n v="49"/>
    <n v="-31"/>
    <n v="2"/>
    <s v="Clothing"/>
    <s v="Stole"/>
    <x v="0"/>
    <x v="0"/>
  </r>
  <r>
    <x v="160"/>
    <n v="43"/>
    <n v="-10"/>
    <n v="4"/>
    <s v="Clothing"/>
    <s v="Skirt"/>
    <x v="0"/>
    <x v="8"/>
  </r>
  <r>
    <x v="153"/>
    <n v="43"/>
    <n v="5"/>
    <n v="3"/>
    <s v="Clothing"/>
    <s v="Stole"/>
    <x v="0"/>
    <x v="0"/>
  </r>
  <r>
    <x v="0"/>
    <n v="68"/>
    <n v="-27"/>
    <n v="3"/>
    <s v="Electronics"/>
    <s v="Accessories"/>
    <x v="3"/>
    <x v="0"/>
  </r>
  <r>
    <x v="83"/>
    <n v="320"/>
    <n v="144"/>
    <n v="1"/>
    <s v="Electronics"/>
    <s v="Printers"/>
    <x v="4"/>
    <x v="9"/>
  </r>
  <r>
    <x v="99"/>
    <n v="67"/>
    <n v="2"/>
    <n v="4"/>
    <s v="Clothing"/>
    <s v="T-shirt"/>
    <x v="3"/>
    <x v="0"/>
  </r>
  <r>
    <x v="314"/>
    <n v="66"/>
    <n v="-12"/>
    <n v="5"/>
    <s v="Clothing"/>
    <s v="Stole"/>
    <x v="3"/>
    <x v="7"/>
  </r>
  <r>
    <x v="347"/>
    <n v="321"/>
    <n v="26"/>
    <n v="3"/>
    <s v="Electronics"/>
    <s v="Printers"/>
    <x v="4"/>
    <x v="3"/>
  </r>
  <r>
    <x v="230"/>
    <n v="43"/>
    <n v="-5"/>
    <n v="2"/>
    <s v="Clothing"/>
    <s v="Saree"/>
    <x v="0"/>
    <x v="2"/>
  </r>
  <r>
    <x v="197"/>
    <n v="114"/>
    <n v="-39"/>
    <n v="5"/>
    <s v="Clothing"/>
    <s v="Kurti"/>
    <x v="0"/>
    <x v="13"/>
  </r>
  <r>
    <x v="146"/>
    <n v="43"/>
    <n v="17"/>
    <n v="1"/>
    <s v="Clothing"/>
    <s v="Saree"/>
    <x v="0"/>
    <x v="1"/>
  </r>
  <r>
    <x v="230"/>
    <n v="43"/>
    <n v="21"/>
    <n v="3"/>
    <s v="Clothing"/>
    <s v="Shirt"/>
    <x v="0"/>
    <x v="2"/>
  </r>
  <r>
    <x v="168"/>
    <n v="637"/>
    <n v="50"/>
    <n v="5"/>
    <s v="Clothing"/>
    <s v="Saree"/>
    <x v="0"/>
    <x v="14"/>
  </r>
  <r>
    <x v="9"/>
    <n v="300"/>
    <n v="42"/>
    <n v="2"/>
    <s v="Electronics"/>
    <s v="Printers"/>
    <x v="0"/>
    <x v="5"/>
  </r>
  <r>
    <x v="445"/>
    <n v="341"/>
    <n v="44"/>
    <n v="7"/>
    <s v="Furniture"/>
    <s v="Furnishings"/>
    <x v="3"/>
    <x v="2"/>
  </r>
  <r>
    <x v="90"/>
    <n v="102"/>
    <n v="0"/>
    <n v="3"/>
    <s v="Electronics"/>
    <s v="Phones"/>
    <x v="0"/>
    <x v="2"/>
  </r>
  <r>
    <x v="14"/>
    <n v="328"/>
    <n v="-15"/>
    <n v="3"/>
    <s v="Electronics"/>
    <s v="Electronic Games"/>
    <x v="4"/>
    <x v="1"/>
  </r>
  <r>
    <x v="446"/>
    <n v="341"/>
    <n v="160"/>
    <n v="7"/>
    <s v="Clothing"/>
    <s v="Stole"/>
    <x v="4"/>
    <x v="2"/>
  </r>
  <r>
    <x v="447"/>
    <n v="62"/>
    <n v="11"/>
    <n v="7"/>
    <s v="Clothing"/>
    <s v="Hankerchief"/>
    <x v="3"/>
    <x v="6"/>
  </r>
  <r>
    <x v="232"/>
    <n v="42"/>
    <n v="13"/>
    <n v="3"/>
    <s v="Clothing"/>
    <s v="Leggings"/>
    <x v="0"/>
    <x v="8"/>
  </r>
  <r>
    <x v="297"/>
    <n v="62"/>
    <n v="28"/>
    <n v="5"/>
    <s v="Clothing"/>
    <s v="Hankerchief"/>
    <x v="3"/>
    <x v="18"/>
  </r>
  <r>
    <x v="159"/>
    <n v="42"/>
    <n v="7"/>
    <n v="2"/>
    <s v="Clothing"/>
    <s v="Kurti"/>
    <x v="0"/>
    <x v="2"/>
  </r>
  <r>
    <x v="448"/>
    <n v="42"/>
    <n v="-3"/>
    <n v="1"/>
    <s v="Electronics"/>
    <s v="Electronic Games"/>
    <x v="0"/>
    <x v="12"/>
  </r>
  <r>
    <x v="388"/>
    <n v="313"/>
    <n v="-13"/>
    <n v="5"/>
    <s v="Furniture"/>
    <s v="Bookcases"/>
    <x v="3"/>
    <x v="1"/>
  </r>
  <r>
    <x v="76"/>
    <n v="109"/>
    <n v="52"/>
    <n v="2"/>
    <s v="Clothing"/>
    <s v="Stole"/>
    <x v="3"/>
    <x v="0"/>
  </r>
  <r>
    <x v="12"/>
    <n v="226"/>
    <n v="58"/>
    <n v="3"/>
    <s v="Electronics"/>
    <s v="Accessories"/>
    <x v="0"/>
    <x v="2"/>
  </r>
  <r>
    <x v="54"/>
    <n v="62"/>
    <n v="-1"/>
    <n v="1"/>
    <s v="Electronics"/>
    <s v="Phones"/>
    <x v="3"/>
    <x v="16"/>
  </r>
  <r>
    <x v="67"/>
    <n v="61"/>
    <n v="-25"/>
    <n v="4"/>
    <s v="Electronics"/>
    <s v="Accessories"/>
    <x v="3"/>
    <x v="0"/>
  </r>
  <r>
    <x v="260"/>
    <n v="222"/>
    <n v="74"/>
    <n v="5"/>
    <s v="Clothing"/>
    <s v="Hankerchief"/>
    <x v="0"/>
    <x v="8"/>
  </r>
  <r>
    <x v="202"/>
    <n v="342"/>
    <n v="-154"/>
    <n v="7"/>
    <s v="Furniture"/>
    <s v="Furnishings"/>
    <x v="4"/>
    <x v="2"/>
  </r>
  <r>
    <x v="70"/>
    <n v="344"/>
    <n v="-34"/>
    <n v="3"/>
    <s v="Clothing"/>
    <s v="Saree"/>
    <x v="4"/>
    <x v="15"/>
  </r>
  <r>
    <x v="449"/>
    <n v="345"/>
    <n v="38"/>
    <n v="7"/>
    <s v="Clothing"/>
    <s v="Hankerchief"/>
    <x v="4"/>
    <x v="15"/>
  </r>
  <r>
    <x v="450"/>
    <n v="46"/>
    <n v="0"/>
    <n v="2"/>
    <s v="Electronics"/>
    <s v="Electronic Games"/>
    <x v="0"/>
    <x v="0"/>
  </r>
  <r>
    <x v="209"/>
    <n v="255"/>
    <n v="74"/>
    <n v="5"/>
    <s v="Clothing"/>
    <s v="Hankerchief"/>
    <x v="0"/>
    <x v="2"/>
  </r>
  <r>
    <x v="338"/>
    <n v="360"/>
    <n v="32"/>
    <n v="3"/>
    <s v="Clothing"/>
    <s v="Saree"/>
    <x v="3"/>
    <x v="17"/>
  </r>
  <r>
    <x v="170"/>
    <n v="372"/>
    <n v="59"/>
    <n v="3"/>
    <s v="Electronics"/>
    <s v="Printers"/>
    <x v="3"/>
    <x v="1"/>
  </r>
  <r>
    <x v="139"/>
    <n v="61"/>
    <n v="30"/>
    <n v="2"/>
    <s v="Clothing"/>
    <s v="Hankerchief"/>
    <x v="3"/>
    <x v="0"/>
  </r>
  <r>
    <x v="77"/>
    <n v="42"/>
    <n v="12"/>
    <n v="5"/>
    <s v="Clothing"/>
    <s v="Hankerchief"/>
    <x v="0"/>
    <x v="16"/>
  </r>
  <r>
    <x v="197"/>
    <n v="42"/>
    <n v="-26"/>
    <n v="2"/>
    <s v="Clothing"/>
    <s v="Kurti"/>
    <x v="0"/>
    <x v="13"/>
  </r>
  <r>
    <x v="451"/>
    <n v="61"/>
    <n v="25"/>
    <n v="4"/>
    <s v="Clothing"/>
    <s v="Saree"/>
    <x v="3"/>
    <x v="13"/>
  </r>
  <r>
    <x v="25"/>
    <n v="41"/>
    <n v="11"/>
    <n v="6"/>
    <s v="Clothing"/>
    <s v="Hankerchief"/>
    <x v="0"/>
    <x v="11"/>
  </r>
  <r>
    <x v="133"/>
    <n v="40"/>
    <n v="13"/>
    <n v="3"/>
    <s v="Clothing"/>
    <s v="T-shirt"/>
    <x v="0"/>
    <x v="13"/>
  </r>
  <r>
    <x v="113"/>
    <n v="59"/>
    <n v="21"/>
    <n v="2"/>
    <s v="Clothing"/>
    <s v="Stole"/>
    <x v="3"/>
    <x v="12"/>
  </r>
  <r>
    <x v="268"/>
    <n v="57"/>
    <n v="27"/>
    <n v="2"/>
    <s v="Clothing"/>
    <s v="Shirt"/>
    <x v="3"/>
    <x v="0"/>
  </r>
  <r>
    <x v="7"/>
    <n v="17"/>
    <n v="6"/>
    <n v="1"/>
    <s v="Clothing"/>
    <s v="Stole"/>
    <x v="3"/>
    <x v="2"/>
  </r>
  <r>
    <x v="162"/>
    <n v="40"/>
    <n v="10"/>
    <n v="2"/>
    <s v="Clothing"/>
    <s v="Stole"/>
    <x v="0"/>
    <x v="11"/>
  </r>
  <r>
    <x v="309"/>
    <n v="349"/>
    <n v="-24"/>
    <n v="2"/>
    <s v="Clothing"/>
    <s v="Saree"/>
    <x v="4"/>
    <x v="2"/>
  </r>
  <r>
    <x v="452"/>
    <n v="335"/>
    <n v="-22"/>
    <n v="7"/>
    <s v="Furniture"/>
    <s v="Chairs"/>
    <x v="3"/>
    <x v="2"/>
  </r>
  <r>
    <x v="202"/>
    <n v="40"/>
    <n v="16"/>
    <n v="3"/>
    <s v="Clothing"/>
    <s v="Hankerchief"/>
    <x v="0"/>
    <x v="2"/>
  </r>
  <r>
    <x v="53"/>
    <n v="40"/>
    <n v="17"/>
    <n v="2"/>
    <s v="Clothing"/>
    <s v="Stole"/>
    <x v="0"/>
    <x v="13"/>
  </r>
  <r>
    <x v="197"/>
    <n v="40"/>
    <n v="-7"/>
    <n v="3"/>
    <s v="Clothing"/>
    <s v="Stole"/>
    <x v="0"/>
    <x v="13"/>
  </r>
  <r>
    <x v="260"/>
    <n v="352"/>
    <n v="74"/>
    <n v="8"/>
    <s v="Clothing"/>
    <s v="Stole"/>
    <x v="4"/>
    <x v="8"/>
  </r>
  <r>
    <x v="186"/>
    <n v="55"/>
    <n v="-26"/>
    <n v="4"/>
    <s v="Clothing"/>
    <s v="Saree"/>
    <x v="3"/>
    <x v="13"/>
  </r>
  <r>
    <x v="102"/>
    <n v="352"/>
    <n v="18"/>
    <n v="5"/>
    <s v="Clothing"/>
    <s v="Trousers"/>
    <x v="4"/>
    <x v="0"/>
  </r>
  <r>
    <x v="36"/>
    <n v="53"/>
    <n v="-18"/>
    <n v="4"/>
    <s v="Clothing"/>
    <s v="T-shirt"/>
    <x v="3"/>
    <x v="2"/>
  </r>
  <r>
    <x v="429"/>
    <n v="51"/>
    <n v="7"/>
    <n v="2"/>
    <s v="Furniture"/>
    <s v="Furnishings"/>
    <x v="3"/>
    <x v="0"/>
  </r>
  <r>
    <x v="406"/>
    <n v="40"/>
    <n v="-37"/>
    <n v="3"/>
    <s v="Clothing"/>
    <s v="Stole"/>
    <x v="0"/>
    <x v="2"/>
  </r>
  <r>
    <x v="193"/>
    <n v="39"/>
    <n v="14"/>
    <n v="5"/>
    <s v="Clothing"/>
    <s v="Leggings"/>
    <x v="0"/>
    <x v="1"/>
  </r>
  <r>
    <x v="453"/>
    <n v="355"/>
    <n v="-4"/>
    <n v="2"/>
    <s v="Clothing"/>
    <s v="Saree"/>
    <x v="4"/>
    <x v="2"/>
  </r>
  <r>
    <x v="7"/>
    <n v="357"/>
    <n v="139"/>
    <n v="2"/>
    <s v="Clothing"/>
    <s v="Saree"/>
    <x v="4"/>
    <x v="2"/>
  </r>
  <r>
    <x v="117"/>
    <n v="38"/>
    <n v="18"/>
    <n v="1"/>
    <s v="Clothing"/>
    <s v="Kurti"/>
    <x v="0"/>
    <x v="0"/>
  </r>
  <r>
    <x v="198"/>
    <n v="38"/>
    <n v="9"/>
    <n v="2"/>
    <s v="Clothing"/>
    <s v="Stole"/>
    <x v="0"/>
    <x v="6"/>
  </r>
  <r>
    <x v="294"/>
    <n v="141"/>
    <n v="10"/>
    <n v="4"/>
    <s v="Clothing"/>
    <s v="Shirt"/>
    <x v="3"/>
    <x v="6"/>
  </r>
  <r>
    <x v="392"/>
    <n v="36"/>
    <n v="4"/>
    <n v="9"/>
    <s v="Clothing"/>
    <s v="Hankerchief"/>
    <x v="0"/>
    <x v="0"/>
  </r>
  <r>
    <x v="133"/>
    <n v="351"/>
    <n v="-94"/>
    <n v="5"/>
    <s v="Electronics"/>
    <s v="Electronic Games"/>
    <x v="0"/>
    <x v="13"/>
  </r>
  <r>
    <x v="199"/>
    <n v="369"/>
    <n v="15"/>
    <n v="3"/>
    <s v="Electronics"/>
    <s v="Electronic Games"/>
    <x v="4"/>
    <x v="4"/>
  </r>
  <r>
    <x v="9"/>
    <n v="53"/>
    <n v="24"/>
    <n v="6"/>
    <s v="Clothing"/>
    <s v="Hankerchief"/>
    <x v="1"/>
    <x v="5"/>
  </r>
  <r>
    <x v="454"/>
    <n v="371"/>
    <n v="115"/>
    <n v="1"/>
    <s v="Furniture"/>
    <s v="Bookcases"/>
    <x v="4"/>
    <x v="2"/>
  </r>
  <r>
    <x v="85"/>
    <n v="499"/>
    <n v="33"/>
    <n v="4"/>
    <s v="Clothing"/>
    <s v="Saree"/>
    <x v="0"/>
    <x v="6"/>
  </r>
  <r>
    <x v="170"/>
    <n v="223"/>
    <n v="62"/>
    <n v="7"/>
    <s v="Clothing"/>
    <s v="Shirt"/>
    <x v="0"/>
    <x v="1"/>
  </r>
  <r>
    <x v="191"/>
    <n v="50"/>
    <n v="-4"/>
    <n v="6"/>
    <s v="Clothing"/>
    <s v="T-shirt"/>
    <x v="1"/>
    <x v="8"/>
  </r>
  <r>
    <x v="179"/>
    <n v="391"/>
    <n v="90"/>
    <n v="6"/>
    <s v="Electronics"/>
    <s v="Phones"/>
    <x v="4"/>
    <x v="12"/>
  </r>
  <r>
    <x v="455"/>
    <n v="416"/>
    <n v="137"/>
    <n v="3"/>
    <s v="Electronics"/>
    <s v="Phones"/>
    <x v="4"/>
    <x v="4"/>
  </r>
  <r>
    <x v="437"/>
    <n v="424"/>
    <n v="-17"/>
    <n v="9"/>
    <s v="Furniture"/>
    <s v="Chairs"/>
    <x v="4"/>
    <x v="2"/>
  </r>
  <r>
    <x v="38"/>
    <n v="362"/>
    <n v="127"/>
    <n v="1"/>
    <s v="Furniture"/>
    <s v="Bookcases"/>
    <x v="0"/>
    <x v="9"/>
  </r>
  <r>
    <x v="8"/>
    <n v="36"/>
    <n v="-7"/>
    <n v="1"/>
    <s v="Electronics"/>
    <s v="Electronic Games"/>
    <x v="0"/>
    <x v="4"/>
  </r>
  <r>
    <x v="177"/>
    <n v="34"/>
    <n v="-10"/>
    <n v="3"/>
    <s v="Clothing"/>
    <s v="Skirt"/>
    <x v="0"/>
    <x v="7"/>
  </r>
  <r>
    <x v="154"/>
    <n v="367"/>
    <n v="73"/>
    <n v="3"/>
    <s v="Electronics"/>
    <s v="Electronic Games"/>
    <x v="3"/>
    <x v="0"/>
  </r>
  <r>
    <x v="135"/>
    <n v="425"/>
    <n v="208"/>
    <n v="7"/>
    <s v="Clothing"/>
    <s v="Saree"/>
    <x v="4"/>
    <x v="4"/>
  </r>
  <r>
    <x v="368"/>
    <n v="433"/>
    <n v="26"/>
    <n v="3"/>
    <s v="Electronics"/>
    <s v="Printers"/>
    <x v="4"/>
    <x v="10"/>
  </r>
  <r>
    <x v="454"/>
    <n v="460"/>
    <n v="31"/>
    <n v="3"/>
    <s v="Furniture"/>
    <s v="Bookcases"/>
    <x v="4"/>
    <x v="2"/>
  </r>
  <r>
    <x v="256"/>
    <n v="62"/>
    <n v="-56"/>
    <n v="5"/>
    <s v="Clothing"/>
    <s v="Kurti"/>
    <x v="0"/>
    <x v="1"/>
  </r>
  <r>
    <x v="83"/>
    <n v="50"/>
    <n v="16"/>
    <n v="1"/>
    <s v="Clothing"/>
    <s v="Stole"/>
    <x v="1"/>
    <x v="9"/>
  </r>
  <r>
    <x v="369"/>
    <n v="460"/>
    <n v="-143"/>
    <n v="3"/>
    <s v="Furniture"/>
    <s v="Chairs"/>
    <x v="4"/>
    <x v="8"/>
  </r>
  <r>
    <x v="265"/>
    <n v="34"/>
    <n v="3"/>
    <n v="3"/>
    <s v="Clothing"/>
    <s v="Saree"/>
    <x v="0"/>
    <x v="12"/>
  </r>
  <r>
    <x v="259"/>
    <n v="227"/>
    <n v="59"/>
    <n v="2"/>
    <s v="Furniture"/>
    <s v="Furnishings"/>
    <x v="3"/>
    <x v="0"/>
  </r>
  <r>
    <x v="376"/>
    <n v="469"/>
    <n v="33"/>
    <n v="4"/>
    <s v="Electronics"/>
    <s v="Electronic Games"/>
    <x v="4"/>
    <x v="18"/>
  </r>
  <r>
    <x v="9"/>
    <n v="103"/>
    <n v="46"/>
    <n v="2"/>
    <s v="Clothing"/>
    <s v="Saree"/>
    <x v="3"/>
    <x v="5"/>
  </r>
  <r>
    <x v="247"/>
    <n v="34"/>
    <n v="-13"/>
    <n v="5"/>
    <s v="Clothing"/>
    <s v="Leggings"/>
    <x v="0"/>
    <x v="1"/>
  </r>
  <r>
    <x v="142"/>
    <n v="137"/>
    <n v="63"/>
    <n v="3"/>
    <s v="Clothing"/>
    <s v="Stole"/>
    <x v="0"/>
    <x v="17"/>
  </r>
  <r>
    <x v="456"/>
    <n v="34"/>
    <n v="12"/>
    <n v="2"/>
    <s v="Clothing"/>
    <s v="Stole"/>
    <x v="0"/>
    <x v="2"/>
  </r>
  <r>
    <x v="362"/>
    <n v="474"/>
    <n v="56"/>
    <n v="4"/>
    <s v="Electronics"/>
    <s v="Phones"/>
    <x v="4"/>
    <x v="2"/>
  </r>
  <r>
    <x v="239"/>
    <n v="50"/>
    <n v="3"/>
    <n v="2"/>
    <s v="Clothing"/>
    <s v="Stole"/>
    <x v="1"/>
    <x v="1"/>
  </r>
  <r>
    <x v="67"/>
    <n v="69"/>
    <n v="-67"/>
    <n v="4"/>
    <s v="Clothing"/>
    <s v="Kurti"/>
    <x v="3"/>
    <x v="0"/>
  </r>
  <r>
    <x v="457"/>
    <n v="389"/>
    <n v="-83"/>
    <n v="3"/>
    <s v="Furniture"/>
    <s v="Chairs"/>
    <x v="3"/>
    <x v="16"/>
  </r>
  <r>
    <x v="256"/>
    <n v="77"/>
    <n v="-43"/>
    <n v="8"/>
    <s v="Clothing"/>
    <s v="Stole"/>
    <x v="0"/>
    <x v="1"/>
  </r>
  <r>
    <x v="7"/>
    <n v="51"/>
    <n v="21"/>
    <n v="3"/>
    <s v="Clothing"/>
    <s v="T-shirt"/>
    <x v="0"/>
    <x v="2"/>
  </r>
  <r>
    <x v="114"/>
    <n v="394"/>
    <n v="146"/>
    <n v="2"/>
    <s v="Furniture"/>
    <s v="Bookcases"/>
    <x v="3"/>
    <x v="0"/>
  </r>
  <r>
    <x v="252"/>
    <n v="48"/>
    <n v="-22"/>
    <n v="2"/>
    <s v="Clothing"/>
    <s v="Saree"/>
    <x v="1"/>
    <x v="17"/>
  </r>
  <r>
    <x v="177"/>
    <n v="34"/>
    <n v="-12"/>
    <n v="5"/>
    <s v="Clothing"/>
    <s v="Leggings"/>
    <x v="0"/>
    <x v="7"/>
  </r>
  <r>
    <x v="12"/>
    <n v="484"/>
    <n v="28"/>
    <n v="3"/>
    <s v="Electronics"/>
    <s v="Printers"/>
    <x v="4"/>
    <x v="2"/>
  </r>
  <r>
    <x v="240"/>
    <n v="47"/>
    <n v="-27"/>
    <n v="4"/>
    <s v="Clothing"/>
    <s v="Saree"/>
    <x v="1"/>
    <x v="7"/>
  </r>
  <r>
    <x v="2"/>
    <n v="45"/>
    <n v="8"/>
    <n v="4"/>
    <s v="Clothing"/>
    <s v="Skirt"/>
    <x v="1"/>
    <x v="2"/>
  </r>
  <r>
    <x v="458"/>
    <n v="128"/>
    <n v="55"/>
    <n v="1"/>
    <s v="Clothing"/>
    <s v="Saree"/>
    <x v="0"/>
    <x v="17"/>
  </r>
  <r>
    <x v="58"/>
    <n v="669"/>
    <n v="74"/>
    <n v="5"/>
    <s v="Furniture"/>
    <s v="Bookcases"/>
    <x v="0"/>
    <x v="17"/>
  </r>
  <r>
    <x v="459"/>
    <n v="34"/>
    <n v="13"/>
    <n v="2"/>
    <s v="Clothing"/>
    <s v="Saree"/>
    <x v="0"/>
    <x v="3"/>
  </r>
  <r>
    <x v="223"/>
    <n v="44"/>
    <n v="14"/>
    <n v="3"/>
    <s v="Clothing"/>
    <s v="Hankerchief"/>
    <x v="2"/>
    <x v="8"/>
  </r>
  <r>
    <x v="20"/>
    <n v="33"/>
    <n v="1"/>
    <n v="2"/>
    <s v="Clothing"/>
    <s v="Shirt"/>
    <x v="0"/>
    <x v="8"/>
  </r>
  <r>
    <x v="362"/>
    <n v="33"/>
    <n v="10"/>
    <n v="3"/>
    <s v="Clothing"/>
    <s v="Hankerchief"/>
    <x v="0"/>
    <x v="2"/>
  </r>
  <r>
    <x v="100"/>
    <n v="487"/>
    <n v="-23"/>
    <n v="3"/>
    <s v="Electronics"/>
    <s v="Printers"/>
    <x v="4"/>
    <x v="6"/>
  </r>
  <r>
    <x v="98"/>
    <n v="497"/>
    <n v="179"/>
    <n v="3"/>
    <s v="Furniture"/>
    <s v="Chairs"/>
    <x v="4"/>
    <x v="4"/>
  </r>
  <r>
    <x v="76"/>
    <n v="508"/>
    <n v="203"/>
    <n v="2"/>
    <s v="Electronics"/>
    <s v="Accessories"/>
    <x v="4"/>
    <x v="0"/>
  </r>
  <r>
    <x v="296"/>
    <n v="524"/>
    <n v="-25"/>
    <n v="2"/>
    <s v="Electronics"/>
    <s v="Electronic Games"/>
    <x v="4"/>
    <x v="7"/>
  </r>
  <r>
    <x v="460"/>
    <n v="425"/>
    <n v="183"/>
    <n v="5"/>
    <s v="Electronics"/>
    <s v="Accessories"/>
    <x v="3"/>
    <x v="3"/>
  </r>
  <r>
    <x v="44"/>
    <n v="168"/>
    <n v="56"/>
    <n v="3"/>
    <s v="Clothing"/>
    <s v="Saree"/>
    <x v="0"/>
    <x v="2"/>
  </r>
  <r>
    <x v="461"/>
    <n v="141"/>
    <n v="28"/>
    <n v="7"/>
    <s v="Furniture"/>
    <s v="Furnishings"/>
    <x v="3"/>
    <x v="0"/>
  </r>
  <r>
    <x v="125"/>
    <n v="429"/>
    <n v="17"/>
    <n v="3"/>
    <s v="Furniture"/>
    <s v="Chairs"/>
    <x v="3"/>
    <x v="0"/>
  </r>
  <r>
    <x v="220"/>
    <n v="44"/>
    <n v="-8"/>
    <n v="3"/>
    <s v="Clothing"/>
    <s v="Stole"/>
    <x v="2"/>
    <x v="7"/>
  </r>
  <r>
    <x v="171"/>
    <n v="149"/>
    <n v="136"/>
    <n v="3"/>
    <s v="Clothing"/>
    <s v="Stole"/>
    <x v="3"/>
    <x v="2"/>
  </r>
  <r>
    <x v="16"/>
    <n v="44"/>
    <n v="-34"/>
    <n v="3"/>
    <s v="Clothing"/>
    <s v="Stole"/>
    <x v="2"/>
    <x v="1"/>
  </r>
  <r>
    <x v="153"/>
    <n v="33"/>
    <n v="10"/>
    <n v="3"/>
    <s v="Clothing"/>
    <s v="Hankerchief"/>
    <x v="0"/>
    <x v="0"/>
  </r>
  <r>
    <x v="179"/>
    <n v="33"/>
    <n v="9"/>
    <n v="2"/>
    <s v="Clothing"/>
    <s v="Hankerchief"/>
    <x v="0"/>
    <x v="12"/>
  </r>
  <r>
    <x v="139"/>
    <n v="442"/>
    <n v="31"/>
    <n v="2"/>
    <s v="Electronics"/>
    <s v="Electronic Games"/>
    <x v="3"/>
    <x v="0"/>
  </r>
  <r>
    <x v="70"/>
    <n v="41"/>
    <n v="6"/>
    <n v="5"/>
    <s v="Clothing"/>
    <s v="Skirt"/>
    <x v="2"/>
    <x v="15"/>
  </r>
  <r>
    <x v="178"/>
    <n v="33"/>
    <n v="-12"/>
    <n v="5"/>
    <s v="Clothing"/>
    <s v="Hankerchief"/>
    <x v="0"/>
    <x v="0"/>
  </r>
  <r>
    <x v="462"/>
    <n v="32"/>
    <n v="3"/>
    <n v="8"/>
    <s v="Clothing"/>
    <s v="Hankerchief"/>
    <x v="0"/>
    <x v="2"/>
  </r>
  <r>
    <x v="126"/>
    <n v="32"/>
    <n v="6"/>
    <n v="3"/>
    <s v="Clothing"/>
    <s v="Shirt"/>
    <x v="0"/>
    <x v="6"/>
  </r>
  <r>
    <x v="243"/>
    <n v="179"/>
    <n v="77"/>
    <n v="1"/>
    <s v="Clothing"/>
    <s v="Saree"/>
    <x v="3"/>
    <x v="5"/>
  </r>
  <r>
    <x v="354"/>
    <n v="31"/>
    <n v="10"/>
    <n v="1"/>
    <s v="Clothing"/>
    <s v="Kurti"/>
    <x v="0"/>
    <x v="7"/>
  </r>
  <r>
    <x v="59"/>
    <n v="140"/>
    <n v="68"/>
    <n v="5"/>
    <s v="Clothing"/>
    <s v="T-shirt"/>
    <x v="0"/>
    <x v="13"/>
  </r>
  <r>
    <x v="429"/>
    <n v="529"/>
    <n v="137"/>
    <n v="3"/>
    <s v="Electronics"/>
    <s v="Phones"/>
    <x v="4"/>
    <x v="0"/>
  </r>
  <r>
    <x v="463"/>
    <n v="534"/>
    <n v="0"/>
    <n v="3"/>
    <s v="Clothing"/>
    <s v="Saree"/>
    <x v="4"/>
    <x v="6"/>
  </r>
  <r>
    <x v="319"/>
    <n v="41"/>
    <n v="-6"/>
    <n v="1"/>
    <s v="Furniture"/>
    <s v="Chairs"/>
    <x v="2"/>
    <x v="0"/>
  </r>
  <r>
    <x v="176"/>
    <n v="379"/>
    <n v="63"/>
    <n v="2"/>
    <s v="Clothing"/>
    <s v="Saree"/>
    <x v="0"/>
    <x v="9"/>
  </r>
  <r>
    <x v="187"/>
    <n v="81"/>
    <n v="-44"/>
    <n v="3"/>
    <s v="Clothing"/>
    <s v="Stole"/>
    <x v="0"/>
    <x v="2"/>
  </r>
  <r>
    <x v="275"/>
    <n v="40"/>
    <n v="-33"/>
    <n v="5"/>
    <s v="Clothing"/>
    <s v="Hankerchief"/>
    <x v="2"/>
    <x v="0"/>
  </r>
  <r>
    <x v="147"/>
    <n v="40"/>
    <n v="18"/>
    <n v="1"/>
    <s v="Electronics"/>
    <s v="Accessories"/>
    <x v="2"/>
    <x v="17"/>
  </r>
  <r>
    <x v="93"/>
    <n v="534"/>
    <n v="0"/>
    <n v="3"/>
    <s v="Clothing"/>
    <s v="Saree"/>
    <x v="4"/>
    <x v="2"/>
  </r>
  <r>
    <x v="179"/>
    <n v="31"/>
    <n v="9"/>
    <n v="2"/>
    <s v="Clothing"/>
    <s v="Hankerchief"/>
    <x v="0"/>
    <x v="12"/>
  </r>
  <r>
    <x v="138"/>
    <n v="473"/>
    <n v="-113"/>
    <n v="9"/>
    <s v="Clothing"/>
    <s v="Hankerchief"/>
    <x v="3"/>
    <x v="9"/>
  </r>
  <r>
    <x v="464"/>
    <n v="31"/>
    <n v="-10"/>
    <n v="3"/>
    <s v="Clothing"/>
    <s v="Skirt"/>
    <x v="0"/>
    <x v="0"/>
  </r>
  <r>
    <x v="437"/>
    <n v="31"/>
    <n v="-3"/>
    <n v="4"/>
    <s v="Clothing"/>
    <s v="Saree"/>
    <x v="0"/>
    <x v="2"/>
  </r>
  <r>
    <x v="97"/>
    <n v="91"/>
    <n v="15"/>
    <n v="6"/>
    <s v="Clothing"/>
    <s v="T-shirt"/>
    <x v="3"/>
    <x v="0"/>
  </r>
  <r>
    <x v="244"/>
    <n v="30"/>
    <n v="-25"/>
    <n v="2"/>
    <s v="Clothing"/>
    <s v="T-shirt"/>
    <x v="0"/>
    <x v="7"/>
  </r>
  <r>
    <x v="228"/>
    <n v="30"/>
    <n v="6"/>
    <n v="1"/>
    <s v="Clothing"/>
    <s v="T-shirt"/>
    <x v="0"/>
    <x v="12"/>
  </r>
  <r>
    <x v="14"/>
    <n v="40"/>
    <n v="0"/>
    <n v="3"/>
    <s v="Clothing"/>
    <s v="Saree"/>
    <x v="2"/>
    <x v="1"/>
  </r>
  <r>
    <x v="230"/>
    <n v="534"/>
    <n v="5"/>
    <n v="2"/>
    <s v="Electronics"/>
    <s v="Electronic Games"/>
    <x v="4"/>
    <x v="2"/>
  </r>
  <r>
    <x v="110"/>
    <n v="539"/>
    <n v="-146"/>
    <n v="7"/>
    <s v="Furniture"/>
    <s v="Furnishings"/>
    <x v="4"/>
    <x v="0"/>
  </r>
  <r>
    <x v="465"/>
    <n v="490"/>
    <n v="-128"/>
    <n v="8"/>
    <s v="Furniture"/>
    <s v="Bookcases"/>
    <x v="3"/>
    <x v="2"/>
  </r>
  <r>
    <x v="30"/>
    <n v="163"/>
    <n v="81"/>
    <n v="2"/>
    <s v="Electronics"/>
    <s v="Accessories"/>
    <x v="0"/>
    <x v="2"/>
  </r>
  <r>
    <x v="58"/>
    <n v="184"/>
    <n v="85"/>
    <n v="6"/>
    <s v="Clothing"/>
    <s v="T-shirt"/>
    <x v="3"/>
    <x v="17"/>
  </r>
  <r>
    <x v="408"/>
    <n v="494"/>
    <n v="54"/>
    <n v="4"/>
    <s v="Furniture"/>
    <s v="Bookcases"/>
    <x v="0"/>
    <x v="11"/>
  </r>
  <r>
    <x v="466"/>
    <n v="30"/>
    <n v="11"/>
    <n v="5"/>
    <s v="Clothing"/>
    <s v="Hankerchief"/>
    <x v="0"/>
    <x v="0"/>
  </r>
  <r>
    <x v="388"/>
    <n v="30"/>
    <n v="0"/>
    <n v="1"/>
    <s v="Clothing"/>
    <s v="Kurti"/>
    <x v="0"/>
    <x v="1"/>
  </r>
  <r>
    <x v="35"/>
    <n v="39"/>
    <n v="-18"/>
    <n v="2"/>
    <s v="Clothing"/>
    <s v="Leggings"/>
    <x v="2"/>
    <x v="3"/>
  </r>
  <r>
    <x v="274"/>
    <n v="1700"/>
    <n v="85"/>
    <n v="3"/>
    <s v="Clothing"/>
    <s v="Trousers"/>
    <x v="0"/>
    <x v="2"/>
  </r>
  <r>
    <x v="111"/>
    <n v="332"/>
    <n v="-43"/>
    <n v="6"/>
    <s v="Electronics"/>
    <s v="Phones"/>
    <x v="3"/>
    <x v="0"/>
  </r>
  <r>
    <x v="202"/>
    <n v="436"/>
    <n v="131"/>
    <n v="9"/>
    <s v="Clothing"/>
    <s v="Hankerchief"/>
    <x v="3"/>
    <x v="2"/>
  </r>
  <r>
    <x v="233"/>
    <n v="30"/>
    <n v="-5"/>
    <n v="2"/>
    <s v="Furniture"/>
    <s v="Furnishings"/>
    <x v="0"/>
    <x v="12"/>
  </r>
  <r>
    <x v="234"/>
    <n v="30"/>
    <n v="-10"/>
    <n v="2"/>
    <s v="Clothing"/>
    <s v="Stole"/>
    <x v="0"/>
    <x v="2"/>
  </r>
  <r>
    <x v="176"/>
    <n v="38"/>
    <n v="-13"/>
    <n v="3"/>
    <s v="Clothing"/>
    <s v="Stole"/>
    <x v="2"/>
    <x v="9"/>
  </r>
  <r>
    <x v="140"/>
    <n v="511"/>
    <n v="194"/>
    <n v="3"/>
    <s v="Furniture"/>
    <s v="Chairs"/>
    <x v="3"/>
    <x v="0"/>
  </r>
  <r>
    <x v="40"/>
    <n v="37"/>
    <n v="-53"/>
    <n v="3"/>
    <s v="Clothing"/>
    <s v="Saree"/>
    <x v="2"/>
    <x v="10"/>
  </r>
  <r>
    <x v="81"/>
    <n v="513"/>
    <n v="215"/>
    <n v="2"/>
    <s v="Electronics"/>
    <s v="Accessories"/>
    <x v="0"/>
    <x v="16"/>
  </r>
  <r>
    <x v="70"/>
    <n v="516"/>
    <n v="69"/>
    <n v="4"/>
    <s v="Furniture"/>
    <s v="Bookcases"/>
    <x v="3"/>
    <x v="15"/>
  </r>
  <r>
    <x v="131"/>
    <n v="559"/>
    <n v="-19"/>
    <n v="2"/>
    <s v="Clothing"/>
    <s v="Trousers"/>
    <x v="4"/>
    <x v="2"/>
  </r>
  <r>
    <x v="467"/>
    <n v="29"/>
    <n v="-10"/>
    <n v="3"/>
    <s v="Clothing"/>
    <s v="Skirt"/>
    <x v="0"/>
    <x v="0"/>
  </r>
  <r>
    <x v="368"/>
    <n v="148"/>
    <n v="52"/>
    <n v="5"/>
    <s v="Clothing"/>
    <s v="Stole"/>
    <x v="3"/>
    <x v="10"/>
  </r>
  <r>
    <x v="241"/>
    <n v="559"/>
    <n v="-174"/>
    <n v="2"/>
    <s v="Electronics"/>
    <s v="Electronic Games"/>
    <x v="4"/>
    <x v="2"/>
  </r>
  <r>
    <x v="267"/>
    <n v="527"/>
    <n v="26"/>
    <n v="3"/>
    <s v="Electronics"/>
    <s v="Electronic Games"/>
    <x v="0"/>
    <x v="12"/>
  </r>
  <r>
    <x v="268"/>
    <n v="560"/>
    <n v="44"/>
    <n v="3"/>
    <s v="Clothing"/>
    <s v="Saree"/>
    <x v="4"/>
    <x v="0"/>
  </r>
  <r>
    <x v="193"/>
    <n v="571"/>
    <n v="108"/>
    <n v="12"/>
    <s v="Clothing"/>
    <s v="Stole"/>
    <x v="4"/>
    <x v="1"/>
  </r>
  <r>
    <x v="468"/>
    <n v="29"/>
    <n v="2"/>
    <n v="3"/>
    <s v="Clothing"/>
    <s v="Skirt"/>
    <x v="0"/>
    <x v="1"/>
  </r>
  <r>
    <x v="267"/>
    <n v="29"/>
    <n v="3"/>
    <n v="2"/>
    <s v="Clothing"/>
    <s v="Stole"/>
    <x v="0"/>
    <x v="12"/>
  </r>
  <r>
    <x v="252"/>
    <n v="29"/>
    <n v="-3"/>
    <n v="3"/>
    <s v="Clothing"/>
    <s v="Saree"/>
    <x v="0"/>
    <x v="17"/>
  </r>
  <r>
    <x v="469"/>
    <n v="35"/>
    <n v="14"/>
    <n v="2"/>
    <s v="Clothing"/>
    <s v="Stole"/>
    <x v="2"/>
    <x v="5"/>
  </r>
  <r>
    <x v="18"/>
    <n v="579"/>
    <n v="139"/>
    <n v="3"/>
    <s v="Electronics"/>
    <s v="Printers"/>
    <x v="4"/>
    <x v="7"/>
  </r>
  <r>
    <x v="13"/>
    <n v="29"/>
    <n v="-24"/>
    <n v="4"/>
    <s v="Clothing"/>
    <s v="Leggings"/>
    <x v="0"/>
    <x v="2"/>
  </r>
  <r>
    <x v="40"/>
    <n v="593"/>
    <n v="213"/>
    <n v="4"/>
    <s v="Furniture"/>
    <s v="Bookcases"/>
    <x v="4"/>
    <x v="10"/>
  </r>
  <r>
    <x v="141"/>
    <n v="217"/>
    <n v="72"/>
    <n v="2"/>
    <s v="Furniture"/>
    <s v="Furnishings"/>
    <x v="0"/>
    <x v="8"/>
  </r>
  <r>
    <x v="470"/>
    <n v="353"/>
    <n v="90"/>
    <n v="8"/>
    <s v="Clothing"/>
    <s v="Saree"/>
    <x v="0"/>
    <x v="7"/>
  </r>
  <r>
    <x v="198"/>
    <n v="382"/>
    <n v="92"/>
    <n v="2"/>
    <s v="Electronics"/>
    <s v="Printers"/>
    <x v="0"/>
    <x v="6"/>
  </r>
  <r>
    <x v="160"/>
    <n v="597"/>
    <n v="93"/>
    <n v="4"/>
    <s v="Furniture"/>
    <s v="Chairs"/>
    <x v="4"/>
    <x v="8"/>
  </r>
  <r>
    <x v="471"/>
    <n v="212"/>
    <n v="97"/>
    <n v="7"/>
    <s v="Clothing"/>
    <s v="Hankerchief"/>
    <x v="0"/>
    <x v="13"/>
  </r>
  <r>
    <x v="237"/>
    <n v="689"/>
    <n v="90"/>
    <n v="5"/>
    <s v="Clothing"/>
    <s v="Saree"/>
    <x v="0"/>
    <x v="2"/>
  </r>
  <r>
    <x v="472"/>
    <n v="28"/>
    <n v="-10"/>
    <n v="3"/>
    <s v="Clothing"/>
    <s v="Skirt"/>
    <x v="0"/>
    <x v="16"/>
  </r>
  <r>
    <x v="173"/>
    <n v="34"/>
    <n v="12"/>
    <n v="3"/>
    <s v="Clothing"/>
    <s v="Hankerchief"/>
    <x v="2"/>
    <x v="2"/>
  </r>
  <r>
    <x v="58"/>
    <n v="600"/>
    <n v="-102"/>
    <n v="5"/>
    <s v="Electronics"/>
    <s v="Electronic Games"/>
    <x v="4"/>
    <x v="17"/>
  </r>
  <r>
    <x v="473"/>
    <n v="637"/>
    <n v="113"/>
    <n v="5"/>
    <s v="Clothing"/>
    <s v="Saree"/>
    <x v="3"/>
    <x v="2"/>
  </r>
  <r>
    <x v="36"/>
    <n v="616"/>
    <n v="-69"/>
    <n v="7"/>
    <s v="Furniture"/>
    <s v="Furnishings"/>
    <x v="4"/>
    <x v="2"/>
  </r>
  <r>
    <x v="93"/>
    <n v="624"/>
    <n v="37"/>
    <n v="2"/>
    <s v="Electronics"/>
    <s v="Electronic Games"/>
    <x v="4"/>
    <x v="2"/>
  </r>
  <r>
    <x v="353"/>
    <n v="28"/>
    <n v="4"/>
    <n v="1"/>
    <s v="Clothing"/>
    <s v="T-shirt"/>
    <x v="0"/>
    <x v="6"/>
  </r>
  <r>
    <x v="244"/>
    <n v="584"/>
    <n v="-444"/>
    <n v="7"/>
    <s v="Electronics"/>
    <s v="Printers"/>
    <x v="3"/>
    <x v="7"/>
  </r>
  <r>
    <x v="146"/>
    <n v="28"/>
    <n v="6"/>
    <n v="4"/>
    <s v="Clothing"/>
    <s v="Skirt"/>
    <x v="0"/>
    <x v="1"/>
  </r>
  <r>
    <x v="3"/>
    <n v="33"/>
    <n v="-1"/>
    <n v="1"/>
    <s v="Clothing"/>
    <s v="Saree"/>
    <x v="2"/>
    <x v="2"/>
  </r>
  <r>
    <x v="256"/>
    <n v="27"/>
    <n v="-20"/>
    <n v="2"/>
    <s v="Clothing"/>
    <s v="Hankerchief"/>
    <x v="0"/>
    <x v="1"/>
  </r>
  <r>
    <x v="155"/>
    <n v="27"/>
    <n v="5"/>
    <n v="2"/>
    <s v="Clothing"/>
    <s v="Skirt"/>
    <x v="0"/>
    <x v="2"/>
  </r>
  <r>
    <x v="61"/>
    <n v="27"/>
    <n v="4"/>
    <n v="3"/>
    <s v="Clothing"/>
    <s v="Skirt"/>
    <x v="0"/>
    <x v="0"/>
  </r>
  <r>
    <x v="266"/>
    <n v="635"/>
    <n v="-349"/>
    <n v="5"/>
    <s v="Clothing"/>
    <s v="Saree"/>
    <x v="4"/>
    <x v="4"/>
  </r>
  <r>
    <x v="259"/>
    <n v="598"/>
    <n v="166"/>
    <n v="4"/>
    <s v="Furniture"/>
    <s v="Bookcases"/>
    <x v="3"/>
    <x v="0"/>
  </r>
  <r>
    <x v="353"/>
    <n v="636"/>
    <n v="-204"/>
    <n v="2"/>
    <s v="Electronics"/>
    <s v="Printers"/>
    <x v="4"/>
    <x v="6"/>
  </r>
  <r>
    <x v="350"/>
    <n v="27"/>
    <n v="9"/>
    <n v="2"/>
    <s v="Clothing"/>
    <s v="Hankerchief"/>
    <x v="0"/>
    <x v="2"/>
  </r>
  <r>
    <x v="150"/>
    <n v="27"/>
    <n v="-6"/>
    <n v="4"/>
    <s v="Clothing"/>
    <s v="Hankerchief"/>
    <x v="0"/>
    <x v="14"/>
  </r>
  <r>
    <x v="125"/>
    <n v="637"/>
    <n v="212"/>
    <n v="8"/>
    <s v="Electronics"/>
    <s v="Phones"/>
    <x v="4"/>
    <x v="0"/>
  </r>
  <r>
    <x v="221"/>
    <n v="290"/>
    <n v="110"/>
    <n v="9"/>
    <s v="Clothing"/>
    <s v="Stole"/>
    <x v="3"/>
    <x v="0"/>
  </r>
  <r>
    <x v="474"/>
    <n v="27"/>
    <n v="-25"/>
    <n v="2"/>
    <s v="Clothing"/>
    <s v="Stole"/>
    <x v="0"/>
    <x v="15"/>
  </r>
  <r>
    <x v="475"/>
    <n v="632"/>
    <n v="-114"/>
    <n v="4"/>
    <s v="Furniture"/>
    <s v="Tables"/>
    <x v="3"/>
    <x v="0"/>
  </r>
  <r>
    <x v="13"/>
    <n v="643"/>
    <n v="-45"/>
    <n v="2"/>
    <s v="Electronics"/>
    <s v="Printers"/>
    <x v="4"/>
    <x v="2"/>
  </r>
  <r>
    <x v="34"/>
    <n v="652"/>
    <n v="13"/>
    <n v="6"/>
    <s v="Furniture"/>
    <s v="Furnishings"/>
    <x v="4"/>
    <x v="0"/>
  </r>
  <r>
    <x v="97"/>
    <n v="33"/>
    <n v="-27"/>
    <n v="1"/>
    <s v="Furniture"/>
    <s v="Chairs"/>
    <x v="2"/>
    <x v="0"/>
  </r>
  <r>
    <x v="356"/>
    <n v="26"/>
    <n v="2"/>
    <n v="2"/>
    <s v="Clothing"/>
    <s v="Hankerchief"/>
    <x v="0"/>
    <x v="0"/>
  </r>
  <r>
    <x v="339"/>
    <n v="633"/>
    <n v="-633"/>
    <n v="11"/>
    <s v="Electronics"/>
    <s v="Accessories"/>
    <x v="3"/>
    <x v="2"/>
  </r>
  <r>
    <x v="5"/>
    <n v="26"/>
    <n v="9"/>
    <n v="2"/>
    <s v="Clothing"/>
    <s v="Leggings"/>
    <x v="0"/>
    <x v="1"/>
  </r>
  <r>
    <x v="85"/>
    <n v="191"/>
    <n v="93"/>
    <n v="4"/>
    <s v="Clothing"/>
    <s v="Shirt"/>
    <x v="3"/>
    <x v="6"/>
  </r>
  <r>
    <x v="6"/>
    <n v="887"/>
    <n v="80"/>
    <n v="3"/>
    <s v="Electronics"/>
    <s v="Printers"/>
    <x v="3"/>
    <x v="3"/>
  </r>
  <r>
    <x v="476"/>
    <n v="637"/>
    <n v="261"/>
    <n v="2"/>
    <s v="Electronics"/>
    <s v="Printers"/>
    <x v="0"/>
    <x v="2"/>
  </r>
  <r>
    <x v="220"/>
    <n v="670"/>
    <n v="15"/>
    <n v="5"/>
    <s v="Furniture"/>
    <s v="Bookcases"/>
    <x v="4"/>
    <x v="7"/>
  </r>
  <r>
    <x v="45"/>
    <n v="26"/>
    <n v="7"/>
    <n v="4"/>
    <s v="Clothing"/>
    <s v="Hankerchief"/>
    <x v="0"/>
    <x v="7"/>
  </r>
  <r>
    <x v="58"/>
    <n v="676"/>
    <n v="195"/>
    <n v="5"/>
    <s v="Furniture"/>
    <s v="Bookcases"/>
    <x v="4"/>
    <x v="17"/>
  </r>
  <r>
    <x v="477"/>
    <n v="26"/>
    <n v="12"/>
    <n v="3"/>
    <s v="Clothing"/>
    <s v="Hankerchief"/>
    <x v="0"/>
    <x v="3"/>
  </r>
  <r>
    <x v="39"/>
    <n v="26"/>
    <n v="-24"/>
    <n v="1"/>
    <s v="Clothing"/>
    <s v="Stole"/>
    <x v="0"/>
    <x v="2"/>
  </r>
  <r>
    <x v="92"/>
    <n v="25"/>
    <n v="7"/>
    <n v="2"/>
    <s v="Clothing"/>
    <s v="Stole"/>
    <x v="0"/>
    <x v="3"/>
  </r>
  <r>
    <x v="117"/>
    <n v="24"/>
    <n v="-30"/>
    <n v="1"/>
    <s v="Furniture"/>
    <s v="Chairs"/>
    <x v="0"/>
    <x v="0"/>
  </r>
  <r>
    <x v="191"/>
    <n v="32"/>
    <n v="-12"/>
    <n v="1"/>
    <s v="Furniture"/>
    <s v="Chairs"/>
    <x v="2"/>
    <x v="8"/>
  </r>
  <r>
    <x v="104"/>
    <n v="31"/>
    <n v="-2"/>
    <n v="2"/>
    <s v="Clothing"/>
    <s v="Saree"/>
    <x v="2"/>
    <x v="2"/>
  </r>
  <r>
    <x v="93"/>
    <n v="651"/>
    <n v="169"/>
    <n v="5"/>
    <s v="Electronics"/>
    <s v="Printers"/>
    <x v="0"/>
    <x v="2"/>
  </r>
  <r>
    <x v="277"/>
    <n v="326"/>
    <n v="107"/>
    <n v="3"/>
    <s v="Furniture"/>
    <s v="Furnishings"/>
    <x v="3"/>
    <x v="14"/>
  </r>
  <r>
    <x v="356"/>
    <n v="30"/>
    <n v="-6"/>
    <n v="2"/>
    <s v="Clothing"/>
    <s v="Hankerchief"/>
    <x v="3"/>
    <x v="0"/>
  </r>
  <r>
    <x v="147"/>
    <n v="30"/>
    <n v="5"/>
    <n v="2"/>
    <s v="Clothing"/>
    <s v="Kurti"/>
    <x v="3"/>
    <x v="17"/>
  </r>
  <r>
    <x v="478"/>
    <n v="662"/>
    <n v="240"/>
    <n v="2"/>
    <s v="Furniture"/>
    <s v="Bookcases"/>
    <x v="0"/>
    <x v="6"/>
  </r>
  <r>
    <x v="29"/>
    <n v="30"/>
    <n v="-23"/>
    <n v="2"/>
    <s v="Clothing"/>
    <s v="Saree"/>
    <x v="3"/>
    <x v="12"/>
  </r>
  <r>
    <x v="221"/>
    <n v="29"/>
    <n v="9"/>
    <n v="3"/>
    <s v="Clothing"/>
    <s v="Saree"/>
    <x v="3"/>
    <x v="0"/>
  </r>
  <r>
    <x v="131"/>
    <n v="28"/>
    <n v="1"/>
    <n v="1"/>
    <s v="Electronics"/>
    <s v="Accessories"/>
    <x v="3"/>
    <x v="2"/>
  </r>
  <r>
    <x v="87"/>
    <n v="28"/>
    <n v="-3"/>
    <n v="2"/>
    <s v="Clothing"/>
    <s v="Saree"/>
    <x v="3"/>
    <x v="5"/>
  </r>
  <r>
    <x v="479"/>
    <n v="24"/>
    <n v="2"/>
    <n v="4"/>
    <s v="Clothing"/>
    <s v="Hankerchief"/>
    <x v="0"/>
    <x v="2"/>
  </r>
  <r>
    <x v="104"/>
    <n v="28"/>
    <n v="-26"/>
    <n v="2"/>
    <s v="Clothing"/>
    <s v="Stole"/>
    <x v="3"/>
    <x v="2"/>
  </r>
  <r>
    <x v="243"/>
    <n v="27"/>
    <n v="5"/>
    <n v="1"/>
    <s v="Clothing"/>
    <s v="Stole"/>
    <x v="3"/>
    <x v="5"/>
  </r>
  <r>
    <x v="480"/>
    <n v="27"/>
    <n v="-15"/>
    <n v="1"/>
    <s v="Clothing"/>
    <s v="Stole"/>
    <x v="3"/>
    <x v="9"/>
  </r>
  <r>
    <x v="351"/>
    <n v="24"/>
    <n v="11"/>
    <n v="3"/>
    <s v="Clothing"/>
    <s v="Hankerchief"/>
    <x v="0"/>
    <x v="2"/>
  </r>
  <r>
    <x v="234"/>
    <n v="23"/>
    <n v="-6"/>
    <n v="4"/>
    <s v="Clothing"/>
    <s v="Hankerchief"/>
    <x v="0"/>
    <x v="2"/>
  </r>
  <r>
    <x v="69"/>
    <n v="322"/>
    <n v="193"/>
    <n v="5"/>
    <s v="Electronics"/>
    <s v="Printers"/>
    <x v="0"/>
    <x v="4"/>
  </r>
  <r>
    <x v="170"/>
    <n v="688"/>
    <n v="-103"/>
    <n v="6"/>
    <s v="Electronics"/>
    <s v="Accessories"/>
    <x v="4"/>
    <x v="1"/>
  </r>
  <r>
    <x v="339"/>
    <n v="23"/>
    <n v="-3"/>
    <n v="1"/>
    <s v="Clothing"/>
    <s v="Shirt"/>
    <x v="0"/>
    <x v="2"/>
  </r>
  <r>
    <x v="177"/>
    <n v="26"/>
    <n v="3"/>
    <n v="3"/>
    <s v="Clothing"/>
    <s v="Skirt"/>
    <x v="3"/>
    <x v="7"/>
  </r>
  <r>
    <x v="230"/>
    <n v="68"/>
    <n v="-56"/>
    <n v="2"/>
    <s v="Electronics"/>
    <s v="Phones"/>
    <x v="0"/>
    <x v="2"/>
  </r>
  <r>
    <x v="360"/>
    <n v="462"/>
    <n v="169"/>
    <n v="4"/>
    <s v="Clothing"/>
    <s v="Saree"/>
    <x v="0"/>
    <x v="0"/>
  </r>
  <r>
    <x v="437"/>
    <n v="941"/>
    <n v="203"/>
    <n v="3"/>
    <s v="Furniture"/>
    <s v="Tables"/>
    <x v="3"/>
    <x v="2"/>
  </r>
  <r>
    <x v="159"/>
    <n v="23"/>
    <n v="4"/>
    <n v="2"/>
    <s v="Clothing"/>
    <s v="Skirt"/>
    <x v="0"/>
    <x v="2"/>
  </r>
  <r>
    <x v="404"/>
    <n v="720"/>
    <n v="43"/>
    <n v="2"/>
    <s v="Electronics"/>
    <s v="Printers"/>
    <x v="3"/>
    <x v="7"/>
  </r>
  <r>
    <x v="27"/>
    <n v="724"/>
    <n v="-447"/>
    <n v="4"/>
    <s v="Electronics"/>
    <s v="Electronic Games"/>
    <x v="3"/>
    <x v="2"/>
  </r>
  <r>
    <x v="481"/>
    <n v="724"/>
    <n v="253"/>
    <n v="2"/>
    <s v="Furniture"/>
    <s v="Bookcases"/>
    <x v="3"/>
    <x v="0"/>
  </r>
  <r>
    <x v="51"/>
    <n v="26"/>
    <n v="10"/>
    <n v="4"/>
    <s v="Clothing"/>
    <s v="Hankerchief"/>
    <x v="3"/>
    <x v="13"/>
  </r>
  <r>
    <x v="77"/>
    <n v="22"/>
    <n v="-2"/>
    <n v="3"/>
    <s v="Clothing"/>
    <s v="Hankerchief"/>
    <x v="0"/>
    <x v="16"/>
  </r>
  <r>
    <x v="157"/>
    <n v="711"/>
    <n v="-8"/>
    <n v="4"/>
    <s v="Clothing"/>
    <s v="Saree"/>
    <x v="4"/>
    <x v="18"/>
  </r>
  <r>
    <x v="256"/>
    <n v="107"/>
    <n v="31"/>
    <n v="5"/>
    <s v="Clothing"/>
    <s v="T-shirt"/>
    <x v="0"/>
    <x v="1"/>
  </r>
  <r>
    <x v="309"/>
    <n v="765"/>
    <n v="-153"/>
    <n v="2"/>
    <s v="Electronics"/>
    <s v="Phones"/>
    <x v="4"/>
    <x v="2"/>
  </r>
  <r>
    <x v="350"/>
    <n v="22"/>
    <n v="8"/>
    <n v="2"/>
    <s v="Clothing"/>
    <s v="Leggings"/>
    <x v="0"/>
    <x v="2"/>
  </r>
  <r>
    <x v="386"/>
    <n v="26"/>
    <n v="-5"/>
    <n v="2"/>
    <s v="Clothing"/>
    <s v="Stole"/>
    <x v="3"/>
    <x v="5"/>
  </r>
  <r>
    <x v="155"/>
    <n v="22"/>
    <n v="8"/>
    <n v="3"/>
    <s v="Clothing"/>
    <s v="Hankerchief"/>
    <x v="0"/>
    <x v="2"/>
  </r>
  <r>
    <x v="482"/>
    <n v="743"/>
    <n v="89"/>
    <n v="5"/>
    <s v="Electronics"/>
    <s v="Printers"/>
    <x v="3"/>
    <x v="2"/>
  </r>
  <r>
    <x v="10"/>
    <n v="22"/>
    <n v="-15"/>
    <n v="4"/>
    <s v="Clothing"/>
    <s v="Kurti"/>
    <x v="0"/>
    <x v="0"/>
  </r>
  <r>
    <x v="233"/>
    <n v="781"/>
    <n v="594"/>
    <n v="6"/>
    <s v="Electronics"/>
    <s v="Printers"/>
    <x v="4"/>
    <x v="12"/>
  </r>
  <r>
    <x v="276"/>
    <n v="25"/>
    <n v="-2"/>
    <n v="5"/>
    <s v="Clothing"/>
    <s v="Hankerchief"/>
    <x v="3"/>
    <x v="16"/>
  </r>
  <r>
    <x v="205"/>
    <n v="25"/>
    <n v="2"/>
    <n v="2"/>
    <s v="Clothing"/>
    <s v="Hankerchief"/>
    <x v="3"/>
    <x v="0"/>
  </r>
  <r>
    <x v="309"/>
    <n v="119"/>
    <n v="43"/>
    <n v="5"/>
    <s v="Clothing"/>
    <s v="T-shirt"/>
    <x v="0"/>
    <x v="2"/>
  </r>
  <r>
    <x v="214"/>
    <n v="785"/>
    <n v="52"/>
    <n v="2"/>
    <s v="Electronics"/>
    <s v="Phones"/>
    <x v="4"/>
    <x v="12"/>
  </r>
  <r>
    <x v="226"/>
    <n v="183"/>
    <n v="-66"/>
    <n v="5"/>
    <s v="Electronics"/>
    <s v="Phones"/>
    <x v="3"/>
    <x v="0"/>
  </r>
  <r>
    <x v="300"/>
    <n v="22"/>
    <n v="4"/>
    <n v="1"/>
    <s v="Clothing"/>
    <s v="Stole"/>
    <x v="0"/>
    <x v="14"/>
  </r>
  <r>
    <x v="76"/>
    <n v="642"/>
    <n v="180"/>
    <n v="5"/>
    <s v="Clothing"/>
    <s v="Saree"/>
    <x v="0"/>
    <x v="0"/>
  </r>
  <r>
    <x v="244"/>
    <n v="767"/>
    <n v="-353"/>
    <n v="5"/>
    <s v="Clothing"/>
    <s v="Trousers"/>
    <x v="0"/>
    <x v="7"/>
  </r>
  <r>
    <x v="260"/>
    <n v="770"/>
    <n v="323"/>
    <n v="3"/>
    <s v="Electronics"/>
    <s v="Accessories"/>
    <x v="0"/>
    <x v="8"/>
  </r>
  <r>
    <x v="356"/>
    <n v="21"/>
    <n v="-17"/>
    <n v="3"/>
    <s v="Clothing"/>
    <s v="Shirt"/>
    <x v="0"/>
    <x v="0"/>
  </r>
  <r>
    <x v="305"/>
    <n v="21"/>
    <n v="-6"/>
    <n v="3"/>
    <s v="Clothing"/>
    <s v="Leggings"/>
    <x v="0"/>
    <x v="2"/>
  </r>
  <r>
    <x v="3"/>
    <n v="492"/>
    <n v="187"/>
    <n v="2"/>
    <s v="Electronics"/>
    <s v="Accessories"/>
    <x v="3"/>
    <x v="2"/>
  </r>
  <r>
    <x v="327"/>
    <n v="816"/>
    <n v="-96"/>
    <n v="3"/>
    <s v="Electronics"/>
    <s v="Printers"/>
    <x v="4"/>
    <x v="2"/>
  </r>
  <r>
    <x v="238"/>
    <n v="25"/>
    <n v="2"/>
    <n v="3"/>
    <s v="Clothing"/>
    <s v="Kurti"/>
    <x v="2"/>
    <x v="16"/>
  </r>
  <r>
    <x v="274"/>
    <n v="802"/>
    <n v="120"/>
    <n v="7"/>
    <s v="Electronics"/>
    <s v="Accessories"/>
    <x v="0"/>
    <x v="2"/>
  </r>
  <r>
    <x v="483"/>
    <n v="811"/>
    <n v="154"/>
    <n v="7"/>
    <s v="Electronics"/>
    <s v="Accessories"/>
    <x v="3"/>
    <x v="13"/>
  </r>
  <r>
    <x v="426"/>
    <n v="835"/>
    <n v="267"/>
    <n v="5"/>
    <s v="Electronics"/>
    <s v="Phones"/>
    <x v="4"/>
    <x v="2"/>
  </r>
  <r>
    <x v="247"/>
    <n v="21"/>
    <n v="-5"/>
    <n v="1"/>
    <s v="Electronics"/>
    <s v="Accessories"/>
    <x v="0"/>
    <x v="1"/>
  </r>
  <r>
    <x v="262"/>
    <n v="450"/>
    <n v="-190"/>
    <n v="4"/>
    <s v="Furniture"/>
    <s v="Bookcases"/>
    <x v="0"/>
    <x v="0"/>
  </r>
  <r>
    <x v="275"/>
    <n v="24"/>
    <n v="-1"/>
    <n v="4"/>
    <s v="Clothing"/>
    <s v="Skirt"/>
    <x v="2"/>
    <x v="0"/>
  </r>
  <r>
    <x v="484"/>
    <n v="832"/>
    <n v="0"/>
    <n v="3"/>
    <s v="Clothing"/>
    <s v="Trousers"/>
    <x v="3"/>
    <x v="5"/>
  </r>
  <r>
    <x v="329"/>
    <n v="833"/>
    <n v="93"/>
    <n v="3"/>
    <s v="Clothing"/>
    <s v="Trousers"/>
    <x v="3"/>
    <x v="13"/>
  </r>
  <r>
    <x v="485"/>
    <n v="20"/>
    <n v="6"/>
    <n v="1"/>
    <s v="Clothing"/>
    <s v="T-shirt"/>
    <x v="0"/>
    <x v="15"/>
  </r>
  <r>
    <x v="386"/>
    <n v="23"/>
    <n v="-5"/>
    <n v="7"/>
    <s v="Clothing"/>
    <s v="Hankerchief"/>
    <x v="2"/>
    <x v="5"/>
  </r>
  <r>
    <x v="139"/>
    <n v="550"/>
    <n v="-242"/>
    <n v="5"/>
    <s v="Furniture"/>
    <s v="Furnishings"/>
    <x v="3"/>
    <x v="0"/>
  </r>
  <r>
    <x v="312"/>
    <n v="148"/>
    <n v="-91"/>
    <n v="2"/>
    <s v="Electronics"/>
    <s v="Phones"/>
    <x v="0"/>
    <x v="13"/>
  </r>
  <r>
    <x v="146"/>
    <n v="846"/>
    <n v="9"/>
    <n v="2"/>
    <s v="Furniture"/>
    <s v="Chairs"/>
    <x v="4"/>
    <x v="1"/>
  </r>
  <r>
    <x v="57"/>
    <n v="856"/>
    <n v="385"/>
    <n v="6"/>
    <s v="Electronics"/>
    <s v="Printers"/>
    <x v="0"/>
    <x v="14"/>
  </r>
  <r>
    <x v="342"/>
    <n v="871"/>
    <n v="131"/>
    <n v="2"/>
    <s v="Furniture"/>
    <s v="Bookcases"/>
    <x v="3"/>
    <x v="8"/>
  </r>
  <r>
    <x v="179"/>
    <n v="19"/>
    <n v="-18"/>
    <n v="4"/>
    <s v="Clothing"/>
    <s v="Kurti"/>
    <x v="0"/>
    <x v="12"/>
  </r>
  <r>
    <x v="486"/>
    <n v="610"/>
    <n v="-66"/>
    <n v="2"/>
    <s v="Furniture"/>
    <s v="Tables"/>
    <x v="0"/>
    <x v="18"/>
  </r>
  <r>
    <x v="327"/>
    <n v="880"/>
    <n v="97"/>
    <n v="8"/>
    <s v="Furniture"/>
    <s v="Furnishings"/>
    <x v="4"/>
    <x v="2"/>
  </r>
  <r>
    <x v="101"/>
    <n v="22"/>
    <n v="-8"/>
    <n v="4"/>
    <s v="Clothing"/>
    <s v="Hankerchief"/>
    <x v="2"/>
    <x v="9"/>
  </r>
  <r>
    <x v="487"/>
    <n v="22"/>
    <n v="11"/>
    <n v="2"/>
    <s v="Clothing"/>
    <s v="Skirt"/>
    <x v="2"/>
    <x v="2"/>
  </r>
  <r>
    <x v="488"/>
    <n v="21"/>
    <n v="4"/>
    <n v="3"/>
    <s v="Clothing"/>
    <s v="Hankerchief"/>
    <x v="2"/>
    <x v="4"/>
  </r>
  <r>
    <x v="275"/>
    <n v="18"/>
    <n v="1"/>
    <n v="3"/>
    <s v="Clothing"/>
    <s v="Hankerchief"/>
    <x v="0"/>
    <x v="0"/>
  </r>
  <r>
    <x v="489"/>
    <n v="911"/>
    <n v="202"/>
    <n v="7"/>
    <s v="Furniture"/>
    <s v="Chairs"/>
    <x v="0"/>
    <x v="2"/>
  </r>
  <r>
    <x v="267"/>
    <n v="18"/>
    <n v="2"/>
    <n v="3"/>
    <s v="Clothing"/>
    <s v="Hankerchief"/>
    <x v="0"/>
    <x v="12"/>
  </r>
  <r>
    <x v="317"/>
    <n v="911"/>
    <n v="355"/>
    <n v="5"/>
    <s v="Electronics"/>
    <s v="Phones"/>
    <x v="4"/>
    <x v="0"/>
  </r>
  <r>
    <x v="197"/>
    <n v="143"/>
    <n v="-129"/>
    <n v="2"/>
    <s v="Electronics"/>
    <s v="Phones"/>
    <x v="0"/>
    <x v="13"/>
  </r>
  <r>
    <x v="100"/>
    <n v="918"/>
    <n v="22"/>
    <n v="9"/>
    <s v="Electronics"/>
    <s v="Electronic Games"/>
    <x v="0"/>
    <x v="6"/>
  </r>
  <r>
    <x v="104"/>
    <n v="925"/>
    <n v="-447"/>
    <n v="5"/>
    <s v="Electronics"/>
    <s v="Electronic Games"/>
    <x v="0"/>
    <x v="2"/>
  </r>
  <r>
    <x v="142"/>
    <n v="17"/>
    <n v="8"/>
    <n v="2"/>
    <s v="Clothing"/>
    <s v="Skirt"/>
    <x v="0"/>
    <x v="17"/>
  </r>
  <r>
    <x v="490"/>
    <n v="465"/>
    <n v="207"/>
    <n v="9"/>
    <s v="Clothing"/>
    <s v="Saree"/>
    <x v="0"/>
    <x v="2"/>
  </r>
  <r>
    <x v="118"/>
    <n v="17"/>
    <n v="-9"/>
    <n v="3"/>
    <s v="Clothing"/>
    <s v="Stole"/>
    <x v="0"/>
    <x v="2"/>
  </r>
  <r>
    <x v="102"/>
    <n v="935"/>
    <n v="114"/>
    <n v="4"/>
    <s v="Electronics"/>
    <s v="Electronic Games"/>
    <x v="3"/>
    <x v="0"/>
  </r>
  <r>
    <x v="89"/>
    <n v="16"/>
    <n v="-10"/>
    <n v="2"/>
    <s v="Clothing"/>
    <s v="T-shirt"/>
    <x v="0"/>
    <x v="0"/>
  </r>
  <r>
    <x v="2"/>
    <n v="954"/>
    <n v="95"/>
    <n v="3"/>
    <s v="Electronics"/>
    <s v="Printers"/>
    <x v="3"/>
    <x v="2"/>
  </r>
  <r>
    <x v="85"/>
    <n v="915"/>
    <n v="-99"/>
    <n v="3"/>
    <s v="Furniture"/>
    <s v="Tables"/>
    <x v="4"/>
    <x v="6"/>
  </r>
  <r>
    <x v="298"/>
    <n v="955"/>
    <n v="305"/>
    <n v="3"/>
    <s v="Electronics"/>
    <s v="Printers"/>
    <x v="4"/>
    <x v="0"/>
  </r>
  <r>
    <x v="37"/>
    <n v="976"/>
    <n v="293"/>
    <n v="4"/>
    <s v="Electronics"/>
    <s v="Accessories"/>
    <x v="0"/>
    <x v="0"/>
  </r>
  <r>
    <x v="312"/>
    <n v="1069"/>
    <n v="0"/>
    <n v="6"/>
    <s v="Clothing"/>
    <s v="Saree"/>
    <x v="1"/>
    <x v="13"/>
  </r>
  <r>
    <x v="258"/>
    <n v="19"/>
    <n v="-15"/>
    <n v="3"/>
    <s v="Clothing"/>
    <s v="Hankerchief"/>
    <x v="2"/>
    <x v="4"/>
  </r>
  <r>
    <x v="289"/>
    <n v="16"/>
    <n v="6"/>
    <n v="3"/>
    <s v="Clothing"/>
    <s v="Hankerchief"/>
    <x v="0"/>
    <x v="2"/>
  </r>
  <r>
    <x v="70"/>
    <n v="1030"/>
    <n v="206"/>
    <n v="8"/>
    <s v="Electronics"/>
    <s v="Printers"/>
    <x v="3"/>
    <x v="15"/>
  </r>
  <r>
    <x v="256"/>
    <n v="620"/>
    <n v="82"/>
    <n v="6"/>
    <s v="Electronics"/>
    <s v="Accessories"/>
    <x v="0"/>
    <x v="1"/>
  </r>
  <r>
    <x v="182"/>
    <n v="16"/>
    <n v="8"/>
    <n v="2"/>
    <s v="Clothing"/>
    <s v="Hankerchief"/>
    <x v="0"/>
    <x v="11"/>
  </r>
  <r>
    <x v="35"/>
    <n v="19"/>
    <n v="8"/>
    <n v="2"/>
    <s v="Clothing"/>
    <s v="Hankerchief"/>
    <x v="2"/>
    <x v="3"/>
  </r>
  <r>
    <x v="157"/>
    <n v="249"/>
    <n v="-130"/>
    <n v="4"/>
    <s v="Electronics"/>
    <s v="Phones"/>
    <x v="3"/>
    <x v="18"/>
  </r>
  <r>
    <x v="491"/>
    <n v="16"/>
    <n v="6"/>
    <n v="1"/>
    <s v="Clothing"/>
    <s v="Stole"/>
    <x v="0"/>
    <x v="1"/>
  </r>
  <r>
    <x v="97"/>
    <n v="1361"/>
    <n v="197"/>
    <n v="9"/>
    <s v="Furniture"/>
    <s v="Bookcases"/>
    <x v="0"/>
    <x v="0"/>
  </r>
  <r>
    <x v="92"/>
    <n v="15"/>
    <n v="1"/>
    <n v="1"/>
    <s v="Clothing"/>
    <s v="Shirt"/>
    <x v="0"/>
    <x v="3"/>
  </r>
  <r>
    <x v="233"/>
    <n v="1076"/>
    <n v="-38"/>
    <n v="4"/>
    <s v="Electronics"/>
    <s v="Printers"/>
    <x v="0"/>
    <x v="12"/>
  </r>
  <r>
    <x v="127"/>
    <n v="18"/>
    <n v="2"/>
    <n v="3"/>
    <s v="Clothing"/>
    <s v="Hankerchief"/>
    <x v="2"/>
    <x v="13"/>
  </r>
  <r>
    <x v="492"/>
    <n v="1101"/>
    <n v="352"/>
    <n v="3"/>
    <s v="Furniture"/>
    <s v="Bookcases"/>
    <x v="3"/>
    <x v="15"/>
  </r>
  <r>
    <x v="148"/>
    <n v="15"/>
    <n v="2"/>
    <n v="1"/>
    <s v="Clothing"/>
    <s v="Leggings"/>
    <x v="0"/>
    <x v="13"/>
  </r>
  <r>
    <x v="30"/>
    <n v="1104"/>
    <n v="209"/>
    <n v="4"/>
    <s v="Clothing"/>
    <s v="Trousers"/>
    <x v="3"/>
    <x v="2"/>
  </r>
  <r>
    <x v="123"/>
    <n v="14"/>
    <n v="2"/>
    <n v="1"/>
    <s v="Clothing"/>
    <s v="Hankerchief"/>
    <x v="0"/>
    <x v="16"/>
  </r>
  <r>
    <x v="74"/>
    <n v="14"/>
    <n v="5"/>
    <n v="1"/>
    <s v="Clothing"/>
    <s v="Hankerchief"/>
    <x v="0"/>
    <x v="0"/>
  </r>
  <r>
    <x v="230"/>
    <n v="14"/>
    <n v="-3"/>
    <n v="2"/>
    <s v="Clothing"/>
    <s v="Leggings"/>
    <x v="0"/>
    <x v="2"/>
  </r>
  <r>
    <x v="7"/>
    <n v="14"/>
    <n v="-1"/>
    <n v="4"/>
    <s v="Clothing"/>
    <s v="Kurti"/>
    <x v="0"/>
    <x v="2"/>
  </r>
  <r>
    <x v="36"/>
    <n v="13"/>
    <n v="-8"/>
    <n v="1"/>
    <s v="Clothing"/>
    <s v="T-shirt"/>
    <x v="0"/>
    <x v="2"/>
  </r>
  <r>
    <x v="93"/>
    <n v="13"/>
    <n v="-1"/>
    <n v="3"/>
    <s v="Clothing"/>
    <s v="Hankerchief"/>
    <x v="0"/>
    <x v="2"/>
  </r>
  <r>
    <x v="314"/>
    <n v="1275"/>
    <n v="1148"/>
    <n v="7"/>
    <s v="Furniture"/>
    <s v="Bookcases"/>
    <x v="1"/>
    <x v="7"/>
  </r>
  <r>
    <x v="135"/>
    <n v="17"/>
    <n v="1"/>
    <n v="2"/>
    <s v="Clothing"/>
    <s v="Skirt"/>
    <x v="2"/>
    <x v="4"/>
  </r>
  <r>
    <x v="24"/>
    <n v="13"/>
    <n v="0"/>
    <n v="2"/>
    <s v="Clothing"/>
    <s v="Hankerchief"/>
    <x v="0"/>
    <x v="8"/>
  </r>
  <r>
    <x v="203"/>
    <n v="1270"/>
    <n v="546"/>
    <n v="11"/>
    <s v="Electronics"/>
    <s v="Electronic Games"/>
    <x v="1"/>
    <x v="2"/>
  </r>
  <r>
    <x v="106"/>
    <n v="13"/>
    <n v="-2"/>
    <n v="1"/>
    <s v="Clothing"/>
    <s v="Stole"/>
    <x v="0"/>
    <x v="16"/>
  </r>
  <r>
    <x v="493"/>
    <n v="13"/>
    <n v="3"/>
    <n v="1"/>
    <s v="Clothing"/>
    <s v="Leggings"/>
    <x v="0"/>
    <x v="8"/>
  </r>
  <r>
    <x v="350"/>
    <n v="17"/>
    <n v="5"/>
    <n v="1"/>
    <s v="Clothing"/>
    <s v="Hankerchief"/>
    <x v="3"/>
    <x v="2"/>
  </r>
  <r>
    <x v="82"/>
    <n v="13"/>
    <n v="-13"/>
    <n v="2"/>
    <s v="Clothing"/>
    <s v="Skirt"/>
    <x v="0"/>
    <x v="0"/>
  </r>
  <r>
    <x v="339"/>
    <n v="13"/>
    <n v="-9"/>
    <n v="2"/>
    <s v="Clothing"/>
    <s v="Skirt"/>
    <x v="0"/>
    <x v="2"/>
  </r>
  <r>
    <x v="126"/>
    <n v="1263"/>
    <n v="-56"/>
    <n v="5"/>
    <s v="Clothing"/>
    <s v="Trousers"/>
    <x v="1"/>
    <x v="6"/>
  </r>
  <r>
    <x v="494"/>
    <n v="1629"/>
    <n v="-153"/>
    <n v="3"/>
    <s v="Electronics"/>
    <s v="Phones"/>
    <x v="0"/>
    <x v="0"/>
  </r>
  <r>
    <x v="74"/>
    <n v="17"/>
    <n v="7"/>
    <n v="3"/>
    <s v="Clothing"/>
    <s v="Hankerchief"/>
    <x v="3"/>
    <x v="0"/>
  </r>
  <r>
    <x v="34"/>
    <n v="17"/>
    <n v="2"/>
    <n v="2"/>
    <s v="Clothing"/>
    <s v="Skirt"/>
    <x v="3"/>
    <x v="0"/>
  </r>
  <r>
    <x v="1"/>
    <n v="1250"/>
    <n v="-12"/>
    <n v="2"/>
    <s v="Electronics"/>
    <s v="Printers"/>
    <x v="1"/>
    <x v="1"/>
  </r>
  <r>
    <x v="16"/>
    <n v="17"/>
    <n v="-11"/>
    <n v="3"/>
    <s v="Clothing"/>
    <s v="Skirt"/>
    <x v="3"/>
    <x v="1"/>
  </r>
  <r>
    <x v="353"/>
    <n v="977"/>
    <n v="-244"/>
    <n v="7"/>
    <s v="Electronics"/>
    <s v="Phones"/>
    <x v="0"/>
    <x v="6"/>
  </r>
  <r>
    <x v="495"/>
    <n v="1246"/>
    <n v="62"/>
    <n v="3"/>
    <s v="Furniture"/>
    <s v="Bookcases"/>
    <x v="1"/>
    <x v="13"/>
  </r>
  <r>
    <x v="268"/>
    <n v="12"/>
    <n v="1"/>
    <n v="2"/>
    <s v="Clothing"/>
    <s v="Hankerchief"/>
    <x v="0"/>
    <x v="0"/>
  </r>
  <r>
    <x v="89"/>
    <n v="11"/>
    <n v="-4"/>
    <n v="2"/>
    <s v="Clothing"/>
    <s v="Skirt"/>
    <x v="0"/>
    <x v="0"/>
  </r>
  <r>
    <x v="87"/>
    <n v="1327"/>
    <n v="318"/>
    <n v="8"/>
    <s v="Furniture"/>
    <s v="Chairs"/>
    <x v="1"/>
    <x v="5"/>
  </r>
  <r>
    <x v="139"/>
    <n v="1319"/>
    <n v="567"/>
    <n v="5"/>
    <s v="Electronics"/>
    <s v="Printers"/>
    <x v="0"/>
    <x v="0"/>
  </r>
  <r>
    <x v="275"/>
    <n v="1402"/>
    <n v="109"/>
    <n v="11"/>
    <s v="Clothing"/>
    <s v="Saree"/>
    <x v="1"/>
    <x v="0"/>
  </r>
  <r>
    <x v="221"/>
    <n v="1514"/>
    <n v="742"/>
    <n v="4"/>
    <s v="Electronics"/>
    <s v="Printers"/>
    <x v="1"/>
    <x v="0"/>
  </r>
  <r>
    <x v="5"/>
    <n v="1351"/>
    <n v="111"/>
    <n v="6"/>
    <s v="Electronics"/>
    <s v="Electronic Games"/>
    <x v="0"/>
    <x v="1"/>
  </r>
  <r>
    <x v="117"/>
    <n v="1355"/>
    <n v="-60"/>
    <n v="5"/>
    <s v="Clothing"/>
    <s v="Trousers"/>
    <x v="0"/>
    <x v="0"/>
  </r>
  <r>
    <x v="9"/>
    <n v="10"/>
    <n v="2"/>
    <n v="2"/>
    <s v="Clothing"/>
    <s v="Hankerchief"/>
    <x v="0"/>
    <x v="5"/>
  </r>
  <r>
    <x v="33"/>
    <n v="10"/>
    <n v="-2"/>
    <n v="2"/>
    <s v="Clothing"/>
    <s v="Leggings"/>
    <x v="0"/>
    <x v="7"/>
  </r>
  <r>
    <x v="496"/>
    <n v="1582"/>
    <n v="-443"/>
    <n v="6"/>
    <s v="Clothing"/>
    <s v="Trousers"/>
    <x v="1"/>
    <x v="3"/>
  </r>
  <r>
    <x v="101"/>
    <n v="1218"/>
    <n v="352"/>
    <n v="9"/>
    <s v="Furniture"/>
    <s v="Bookcases"/>
    <x v="1"/>
    <x v="9"/>
  </r>
  <r>
    <x v="40"/>
    <n v="321"/>
    <n v="315"/>
    <n v="5"/>
    <s v="Clothing"/>
    <s v="Saree"/>
    <x v="3"/>
    <x v="10"/>
  </r>
  <r>
    <x v="175"/>
    <n v="736"/>
    <n v="346"/>
    <n v="5"/>
    <s v="Electronics"/>
    <s v="Printers"/>
    <x v="0"/>
    <x v="10"/>
  </r>
  <r>
    <x v="1"/>
    <n v="1218"/>
    <n v="-420"/>
    <n v="8"/>
    <s v="Furniture"/>
    <s v="Bookcases"/>
    <x v="0"/>
    <x v="1"/>
  </r>
  <r>
    <x v="139"/>
    <n v="1027"/>
    <n v="441"/>
    <n v="8"/>
    <s v="Clothing"/>
    <s v="Saree"/>
    <x v="0"/>
    <x v="0"/>
  </r>
  <r>
    <x v="223"/>
    <n v="10"/>
    <n v="5"/>
    <n v="1"/>
    <s v="Clothing"/>
    <s v="Stole"/>
    <x v="0"/>
    <x v="8"/>
  </r>
  <r>
    <x v="426"/>
    <n v="2366"/>
    <n v="552"/>
    <n v="5"/>
    <s v="Clothing"/>
    <s v="Trousers"/>
    <x v="3"/>
    <x v="2"/>
  </r>
  <r>
    <x v="276"/>
    <n v="9"/>
    <n v="-6"/>
    <n v="2"/>
    <s v="Clothing"/>
    <s v="Hankerchief"/>
    <x v="0"/>
    <x v="16"/>
  </r>
  <r>
    <x v="39"/>
    <n v="16"/>
    <n v="-12"/>
    <n v="2"/>
    <s v="Clothing"/>
    <s v="Stole"/>
    <x v="3"/>
    <x v="2"/>
  </r>
  <r>
    <x v="426"/>
    <n v="9"/>
    <n v="3"/>
    <n v="1"/>
    <s v="Clothing"/>
    <s v="Skirt"/>
    <x v="0"/>
    <x v="2"/>
  </r>
  <r>
    <x v="497"/>
    <n v="1560"/>
    <n v="421"/>
    <n v="3"/>
    <s v="Clothing"/>
    <s v="Trousers"/>
    <x v="0"/>
    <x v="10"/>
  </r>
  <r>
    <x v="164"/>
    <n v="1137"/>
    <n v="568"/>
    <n v="2"/>
    <s v="Clothing"/>
    <s v="Trousers"/>
    <x v="1"/>
    <x v="7"/>
  </r>
  <r>
    <x v="252"/>
    <n v="9"/>
    <n v="-9"/>
    <n v="2"/>
    <s v="Clothing"/>
    <s v="Kurti"/>
    <x v="0"/>
    <x v="17"/>
  </r>
  <r>
    <x v="19"/>
    <n v="15"/>
    <n v="-7"/>
    <n v="1"/>
    <s v="Clothing"/>
    <s v="Hankerchief"/>
    <x v="3"/>
    <x v="1"/>
  </r>
  <r>
    <x v="35"/>
    <n v="14"/>
    <n v="5"/>
    <n v="1"/>
    <s v="Clothing"/>
    <s v="Hankerchief"/>
    <x v="3"/>
    <x v="3"/>
  </r>
  <r>
    <x v="137"/>
    <n v="14"/>
    <n v="7"/>
    <n v="2"/>
    <s v="Clothing"/>
    <s v="Hankerchief"/>
    <x v="3"/>
    <x v="3"/>
  </r>
  <r>
    <x v="97"/>
    <n v="8"/>
    <n v="-2"/>
    <n v="2"/>
    <s v="Clothing"/>
    <s v="Hankerchief"/>
    <x v="0"/>
    <x v="0"/>
  </r>
  <r>
    <x v="93"/>
    <n v="1389"/>
    <n v="680"/>
    <n v="7"/>
    <s v="Clothing"/>
    <s v="Saree"/>
    <x v="0"/>
    <x v="2"/>
  </r>
  <r>
    <x v="294"/>
    <n v="8"/>
    <n v="-1"/>
    <n v="2"/>
    <s v="Clothing"/>
    <s v="Leggings"/>
    <x v="0"/>
    <x v="6"/>
  </r>
  <r>
    <x v="498"/>
    <n v="8"/>
    <n v="-2"/>
    <n v="1"/>
    <s v="Clothing"/>
    <s v="Stole"/>
    <x v="0"/>
    <x v="11"/>
  </r>
  <r>
    <x v="21"/>
    <n v="13"/>
    <n v="4"/>
    <n v="1"/>
    <s v="Clothing"/>
    <s v="Leggings"/>
    <x v="3"/>
    <x v="0"/>
  </r>
  <r>
    <x v="499"/>
    <n v="8"/>
    <n v="-6"/>
    <n v="1"/>
    <s v="Clothing"/>
    <s v="Stole"/>
    <x v="0"/>
    <x v="2"/>
  </r>
  <r>
    <x v="44"/>
    <n v="12"/>
    <n v="2"/>
    <n v="2"/>
    <s v="Clothing"/>
    <s v="Skirt"/>
    <x v="2"/>
    <x v="2"/>
  </r>
  <r>
    <x v="2"/>
    <n v="1716"/>
    <n v="309"/>
    <n v="7"/>
    <s v="Electronics"/>
    <s v="Accessories"/>
    <x v="0"/>
    <x v="2"/>
  </r>
  <r>
    <x v="253"/>
    <n v="1117"/>
    <n v="447"/>
    <n v="10"/>
    <s v="Furniture"/>
    <s v="Bookcases"/>
    <x v="1"/>
    <x v="15"/>
  </r>
  <r>
    <x v="15"/>
    <n v="9"/>
    <n v="-6"/>
    <n v="2"/>
    <s v="Clothing"/>
    <s v="Skirt"/>
    <x v="2"/>
    <x v="0"/>
  </r>
  <r>
    <x v="28"/>
    <n v="332"/>
    <n v="503"/>
    <n v="3"/>
    <s v="Electronics"/>
    <s v="Printers"/>
    <x v="0"/>
    <x v="11"/>
  </r>
  <r>
    <x v="15"/>
    <n v="7"/>
    <n v="-4"/>
    <n v="3"/>
    <s v="Clothing"/>
    <s v="Hankerchief"/>
    <x v="0"/>
    <x v="0"/>
  </r>
  <r>
    <x v="314"/>
    <n v="8"/>
    <n v="-2"/>
    <n v="3"/>
    <s v="Clothing"/>
    <s v="Hankerchief"/>
    <x v="2"/>
    <x v="7"/>
  </r>
  <r>
    <x v="363"/>
    <n v="2061"/>
    <n v="701"/>
    <n v="5"/>
    <s v="Furniture"/>
    <s v="Bookcases"/>
    <x v="3"/>
    <x v="12"/>
  </r>
  <r>
    <x v="438"/>
    <n v="1103"/>
    <n v="276"/>
    <n v="3"/>
    <s v="Furniture"/>
    <s v="Chairs"/>
    <x v="1"/>
    <x v="2"/>
  </r>
  <r>
    <x v="278"/>
    <n v="2103"/>
    <n v="322"/>
    <n v="8"/>
    <s v="Electronics"/>
    <s v="Electronic Games"/>
    <x v="3"/>
    <x v="2"/>
  </r>
  <r>
    <x v="5"/>
    <n v="2115"/>
    <n v="23"/>
    <n v="5"/>
    <s v="Furniture"/>
    <s v="Chairs"/>
    <x v="0"/>
    <x v="1"/>
  </r>
  <r>
    <x v="20"/>
    <n v="850"/>
    <n v="-289"/>
    <n v="5"/>
    <s v="Electronics"/>
    <s v="Electronic Games"/>
    <x v="0"/>
    <x v="8"/>
  </r>
  <r>
    <x v="25"/>
    <n v="1063"/>
    <n v="64"/>
    <n v="7"/>
    <s v="Electronics"/>
    <s v="Phones"/>
    <x v="1"/>
    <x v="11"/>
  </r>
  <r>
    <x v="446"/>
    <n v="1063"/>
    <n v="-175"/>
    <n v="4"/>
    <s v="Electronics"/>
    <s v="Electronic Games"/>
    <x v="1"/>
    <x v="2"/>
  </r>
  <r>
    <x v="289"/>
    <n v="2292"/>
    <n v="127"/>
    <n v="7"/>
    <s v="Furniture"/>
    <s v="Bookcases"/>
    <x v="0"/>
    <x v="2"/>
  </r>
  <r>
    <x v="258"/>
    <n v="7"/>
    <n v="-1"/>
    <n v="2"/>
    <s v="Clothing"/>
    <s v="Hankerchief"/>
    <x v="2"/>
    <x v="4"/>
  </r>
  <r>
    <x v="404"/>
    <n v="2452"/>
    <n v="191"/>
    <n v="7"/>
    <s v="Furniture"/>
    <s v="Bookcases"/>
    <x v="3"/>
    <x v="7"/>
  </r>
  <r>
    <x v="155"/>
    <n v="2457"/>
    <n v="665"/>
    <n v="11"/>
    <s v="Electronics"/>
    <s v="Electronic Games"/>
    <x v="1"/>
    <x v="2"/>
  </r>
  <r>
    <x v="69"/>
    <n v="4"/>
    <n v="-3"/>
    <n v="1"/>
    <s v="Clothing"/>
    <s v="Skirt"/>
    <x v="2"/>
    <x v="4"/>
  </r>
  <r>
    <x v="176"/>
    <n v="2830"/>
    <n v="-1981"/>
    <n v="13"/>
    <s v="Furniture"/>
    <s v="Bookcases"/>
    <x v="1"/>
    <x v="9"/>
  </r>
  <r>
    <x v="154"/>
    <n v="7"/>
    <n v="1"/>
    <n v="1"/>
    <s v="Clothing"/>
    <s v="Hankerchief"/>
    <x v="0"/>
    <x v="0"/>
  </r>
  <r>
    <x v="406"/>
    <n v="7"/>
    <n v="0"/>
    <n v="2"/>
    <s v="Clothing"/>
    <s v="Skirt"/>
    <x v="0"/>
    <x v="2"/>
  </r>
  <r>
    <x v="236"/>
    <n v="7"/>
    <n v="-3"/>
    <n v="2"/>
    <s v="Clothing"/>
    <s v="Hankerchief"/>
    <x v="0"/>
    <x v="2"/>
  </r>
  <r>
    <x v="74"/>
    <n v="3151"/>
    <n v="-35"/>
    <n v="7"/>
    <s v="Clothing"/>
    <s v="Trousers"/>
    <x v="1"/>
    <x v="0"/>
  </r>
  <r>
    <x v="193"/>
    <n v="4141"/>
    <n v="1698"/>
    <n v="13"/>
    <s v="Electronics"/>
    <s v="Printers"/>
    <x v="0"/>
    <x v="1"/>
  </r>
  <r>
    <x v="150"/>
    <n v="7"/>
    <n v="-2"/>
    <n v="1"/>
    <s v="Clothing"/>
    <s v="Hankerchief"/>
    <x v="0"/>
    <x v="14"/>
  </r>
  <r>
    <x v="132"/>
    <n v="4363"/>
    <n v="305"/>
    <n v="5"/>
    <s v="Furniture"/>
    <s v="Tables"/>
    <x v="1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n v="1096"/>
    <n v="658"/>
    <n v="7"/>
    <s v="Electronics"/>
    <x v="0"/>
    <x v="0"/>
    <x v="0"/>
    <x v="0"/>
  </r>
  <r>
    <x v="1"/>
    <n v="5729"/>
    <n v="64"/>
    <n v="14"/>
    <s v="Furniture"/>
    <x v="1"/>
    <x v="1"/>
    <x v="1"/>
    <x v="1"/>
  </r>
  <r>
    <x v="2"/>
    <n v="2927"/>
    <n v="146"/>
    <n v="8"/>
    <s v="Furniture"/>
    <x v="2"/>
    <x v="1"/>
    <x v="2"/>
    <x v="2"/>
  </r>
  <r>
    <x v="3"/>
    <n v="2847"/>
    <n v="712"/>
    <n v="8"/>
    <s v="Electronics"/>
    <x v="3"/>
    <x v="2"/>
    <x v="2"/>
    <x v="2"/>
  </r>
  <r>
    <x v="4"/>
    <n v="2617"/>
    <n v="1151"/>
    <n v="4"/>
    <s v="Electronics"/>
    <x v="4"/>
    <x v="2"/>
    <x v="2"/>
    <x v="2"/>
  </r>
  <r>
    <x v="5"/>
    <n v="2244"/>
    <n v="247"/>
    <n v="4"/>
    <s v="Clothing"/>
    <x v="5"/>
    <x v="2"/>
    <x v="1"/>
    <x v="1"/>
  </r>
  <r>
    <x v="6"/>
    <n v="275"/>
    <n v="-275"/>
    <n v="4"/>
    <s v="Clothing"/>
    <x v="6"/>
    <x v="0"/>
    <x v="3"/>
    <x v="3"/>
  </r>
  <r>
    <x v="7"/>
    <n v="387"/>
    <n v="-213"/>
    <n v="5"/>
    <s v="Clothing"/>
    <x v="6"/>
    <x v="3"/>
    <x v="2"/>
    <x v="4"/>
  </r>
  <r>
    <x v="8"/>
    <n v="50"/>
    <n v="-44"/>
    <n v="2"/>
    <s v="Clothing"/>
    <x v="7"/>
    <x v="3"/>
    <x v="4"/>
    <x v="5"/>
  </r>
  <r>
    <x v="9"/>
    <n v="135"/>
    <n v="-54"/>
    <n v="5"/>
    <s v="Clothing"/>
    <x v="8"/>
    <x v="0"/>
    <x v="5"/>
    <x v="6"/>
  </r>
  <r>
    <x v="10"/>
    <n v="231"/>
    <n v="-190"/>
    <n v="9"/>
    <s v="Clothing"/>
    <x v="7"/>
    <x v="0"/>
    <x v="0"/>
    <x v="0"/>
  </r>
  <r>
    <x v="11"/>
    <n v="2125"/>
    <n v="-234"/>
    <n v="6"/>
    <s v="Electronics"/>
    <x v="3"/>
    <x v="1"/>
    <x v="1"/>
    <x v="7"/>
  </r>
  <r>
    <x v="12"/>
    <n v="3873"/>
    <n v="-891"/>
    <n v="6"/>
    <s v="Electronics"/>
    <x v="4"/>
    <x v="2"/>
    <x v="2"/>
    <x v="4"/>
  </r>
  <r>
    <x v="13"/>
    <n v="729"/>
    <n v="-492"/>
    <n v="5"/>
    <s v="Furniture"/>
    <x v="2"/>
    <x v="3"/>
    <x v="2"/>
    <x v="4"/>
  </r>
  <r>
    <x v="14"/>
    <n v="2188"/>
    <n v="1050"/>
    <n v="5"/>
    <s v="Furniture"/>
    <x v="2"/>
    <x v="2"/>
    <x v="1"/>
    <x v="1"/>
  </r>
  <r>
    <x v="15"/>
    <n v="6"/>
    <n v="-3"/>
    <n v="1"/>
    <s v="Clothing"/>
    <x v="7"/>
    <x v="3"/>
    <x v="0"/>
    <x v="0"/>
  </r>
  <r>
    <x v="16"/>
    <n v="1854"/>
    <n v="433"/>
    <n v="5"/>
    <s v="Furniture"/>
    <x v="2"/>
    <x v="2"/>
    <x v="1"/>
    <x v="1"/>
  </r>
  <r>
    <x v="17"/>
    <n v="6"/>
    <n v="1"/>
    <n v="1"/>
    <s v="Clothing"/>
    <x v="8"/>
    <x v="3"/>
    <x v="6"/>
    <x v="8"/>
  </r>
  <r>
    <x v="18"/>
    <n v="2093"/>
    <n v="721"/>
    <n v="5"/>
    <s v="Furniture"/>
    <x v="1"/>
    <x v="2"/>
    <x v="7"/>
    <x v="9"/>
  </r>
  <r>
    <x v="19"/>
    <n v="7"/>
    <n v="-1"/>
    <n v="2"/>
    <s v="Clothing"/>
    <x v="9"/>
    <x v="3"/>
    <x v="1"/>
    <x v="10"/>
  </r>
  <r>
    <x v="20"/>
    <n v="1622"/>
    <n v="-624"/>
    <n v="5"/>
    <s v="Furniture"/>
    <x v="10"/>
    <x v="2"/>
    <x v="8"/>
    <x v="11"/>
  </r>
  <r>
    <x v="21"/>
    <n v="1622"/>
    <n v="95"/>
    <n v="5"/>
    <s v="Electronics"/>
    <x v="3"/>
    <x v="2"/>
    <x v="0"/>
    <x v="0"/>
  </r>
  <r>
    <x v="22"/>
    <n v="373"/>
    <n v="254"/>
    <n v="6"/>
    <s v="Electronics"/>
    <x v="3"/>
    <x v="3"/>
    <x v="9"/>
    <x v="12"/>
  </r>
  <r>
    <x v="23"/>
    <n v="82"/>
    <n v="-33"/>
    <n v="4"/>
    <s v="Clothing"/>
    <x v="8"/>
    <x v="0"/>
    <x v="10"/>
    <x v="13"/>
  </r>
  <r>
    <x v="24"/>
    <n v="8"/>
    <n v="2"/>
    <n v="2"/>
    <s v="Clothing"/>
    <x v="9"/>
    <x v="3"/>
    <x v="8"/>
    <x v="11"/>
  </r>
  <r>
    <x v="25"/>
    <n v="1954"/>
    <n v="782"/>
    <n v="3"/>
    <s v="Electronics"/>
    <x v="4"/>
    <x v="2"/>
    <x v="11"/>
    <x v="14"/>
  </r>
  <r>
    <x v="26"/>
    <n v="1543"/>
    <n v="370"/>
    <n v="8"/>
    <s v="Electronics"/>
    <x v="3"/>
    <x v="2"/>
    <x v="2"/>
    <x v="2"/>
  </r>
  <r>
    <x v="27"/>
    <n v="1506"/>
    <n v="-266"/>
    <n v="6"/>
    <s v="Electronics"/>
    <x v="3"/>
    <x v="2"/>
    <x v="2"/>
    <x v="4"/>
  </r>
  <r>
    <x v="28"/>
    <n v="1829"/>
    <n v="-56"/>
    <n v="6"/>
    <s v="Furniture"/>
    <x v="10"/>
    <x v="2"/>
    <x v="11"/>
    <x v="14"/>
  </r>
  <r>
    <x v="29"/>
    <n v="9"/>
    <n v="-1"/>
    <n v="3"/>
    <s v="Clothing"/>
    <x v="9"/>
    <x v="3"/>
    <x v="12"/>
    <x v="15"/>
  </r>
  <r>
    <x v="30"/>
    <n v="1461"/>
    <n v="202"/>
    <n v="5"/>
    <s v="Furniture"/>
    <x v="10"/>
    <x v="1"/>
    <x v="2"/>
    <x v="2"/>
  </r>
  <r>
    <x v="31"/>
    <n v="391"/>
    <n v="113"/>
    <n v="8"/>
    <s v="Clothing"/>
    <x v="11"/>
    <x v="0"/>
    <x v="9"/>
    <x v="12"/>
  </r>
  <r>
    <x v="32"/>
    <n v="1824"/>
    <n v="1303"/>
    <n v="8"/>
    <s v="Electronics"/>
    <x v="4"/>
    <x v="2"/>
    <x v="13"/>
    <x v="16"/>
  </r>
  <r>
    <x v="33"/>
    <n v="16"/>
    <n v="-15"/>
    <n v="4"/>
    <s v="Clothing"/>
    <x v="7"/>
    <x v="3"/>
    <x v="7"/>
    <x v="17"/>
  </r>
  <r>
    <x v="34"/>
    <n v="1745"/>
    <n v="122"/>
    <n v="2"/>
    <s v="Furniture"/>
    <x v="10"/>
    <x v="2"/>
    <x v="0"/>
    <x v="18"/>
  </r>
  <r>
    <x v="35"/>
    <n v="663"/>
    <n v="-212"/>
    <n v="5"/>
    <s v="Electronics"/>
    <x v="3"/>
    <x v="3"/>
    <x v="3"/>
    <x v="3"/>
  </r>
  <r>
    <x v="36"/>
    <n v="10"/>
    <n v="-1"/>
    <n v="1"/>
    <s v="Clothing"/>
    <x v="12"/>
    <x v="3"/>
    <x v="2"/>
    <x v="2"/>
  </r>
  <r>
    <x v="37"/>
    <n v="1630"/>
    <n v="802"/>
    <n v="5"/>
    <s v="Furniture"/>
    <x v="10"/>
    <x v="1"/>
    <x v="0"/>
    <x v="0"/>
  </r>
  <r>
    <x v="38"/>
    <n v="12"/>
    <n v="0"/>
    <n v="2"/>
    <s v="Clothing"/>
    <x v="7"/>
    <x v="3"/>
    <x v="9"/>
    <x v="12"/>
  </r>
  <r>
    <x v="39"/>
    <n v="12"/>
    <n v="-7"/>
    <n v="2"/>
    <s v="Clothing"/>
    <x v="12"/>
    <x v="3"/>
    <x v="2"/>
    <x v="4"/>
  </r>
  <r>
    <x v="40"/>
    <n v="1709"/>
    <n v="564"/>
    <n v="3"/>
    <s v="Clothing"/>
    <x v="5"/>
    <x v="2"/>
    <x v="10"/>
    <x v="13"/>
  </r>
  <r>
    <x v="41"/>
    <n v="12"/>
    <n v="3"/>
    <n v="1"/>
    <s v="Clothing"/>
    <x v="11"/>
    <x v="3"/>
    <x v="14"/>
    <x v="19"/>
  </r>
  <r>
    <x v="0"/>
    <n v="1625"/>
    <n v="-77"/>
    <n v="3"/>
    <s v="Electronics"/>
    <x v="4"/>
    <x v="1"/>
    <x v="0"/>
    <x v="0"/>
  </r>
  <r>
    <x v="42"/>
    <n v="13"/>
    <n v="5"/>
    <n v="2"/>
    <s v="Clothing"/>
    <x v="7"/>
    <x v="3"/>
    <x v="0"/>
    <x v="0"/>
  </r>
  <r>
    <x v="43"/>
    <n v="1361"/>
    <n v="980"/>
    <n v="3"/>
    <s v="Furniture"/>
    <x v="10"/>
    <x v="0"/>
    <x v="2"/>
    <x v="2"/>
  </r>
  <r>
    <x v="44"/>
    <n v="1622"/>
    <n v="-448"/>
    <n v="3"/>
    <s v="Electronics"/>
    <x v="4"/>
    <x v="1"/>
    <x v="2"/>
    <x v="2"/>
  </r>
  <r>
    <x v="45"/>
    <n v="1547"/>
    <n v="340"/>
    <n v="6"/>
    <s v="Electronics"/>
    <x v="13"/>
    <x v="1"/>
    <x v="7"/>
    <x v="9"/>
  </r>
  <r>
    <x v="46"/>
    <n v="1657"/>
    <n v="460"/>
    <n v="4"/>
    <s v="Furniture"/>
    <x v="1"/>
    <x v="2"/>
    <x v="5"/>
    <x v="6"/>
  </r>
  <r>
    <x v="47"/>
    <n v="1603"/>
    <n v="0"/>
    <n v="9"/>
    <s v="Clothing"/>
    <x v="6"/>
    <x v="2"/>
    <x v="15"/>
    <x v="16"/>
  </r>
  <r>
    <x v="48"/>
    <n v="1549"/>
    <n v="-439"/>
    <n v="4"/>
    <s v="Electronics"/>
    <x v="4"/>
    <x v="2"/>
    <x v="0"/>
    <x v="18"/>
  </r>
  <r>
    <x v="49"/>
    <n v="1183"/>
    <n v="106"/>
    <n v="4"/>
    <s v="Electronics"/>
    <x v="3"/>
    <x v="1"/>
    <x v="12"/>
    <x v="15"/>
  </r>
  <r>
    <x v="15"/>
    <n v="74"/>
    <n v="-123"/>
    <n v="8"/>
    <s v="Clothing"/>
    <x v="9"/>
    <x v="3"/>
    <x v="0"/>
    <x v="0"/>
  </r>
  <r>
    <x v="50"/>
    <n v="1499"/>
    <n v="239"/>
    <n v="13"/>
    <s v="Clothing"/>
    <x v="6"/>
    <x v="2"/>
    <x v="6"/>
    <x v="8"/>
  </r>
  <r>
    <x v="51"/>
    <n v="1120"/>
    <n v="199"/>
    <n v="6"/>
    <s v="Clothing"/>
    <x v="6"/>
    <x v="1"/>
    <x v="13"/>
    <x v="16"/>
  </r>
  <r>
    <x v="52"/>
    <n v="15"/>
    <n v="-2"/>
    <n v="1"/>
    <s v="Clothing"/>
    <x v="14"/>
    <x v="4"/>
    <x v="0"/>
    <x v="18"/>
  </r>
  <r>
    <x v="53"/>
    <n v="1487"/>
    <n v="624"/>
    <n v="3"/>
    <s v="Clothing"/>
    <x v="5"/>
    <x v="2"/>
    <x v="13"/>
    <x v="16"/>
  </r>
  <r>
    <x v="54"/>
    <n v="1118"/>
    <n v="206"/>
    <n v="2"/>
    <s v="Furniture"/>
    <x v="10"/>
    <x v="2"/>
    <x v="16"/>
    <x v="20"/>
  </r>
  <r>
    <x v="55"/>
    <n v="11"/>
    <n v="-5"/>
    <n v="2"/>
    <s v="Clothing"/>
    <x v="7"/>
    <x v="0"/>
    <x v="3"/>
    <x v="3"/>
  </r>
  <r>
    <x v="56"/>
    <n v="15"/>
    <n v="4"/>
    <n v="1"/>
    <s v="Clothing"/>
    <x v="7"/>
    <x v="4"/>
    <x v="6"/>
    <x v="8"/>
  </r>
  <r>
    <x v="57"/>
    <n v="1364"/>
    <n v="1864"/>
    <n v="5"/>
    <s v="Furniture"/>
    <x v="10"/>
    <x v="2"/>
    <x v="14"/>
    <x v="19"/>
  </r>
  <r>
    <x v="58"/>
    <n v="1337"/>
    <n v="147"/>
    <n v="7"/>
    <s v="Electronics"/>
    <x v="3"/>
    <x v="2"/>
    <x v="17"/>
    <x v="21"/>
  </r>
  <r>
    <x v="59"/>
    <n v="15"/>
    <n v="2"/>
    <n v="1"/>
    <s v="Clothing"/>
    <x v="12"/>
    <x v="4"/>
    <x v="13"/>
    <x v="22"/>
  </r>
  <r>
    <x v="60"/>
    <n v="322"/>
    <n v="-193"/>
    <n v="5"/>
    <s v="Electronics"/>
    <x v="3"/>
    <x v="3"/>
    <x v="16"/>
    <x v="20"/>
  </r>
  <r>
    <x v="61"/>
    <n v="1316"/>
    <n v="527"/>
    <n v="7"/>
    <s v="Electronics"/>
    <x v="0"/>
    <x v="2"/>
    <x v="0"/>
    <x v="0"/>
  </r>
  <r>
    <x v="62"/>
    <n v="1314"/>
    <n v="342"/>
    <n v="3"/>
    <s v="Furniture"/>
    <x v="2"/>
    <x v="2"/>
    <x v="8"/>
    <x v="11"/>
  </r>
  <r>
    <x v="63"/>
    <n v="17"/>
    <n v="7"/>
    <n v="3"/>
    <s v="Clothing"/>
    <x v="7"/>
    <x v="4"/>
    <x v="17"/>
    <x v="21"/>
  </r>
  <r>
    <x v="64"/>
    <n v="17"/>
    <n v="2"/>
    <n v="2"/>
    <s v="Clothing"/>
    <x v="9"/>
    <x v="4"/>
    <x v="1"/>
    <x v="7"/>
  </r>
  <r>
    <x v="65"/>
    <n v="17"/>
    <n v="-12"/>
    <n v="5"/>
    <s v="Clothing"/>
    <x v="9"/>
    <x v="4"/>
    <x v="2"/>
    <x v="2"/>
  </r>
  <r>
    <x v="66"/>
    <n v="1308"/>
    <n v="536"/>
    <n v="3"/>
    <s v="Furniture"/>
    <x v="2"/>
    <x v="2"/>
    <x v="10"/>
    <x v="13"/>
  </r>
  <r>
    <x v="67"/>
    <n v="1076"/>
    <n v="-38"/>
    <n v="4"/>
    <s v="Electronics"/>
    <x v="3"/>
    <x v="2"/>
    <x v="0"/>
    <x v="0"/>
  </r>
  <r>
    <x v="68"/>
    <n v="1301"/>
    <n v="573"/>
    <n v="5"/>
    <s v="Electronics"/>
    <x v="13"/>
    <x v="2"/>
    <x v="3"/>
    <x v="3"/>
  </r>
  <r>
    <x v="69"/>
    <n v="1300"/>
    <n v="-16"/>
    <n v="8"/>
    <s v="Electronics"/>
    <x v="3"/>
    <x v="2"/>
    <x v="4"/>
    <x v="5"/>
  </r>
  <r>
    <x v="70"/>
    <n v="11"/>
    <n v="-2"/>
    <n v="4"/>
    <s v="Clothing"/>
    <x v="7"/>
    <x v="0"/>
    <x v="15"/>
    <x v="16"/>
  </r>
  <r>
    <x v="71"/>
    <n v="1298"/>
    <n v="65"/>
    <n v="9"/>
    <s v="Electronics"/>
    <x v="3"/>
    <x v="1"/>
    <x v="2"/>
    <x v="2"/>
  </r>
  <r>
    <x v="72"/>
    <n v="304"/>
    <n v="97"/>
    <n v="6"/>
    <s v="Clothing"/>
    <x v="11"/>
    <x v="3"/>
    <x v="8"/>
    <x v="11"/>
  </r>
  <r>
    <x v="73"/>
    <n v="1055"/>
    <n v="264"/>
    <n v="4"/>
    <s v="Electronics"/>
    <x v="3"/>
    <x v="1"/>
    <x v="2"/>
    <x v="2"/>
  </r>
  <r>
    <x v="74"/>
    <n v="17"/>
    <n v="-13"/>
    <n v="4"/>
    <s v="Clothing"/>
    <x v="9"/>
    <x v="4"/>
    <x v="0"/>
    <x v="0"/>
  </r>
  <r>
    <x v="75"/>
    <n v="147"/>
    <n v="73"/>
    <n v="3"/>
    <s v="Clothing"/>
    <x v="11"/>
    <x v="0"/>
    <x v="0"/>
    <x v="0"/>
  </r>
  <r>
    <x v="76"/>
    <n v="965"/>
    <n v="-68"/>
    <n v="3"/>
    <s v="Electronics"/>
    <x v="3"/>
    <x v="0"/>
    <x v="0"/>
    <x v="0"/>
  </r>
  <r>
    <x v="19"/>
    <n v="12"/>
    <n v="-2"/>
    <n v="3"/>
    <s v="Clothing"/>
    <x v="7"/>
    <x v="0"/>
    <x v="1"/>
    <x v="10"/>
  </r>
  <r>
    <x v="77"/>
    <n v="14"/>
    <n v="-2"/>
    <n v="3"/>
    <s v="Clothing"/>
    <x v="7"/>
    <x v="3"/>
    <x v="16"/>
    <x v="20"/>
  </r>
  <r>
    <x v="78"/>
    <n v="934"/>
    <n v="-916"/>
    <n v="7"/>
    <s v="Electronics"/>
    <x v="0"/>
    <x v="0"/>
    <x v="13"/>
    <x v="16"/>
  </r>
  <r>
    <x v="79"/>
    <n v="929"/>
    <n v="-93"/>
    <n v="9"/>
    <s v="Clothing"/>
    <x v="6"/>
    <x v="0"/>
    <x v="0"/>
    <x v="18"/>
  </r>
  <r>
    <x v="80"/>
    <n v="18"/>
    <n v="3"/>
    <n v="2"/>
    <s v="Clothing"/>
    <x v="7"/>
    <x v="4"/>
    <x v="3"/>
    <x v="3"/>
  </r>
  <r>
    <x v="81"/>
    <n v="916"/>
    <n v="192"/>
    <n v="11"/>
    <s v="Electronics"/>
    <x v="4"/>
    <x v="0"/>
    <x v="16"/>
    <x v="20"/>
  </r>
  <r>
    <x v="82"/>
    <n v="76"/>
    <n v="-72"/>
    <n v="9"/>
    <s v="Clothing"/>
    <x v="7"/>
    <x v="0"/>
    <x v="0"/>
    <x v="18"/>
  </r>
  <r>
    <x v="83"/>
    <n v="869"/>
    <n v="67"/>
    <n v="4"/>
    <s v="Furniture"/>
    <x v="10"/>
    <x v="0"/>
    <x v="9"/>
    <x v="12"/>
  </r>
  <r>
    <x v="84"/>
    <n v="112"/>
    <n v="24"/>
    <n v="3"/>
    <s v="Clothing"/>
    <x v="8"/>
    <x v="0"/>
    <x v="14"/>
    <x v="19"/>
  </r>
  <r>
    <x v="18"/>
    <n v="39"/>
    <n v="16"/>
    <n v="6"/>
    <s v="Clothing"/>
    <x v="9"/>
    <x v="3"/>
    <x v="7"/>
    <x v="9"/>
  </r>
  <r>
    <x v="85"/>
    <n v="857"/>
    <n v="-274"/>
    <n v="2"/>
    <s v="Furniture"/>
    <x v="10"/>
    <x v="0"/>
    <x v="6"/>
    <x v="23"/>
  </r>
  <r>
    <x v="86"/>
    <n v="828"/>
    <n v="230"/>
    <n v="2"/>
    <s v="Furniture"/>
    <x v="1"/>
    <x v="0"/>
    <x v="0"/>
    <x v="0"/>
  </r>
  <r>
    <x v="87"/>
    <n v="1279"/>
    <n v="-640"/>
    <n v="8"/>
    <s v="Electronics"/>
    <x v="3"/>
    <x v="1"/>
    <x v="5"/>
    <x v="6"/>
  </r>
  <r>
    <x v="88"/>
    <n v="1250"/>
    <n v="486"/>
    <n v="7"/>
    <s v="Clothing"/>
    <x v="6"/>
    <x v="1"/>
    <x v="17"/>
    <x v="21"/>
  </r>
  <r>
    <x v="89"/>
    <n v="823"/>
    <n v="-18"/>
    <n v="7"/>
    <s v="Furniture"/>
    <x v="1"/>
    <x v="0"/>
    <x v="0"/>
    <x v="0"/>
  </r>
  <r>
    <x v="75"/>
    <n v="1157"/>
    <n v="-13"/>
    <n v="9"/>
    <s v="Furniture"/>
    <x v="2"/>
    <x v="2"/>
    <x v="0"/>
    <x v="0"/>
  </r>
  <r>
    <x v="90"/>
    <n v="126"/>
    <n v="-63"/>
    <n v="3"/>
    <s v="Electronics"/>
    <x v="13"/>
    <x v="3"/>
    <x v="2"/>
    <x v="4"/>
  </r>
  <r>
    <x v="91"/>
    <n v="1145"/>
    <n v="-706"/>
    <n v="3"/>
    <s v="Electronics"/>
    <x v="4"/>
    <x v="2"/>
    <x v="6"/>
    <x v="8"/>
  </r>
  <r>
    <x v="92"/>
    <n v="774"/>
    <n v="170"/>
    <n v="3"/>
    <s v="Electronics"/>
    <x v="13"/>
    <x v="0"/>
    <x v="3"/>
    <x v="3"/>
  </r>
  <r>
    <x v="93"/>
    <n v="24"/>
    <n v="-1"/>
    <n v="2"/>
    <s v="Clothing"/>
    <x v="7"/>
    <x v="0"/>
    <x v="2"/>
    <x v="2"/>
  </r>
  <r>
    <x v="94"/>
    <n v="774"/>
    <n v="170"/>
    <n v="3"/>
    <s v="Electronics"/>
    <x v="13"/>
    <x v="0"/>
    <x v="17"/>
    <x v="21"/>
  </r>
  <r>
    <x v="81"/>
    <n v="93"/>
    <n v="-1"/>
    <n v="2"/>
    <s v="Clothing"/>
    <x v="7"/>
    <x v="0"/>
    <x v="16"/>
    <x v="20"/>
  </r>
  <r>
    <x v="95"/>
    <n v="765"/>
    <n v="-36"/>
    <n v="3"/>
    <s v="Electronics"/>
    <x v="0"/>
    <x v="0"/>
    <x v="0"/>
    <x v="0"/>
  </r>
  <r>
    <x v="96"/>
    <n v="762"/>
    <n v="101"/>
    <n v="6"/>
    <s v="Electronics"/>
    <x v="3"/>
    <x v="0"/>
    <x v="15"/>
    <x v="16"/>
  </r>
  <r>
    <x v="97"/>
    <n v="761"/>
    <n v="266"/>
    <n v="9"/>
    <s v="Electronics"/>
    <x v="0"/>
    <x v="0"/>
    <x v="0"/>
    <x v="0"/>
  </r>
  <r>
    <x v="98"/>
    <n v="96"/>
    <n v="-48"/>
    <n v="5"/>
    <s v="Clothing"/>
    <x v="12"/>
    <x v="3"/>
    <x v="4"/>
    <x v="5"/>
  </r>
  <r>
    <x v="99"/>
    <n v="1137"/>
    <n v="-14"/>
    <n v="7"/>
    <s v="Electronics"/>
    <x v="3"/>
    <x v="1"/>
    <x v="0"/>
    <x v="18"/>
  </r>
  <r>
    <x v="91"/>
    <n v="18"/>
    <n v="8"/>
    <n v="2"/>
    <s v="Clothing"/>
    <x v="7"/>
    <x v="4"/>
    <x v="6"/>
    <x v="8"/>
  </r>
  <r>
    <x v="100"/>
    <n v="749"/>
    <n v="-307"/>
    <n v="7"/>
    <s v="Furniture"/>
    <x v="15"/>
    <x v="0"/>
    <x v="6"/>
    <x v="23"/>
  </r>
  <r>
    <x v="99"/>
    <n v="1120"/>
    <n v="199"/>
    <n v="6"/>
    <s v="Clothing"/>
    <x v="6"/>
    <x v="1"/>
    <x v="0"/>
    <x v="18"/>
  </r>
  <r>
    <x v="101"/>
    <n v="744"/>
    <n v="119"/>
    <n v="6"/>
    <s v="Electronics"/>
    <x v="3"/>
    <x v="0"/>
    <x v="9"/>
    <x v="12"/>
  </r>
  <r>
    <x v="102"/>
    <n v="14"/>
    <n v="0"/>
    <n v="4"/>
    <s v="Clothing"/>
    <x v="7"/>
    <x v="3"/>
    <x v="0"/>
    <x v="0"/>
  </r>
  <r>
    <x v="103"/>
    <n v="19"/>
    <n v="8"/>
    <n v="2"/>
    <s v="Clothing"/>
    <x v="7"/>
    <x v="4"/>
    <x v="0"/>
    <x v="0"/>
  </r>
  <r>
    <x v="104"/>
    <n v="512"/>
    <n v="-225"/>
    <n v="5"/>
    <s v="Clothing"/>
    <x v="6"/>
    <x v="0"/>
    <x v="2"/>
    <x v="4"/>
  </r>
  <r>
    <x v="105"/>
    <n v="742"/>
    <n v="198"/>
    <n v="2"/>
    <s v="Furniture"/>
    <x v="2"/>
    <x v="0"/>
    <x v="2"/>
    <x v="4"/>
  </r>
  <r>
    <x v="106"/>
    <n v="44"/>
    <n v="-40"/>
    <n v="3"/>
    <s v="Clothing"/>
    <x v="11"/>
    <x v="0"/>
    <x v="16"/>
    <x v="20"/>
  </r>
  <r>
    <x v="8"/>
    <n v="1061"/>
    <n v="-36"/>
    <n v="8"/>
    <s v="Furniture"/>
    <x v="2"/>
    <x v="1"/>
    <x v="4"/>
    <x v="5"/>
  </r>
  <r>
    <x v="107"/>
    <n v="19"/>
    <n v="-2"/>
    <n v="2"/>
    <s v="Clothing"/>
    <x v="12"/>
    <x v="4"/>
    <x v="11"/>
    <x v="14"/>
  </r>
  <r>
    <x v="108"/>
    <n v="17"/>
    <n v="0"/>
    <n v="1"/>
    <s v="Clothing"/>
    <x v="7"/>
    <x v="0"/>
    <x v="17"/>
    <x v="21"/>
  </r>
  <r>
    <x v="109"/>
    <n v="741"/>
    <n v="267"/>
    <n v="5"/>
    <s v="Furniture"/>
    <x v="2"/>
    <x v="0"/>
    <x v="2"/>
    <x v="4"/>
  </r>
  <r>
    <x v="97"/>
    <n v="735"/>
    <n v="-235"/>
    <n v="6"/>
    <s v="Electronics"/>
    <x v="3"/>
    <x v="0"/>
    <x v="0"/>
    <x v="0"/>
  </r>
  <r>
    <x v="110"/>
    <n v="19"/>
    <n v="-1"/>
    <n v="1"/>
    <s v="Clothing"/>
    <x v="16"/>
    <x v="4"/>
    <x v="0"/>
    <x v="0"/>
  </r>
  <r>
    <x v="111"/>
    <n v="1021"/>
    <n v="-48"/>
    <n v="4"/>
    <s v="Electronics"/>
    <x v="0"/>
    <x v="1"/>
    <x v="0"/>
    <x v="18"/>
  </r>
  <r>
    <x v="112"/>
    <n v="556"/>
    <n v="-209"/>
    <n v="7"/>
    <s v="Clothing"/>
    <x v="6"/>
    <x v="0"/>
    <x v="4"/>
    <x v="5"/>
  </r>
  <r>
    <x v="113"/>
    <n v="63"/>
    <n v="-17"/>
    <n v="6"/>
    <s v="Clothing"/>
    <x v="12"/>
    <x v="0"/>
    <x v="12"/>
    <x v="15"/>
  </r>
  <r>
    <x v="114"/>
    <n v="734"/>
    <n v="248"/>
    <n v="2"/>
    <s v="Furniture"/>
    <x v="1"/>
    <x v="0"/>
    <x v="0"/>
    <x v="0"/>
  </r>
  <r>
    <x v="27"/>
    <n v="933"/>
    <n v="166"/>
    <n v="5"/>
    <s v="Clothing"/>
    <x v="6"/>
    <x v="2"/>
    <x v="2"/>
    <x v="4"/>
  </r>
  <r>
    <x v="115"/>
    <n v="20"/>
    <n v="-9"/>
    <n v="6"/>
    <s v="Clothing"/>
    <x v="7"/>
    <x v="4"/>
    <x v="18"/>
    <x v="24"/>
  </r>
  <r>
    <x v="116"/>
    <n v="877"/>
    <n v="395"/>
    <n v="2"/>
    <s v="Furniture"/>
    <x v="2"/>
    <x v="2"/>
    <x v="0"/>
    <x v="18"/>
  </r>
  <r>
    <x v="109"/>
    <n v="719"/>
    <n v="303"/>
    <n v="6"/>
    <s v="Furniture"/>
    <x v="1"/>
    <x v="0"/>
    <x v="2"/>
    <x v="4"/>
  </r>
  <r>
    <x v="117"/>
    <n v="12"/>
    <n v="1"/>
    <n v="2"/>
    <s v="Clothing"/>
    <x v="7"/>
    <x v="0"/>
    <x v="0"/>
    <x v="18"/>
  </r>
  <r>
    <x v="118"/>
    <n v="714"/>
    <n v="56"/>
    <n v="4"/>
    <s v="Clothing"/>
    <x v="6"/>
    <x v="0"/>
    <x v="2"/>
    <x v="4"/>
  </r>
  <r>
    <x v="119"/>
    <n v="50"/>
    <n v="-15"/>
    <n v="4"/>
    <s v="Clothing"/>
    <x v="12"/>
    <x v="0"/>
    <x v="4"/>
    <x v="5"/>
  </r>
  <r>
    <x v="120"/>
    <n v="709"/>
    <n v="-100"/>
    <n v="5"/>
    <s v="Electronics"/>
    <x v="4"/>
    <x v="0"/>
    <x v="0"/>
    <x v="0"/>
  </r>
  <r>
    <x v="121"/>
    <n v="21"/>
    <n v="-12"/>
    <n v="3"/>
    <s v="Clothing"/>
    <x v="7"/>
    <x v="4"/>
    <x v="10"/>
    <x v="13"/>
  </r>
  <r>
    <x v="122"/>
    <n v="693"/>
    <n v="254"/>
    <n v="6"/>
    <s v="Clothing"/>
    <x v="6"/>
    <x v="0"/>
    <x v="18"/>
    <x v="24"/>
  </r>
  <r>
    <x v="81"/>
    <n v="24"/>
    <n v="1"/>
    <n v="4"/>
    <s v="Clothing"/>
    <x v="7"/>
    <x v="0"/>
    <x v="16"/>
    <x v="20"/>
  </r>
  <r>
    <x v="123"/>
    <n v="24"/>
    <n v="1"/>
    <n v="2"/>
    <s v="Clothing"/>
    <x v="7"/>
    <x v="3"/>
    <x v="16"/>
    <x v="20"/>
  </r>
  <r>
    <x v="83"/>
    <n v="24"/>
    <n v="1"/>
    <n v="2"/>
    <s v="Clothing"/>
    <x v="7"/>
    <x v="0"/>
    <x v="9"/>
    <x v="12"/>
  </r>
  <r>
    <x v="124"/>
    <n v="21"/>
    <n v="10"/>
    <n v="1"/>
    <s v="Clothing"/>
    <x v="14"/>
    <x v="4"/>
    <x v="7"/>
    <x v="9"/>
  </r>
  <r>
    <x v="125"/>
    <n v="681"/>
    <n v="259"/>
    <n v="4"/>
    <s v="Furniture"/>
    <x v="1"/>
    <x v="0"/>
    <x v="0"/>
    <x v="0"/>
  </r>
  <r>
    <x v="126"/>
    <n v="674"/>
    <n v="-187"/>
    <n v="2"/>
    <s v="Furniture"/>
    <x v="10"/>
    <x v="0"/>
    <x v="6"/>
    <x v="8"/>
  </r>
  <r>
    <x v="35"/>
    <n v="671"/>
    <n v="-309"/>
    <n v="5"/>
    <s v="Electronics"/>
    <x v="0"/>
    <x v="0"/>
    <x v="3"/>
    <x v="3"/>
  </r>
  <r>
    <x v="127"/>
    <n v="646"/>
    <n v="-213"/>
    <n v="3"/>
    <s v="Electronics"/>
    <x v="0"/>
    <x v="0"/>
    <x v="13"/>
    <x v="22"/>
  </r>
  <r>
    <x v="128"/>
    <n v="40"/>
    <n v="15"/>
    <n v="1"/>
    <s v="Clothing"/>
    <x v="8"/>
    <x v="0"/>
    <x v="0"/>
    <x v="18"/>
  </r>
  <r>
    <x v="129"/>
    <n v="24"/>
    <n v="-2"/>
    <n v="2"/>
    <s v="Clothing"/>
    <x v="14"/>
    <x v="0"/>
    <x v="2"/>
    <x v="4"/>
  </r>
  <r>
    <x v="21"/>
    <n v="644"/>
    <n v="167"/>
    <n v="2"/>
    <s v="Electronics"/>
    <x v="3"/>
    <x v="0"/>
    <x v="0"/>
    <x v="0"/>
  </r>
  <r>
    <x v="130"/>
    <n v="643"/>
    <n v="225"/>
    <n v="2"/>
    <s v="Electronics"/>
    <x v="3"/>
    <x v="0"/>
    <x v="15"/>
    <x v="16"/>
  </r>
  <r>
    <x v="131"/>
    <n v="632"/>
    <n v="-316"/>
    <n v="6"/>
    <s v="Clothing"/>
    <x v="6"/>
    <x v="0"/>
    <x v="2"/>
    <x v="4"/>
  </r>
  <r>
    <x v="82"/>
    <n v="632"/>
    <n v="316"/>
    <n v="6"/>
    <s v="Clothing"/>
    <x v="6"/>
    <x v="0"/>
    <x v="0"/>
    <x v="18"/>
  </r>
  <r>
    <x v="132"/>
    <n v="610"/>
    <n v="208"/>
    <n v="3"/>
    <s v="Electronics"/>
    <x v="3"/>
    <x v="0"/>
    <x v="8"/>
    <x v="11"/>
  </r>
  <r>
    <x v="92"/>
    <n v="78"/>
    <n v="-28"/>
    <n v="6"/>
    <s v="Clothing"/>
    <x v="8"/>
    <x v="3"/>
    <x v="3"/>
    <x v="3"/>
  </r>
  <r>
    <x v="133"/>
    <n v="595"/>
    <n v="119"/>
    <n v="4"/>
    <s v="Furniture"/>
    <x v="2"/>
    <x v="0"/>
    <x v="13"/>
    <x v="16"/>
  </r>
  <r>
    <x v="134"/>
    <n v="595"/>
    <n v="292"/>
    <n v="3"/>
    <s v="Clothing"/>
    <x v="6"/>
    <x v="0"/>
    <x v="17"/>
    <x v="21"/>
  </r>
  <r>
    <x v="3"/>
    <n v="852"/>
    <n v="51"/>
    <n v="5"/>
    <s v="Furniture"/>
    <x v="2"/>
    <x v="2"/>
    <x v="2"/>
    <x v="2"/>
  </r>
  <r>
    <x v="135"/>
    <n v="594"/>
    <n v="89"/>
    <n v="3"/>
    <s v="Furniture"/>
    <x v="2"/>
    <x v="0"/>
    <x v="4"/>
    <x v="5"/>
  </r>
  <r>
    <x v="136"/>
    <n v="585"/>
    <n v="175"/>
    <n v="13"/>
    <s v="Clothing"/>
    <x v="14"/>
    <x v="0"/>
    <x v="1"/>
    <x v="10"/>
  </r>
  <r>
    <x v="137"/>
    <n v="582"/>
    <n v="262"/>
    <n v="5"/>
    <s v="Furniture"/>
    <x v="15"/>
    <x v="0"/>
    <x v="3"/>
    <x v="3"/>
  </r>
  <r>
    <x v="138"/>
    <n v="845"/>
    <n v="84"/>
    <n v="7"/>
    <s v="Clothing"/>
    <x v="6"/>
    <x v="2"/>
    <x v="9"/>
    <x v="12"/>
  </r>
  <r>
    <x v="139"/>
    <n v="829"/>
    <n v="19"/>
    <n v="4"/>
    <s v="Electronics"/>
    <x v="3"/>
    <x v="2"/>
    <x v="0"/>
    <x v="18"/>
  </r>
  <r>
    <x v="4"/>
    <n v="561"/>
    <n v="212"/>
    <n v="3"/>
    <s v="Clothing"/>
    <x v="6"/>
    <x v="0"/>
    <x v="2"/>
    <x v="2"/>
  </r>
  <r>
    <x v="73"/>
    <n v="771"/>
    <n v="-424"/>
    <n v="2"/>
    <s v="Electronics"/>
    <x v="4"/>
    <x v="2"/>
    <x v="2"/>
    <x v="2"/>
  </r>
  <r>
    <x v="140"/>
    <n v="765"/>
    <n v="8"/>
    <n v="6"/>
    <s v="Clothing"/>
    <x v="6"/>
    <x v="1"/>
    <x v="0"/>
    <x v="0"/>
  </r>
  <r>
    <x v="141"/>
    <n v="31"/>
    <n v="2"/>
    <n v="2"/>
    <s v="Clothing"/>
    <x v="7"/>
    <x v="0"/>
    <x v="8"/>
    <x v="11"/>
  </r>
  <r>
    <x v="142"/>
    <n v="557"/>
    <n v="-111"/>
    <n v="2"/>
    <s v="Electronics"/>
    <x v="0"/>
    <x v="0"/>
    <x v="17"/>
    <x v="21"/>
  </r>
  <r>
    <x v="140"/>
    <n v="757"/>
    <n v="371"/>
    <n v="2"/>
    <s v="Electronics"/>
    <x v="3"/>
    <x v="2"/>
    <x v="0"/>
    <x v="0"/>
  </r>
  <r>
    <x v="143"/>
    <n v="545"/>
    <n v="-73"/>
    <n v="11"/>
    <s v="Electronics"/>
    <x v="4"/>
    <x v="0"/>
    <x v="12"/>
    <x v="15"/>
  </r>
  <r>
    <x v="144"/>
    <n v="1052"/>
    <n v="-82"/>
    <n v="3"/>
    <s v="Furniture"/>
    <x v="2"/>
    <x v="3"/>
    <x v="2"/>
    <x v="4"/>
  </r>
  <r>
    <x v="145"/>
    <n v="544"/>
    <n v="-152"/>
    <n v="3"/>
    <s v="Furniture"/>
    <x v="2"/>
    <x v="0"/>
    <x v="2"/>
    <x v="2"/>
  </r>
  <r>
    <x v="146"/>
    <n v="22"/>
    <n v="9"/>
    <n v="2"/>
    <s v="Clothing"/>
    <x v="12"/>
    <x v="4"/>
    <x v="1"/>
    <x v="7"/>
  </r>
  <r>
    <x v="23"/>
    <n v="757"/>
    <n v="371"/>
    <n v="2"/>
    <s v="Electronics"/>
    <x v="3"/>
    <x v="2"/>
    <x v="10"/>
    <x v="13"/>
  </r>
  <r>
    <x v="147"/>
    <n v="742"/>
    <n v="198"/>
    <n v="2"/>
    <s v="Furniture"/>
    <x v="2"/>
    <x v="2"/>
    <x v="17"/>
    <x v="21"/>
  </r>
  <r>
    <x v="148"/>
    <n v="537"/>
    <n v="107"/>
    <n v="3"/>
    <s v="Clothing"/>
    <x v="6"/>
    <x v="0"/>
    <x v="13"/>
    <x v="16"/>
  </r>
  <r>
    <x v="140"/>
    <n v="536"/>
    <n v="91"/>
    <n v="1"/>
    <s v="Clothing"/>
    <x v="5"/>
    <x v="0"/>
    <x v="0"/>
    <x v="0"/>
  </r>
  <r>
    <x v="93"/>
    <n v="6"/>
    <n v="3"/>
    <n v="1"/>
    <s v="Clothing"/>
    <x v="7"/>
    <x v="0"/>
    <x v="2"/>
    <x v="2"/>
  </r>
  <r>
    <x v="0"/>
    <n v="523"/>
    <n v="204"/>
    <n v="7"/>
    <s v="Clothing"/>
    <x v="5"/>
    <x v="0"/>
    <x v="0"/>
    <x v="0"/>
  </r>
  <r>
    <x v="149"/>
    <n v="27"/>
    <n v="9"/>
    <n v="2"/>
    <s v="Clothing"/>
    <x v="14"/>
    <x v="3"/>
    <x v="6"/>
    <x v="8"/>
  </r>
  <r>
    <x v="150"/>
    <n v="516"/>
    <n v="392"/>
    <n v="8"/>
    <s v="Furniture"/>
    <x v="1"/>
    <x v="0"/>
    <x v="14"/>
    <x v="19"/>
  </r>
  <r>
    <x v="151"/>
    <n v="504"/>
    <n v="116"/>
    <n v="3"/>
    <s v="Furniture"/>
    <x v="2"/>
    <x v="0"/>
    <x v="2"/>
    <x v="4"/>
  </r>
  <r>
    <x v="152"/>
    <n v="502"/>
    <n v="84"/>
    <n v="4"/>
    <s v="Electronics"/>
    <x v="4"/>
    <x v="0"/>
    <x v="6"/>
    <x v="23"/>
  </r>
  <r>
    <x v="153"/>
    <n v="734"/>
    <n v="213"/>
    <n v="6"/>
    <s v="Electronics"/>
    <x v="0"/>
    <x v="2"/>
    <x v="0"/>
    <x v="0"/>
  </r>
  <r>
    <x v="154"/>
    <n v="42"/>
    <n v="12"/>
    <n v="2"/>
    <s v="Clothing"/>
    <x v="8"/>
    <x v="0"/>
    <x v="0"/>
    <x v="0"/>
  </r>
  <r>
    <x v="155"/>
    <n v="29"/>
    <n v="11"/>
    <n v="4"/>
    <s v="Clothing"/>
    <x v="9"/>
    <x v="0"/>
    <x v="2"/>
    <x v="4"/>
  </r>
  <r>
    <x v="156"/>
    <n v="240"/>
    <n v="12"/>
    <n v="6"/>
    <s v="Clothing"/>
    <x v="8"/>
    <x v="3"/>
    <x v="18"/>
    <x v="24"/>
  </r>
  <r>
    <x v="157"/>
    <n v="496"/>
    <n v="-79"/>
    <n v="2"/>
    <s v="Clothing"/>
    <x v="5"/>
    <x v="0"/>
    <x v="18"/>
    <x v="24"/>
  </r>
  <r>
    <x v="158"/>
    <n v="485"/>
    <n v="29"/>
    <n v="4"/>
    <s v="Electronics"/>
    <x v="0"/>
    <x v="0"/>
    <x v="1"/>
    <x v="10"/>
  </r>
  <r>
    <x v="159"/>
    <n v="31"/>
    <n v="-11"/>
    <n v="3"/>
    <s v="Clothing"/>
    <x v="9"/>
    <x v="3"/>
    <x v="2"/>
    <x v="4"/>
  </r>
  <r>
    <x v="160"/>
    <n v="676"/>
    <n v="151"/>
    <n v="3"/>
    <s v="Electronics"/>
    <x v="3"/>
    <x v="2"/>
    <x v="8"/>
    <x v="11"/>
  </r>
  <r>
    <x v="125"/>
    <n v="23"/>
    <n v="8"/>
    <n v="2"/>
    <s v="Clothing"/>
    <x v="7"/>
    <x v="4"/>
    <x v="0"/>
    <x v="0"/>
  </r>
  <r>
    <x v="161"/>
    <n v="13"/>
    <n v="3"/>
    <n v="2"/>
    <s v="Clothing"/>
    <x v="7"/>
    <x v="0"/>
    <x v="16"/>
    <x v="20"/>
  </r>
  <r>
    <x v="162"/>
    <n v="180"/>
    <n v="0"/>
    <n v="8"/>
    <s v="Clothing"/>
    <x v="11"/>
    <x v="0"/>
    <x v="11"/>
    <x v="14"/>
  </r>
  <r>
    <x v="1"/>
    <n v="671"/>
    <n v="114"/>
    <n v="9"/>
    <s v="Electronics"/>
    <x v="4"/>
    <x v="2"/>
    <x v="1"/>
    <x v="1"/>
  </r>
  <r>
    <x v="163"/>
    <n v="22"/>
    <n v="11"/>
    <n v="3"/>
    <s v="Clothing"/>
    <x v="8"/>
    <x v="0"/>
    <x v="6"/>
    <x v="23"/>
  </r>
  <r>
    <x v="87"/>
    <n v="668"/>
    <n v="-31"/>
    <n v="3"/>
    <s v="Electronics"/>
    <x v="3"/>
    <x v="2"/>
    <x v="5"/>
    <x v="6"/>
  </r>
  <r>
    <x v="92"/>
    <n v="145"/>
    <n v="0"/>
    <n v="3"/>
    <s v="Clothing"/>
    <x v="6"/>
    <x v="3"/>
    <x v="3"/>
    <x v="3"/>
  </r>
  <r>
    <x v="164"/>
    <n v="24"/>
    <n v="8"/>
    <n v="2"/>
    <s v="Clothing"/>
    <x v="9"/>
    <x v="4"/>
    <x v="7"/>
    <x v="17"/>
  </r>
  <r>
    <x v="57"/>
    <n v="476"/>
    <n v="0"/>
    <n v="3"/>
    <s v="Furniture"/>
    <x v="1"/>
    <x v="0"/>
    <x v="14"/>
    <x v="19"/>
  </r>
  <r>
    <x v="153"/>
    <n v="24"/>
    <n v="11"/>
    <n v="5"/>
    <s v="Clothing"/>
    <x v="7"/>
    <x v="4"/>
    <x v="0"/>
    <x v="0"/>
  </r>
  <r>
    <x v="5"/>
    <n v="37"/>
    <n v="3"/>
    <n v="3"/>
    <s v="Clothing"/>
    <x v="7"/>
    <x v="0"/>
    <x v="1"/>
    <x v="1"/>
  </r>
  <r>
    <x v="165"/>
    <n v="152"/>
    <n v="50"/>
    <n v="6"/>
    <s v="Clothing"/>
    <x v="11"/>
    <x v="3"/>
    <x v="8"/>
    <x v="11"/>
  </r>
  <r>
    <x v="166"/>
    <n v="32"/>
    <n v="11"/>
    <n v="2"/>
    <s v="Clothing"/>
    <x v="12"/>
    <x v="3"/>
    <x v="0"/>
    <x v="0"/>
  </r>
  <r>
    <x v="167"/>
    <n v="52"/>
    <n v="11"/>
    <n v="5"/>
    <s v="Clothing"/>
    <x v="12"/>
    <x v="0"/>
    <x v="7"/>
    <x v="9"/>
  </r>
  <r>
    <x v="168"/>
    <n v="24"/>
    <n v="11"/>
    <n v="3"/>
    <s v="Clothing"/>
    <x v="7"/>
    <x v="4"/>
    <x v="14"/>
    <x v="19"/>
  </r>
  <r>
    <x v="91"/>
    <n v="473"/>
    <n v="42"/>
    <n v="4"/>
    <s v="Furniture"/>
    <x v="1"/>
    <x v="0"/>
    <x v="6"/>
    <x v="8"/>
  </r>
  <r>
    <x v="169"/>
    <n v="263"/>
    <n v="50"/>
    <n v="5"/>
    <s v="Clothing"/>
    <x v="11"/>
    <x v="0"/>
    <x v="2"/>
    <x v="4"/>
  </r>
  <r>
    <x v="170"/>
    <n v="61"/>
    <n v="11"/>
    <n v="3"/>
    <s v="Clothing"/>
    <x v="8"/>
    <x v="0"/>
    <x v="1"/>
    <x v="1"/>
  </r>
  <r>
    <x v="171"/>
    <n v="469"/>
    <n v="-459"/>
    <n v="3"/>
    <s v="Electronics"/>
    <x v="0"/>
    <x v="0"/>
    <x v="2"/>
    <x v="4"/>
  </r>
  <r>
    <x v="172"/>
    <n v="1272"/>
    <n v="547"/>
    <n v="2"/>
    <s v="Electronics"/>
    <x v="4"/>
    <x v="0"/>
    <x v="9"/>
    <x v="12"/>
  </r>
  <r>
    <x v="168"/>
    <n v="169"/>
    <n v="0"/>
    <n v="3"/>
    <s v="Electronics"/>
    <x v="13"/>
    <x v="0"/>
    <x v="14"/>
    <x v="19"/>
  </r>
  <r>
    <x v="103"/>
    <n v="25"/>
    <n v="11"/>
    <n v="3"/>
    <s v="Clothing"/>
    <x v="12"/>
    <x v="4"/>
    <x v="0"/>
    <x v="0"/>
  </r>
  <r>
    <x v="89"/>
    <n v="457"/>
    <n v="-41"/>
    <n v="4"/>
    <s v="Clothing"/>
    <x v="6"/>
    <x v="0"/>
    <x v="0"/>
    <x v="0"/>
  </r>
  <r>
    <x v="103"/>
    <n v="455"/>
    <n v="77"/>
    <n v="8"/>
    <s v="Electronics"/>
    <x v="13"/>
    <x v="0"/>
    <x v="0"/>
    <x v="0"/>
  </r>
  <r>
    <x v="96"/>
    <n v="25"/>
    <n v="2"/>
    <n v="2"/>
    <s v="Clothing"/>
    <x v="7"/>
    <x v="4"/>
    <x v="15"/>
    <x v="16"/>
  </r>
  <r>
    <x v="173"/>
    <n v="450"/>
    <n v="-90"/>
    <n v="3"/>
    <s v="Electronics"/>
    <x v="3"/>
    <x v="0"/>
    <x v="2"/>
    <x v="4"/>
  </r>
  <r>
    <x v="174"/>
    <n v="30"/>
    <n v="-35"/>
    <n v="1"/>
    <s v="Furniture"/>
    <x v="1"/>
    <x v="0"/>
    <x v="13"/>
    <x v="16"/>
  </r>
  <r>
    <x v="175"/>
    <n v="659"/>
    <n v="-37"/>
    <n v="2"/>
    <s v="Furniture"/>
    <x v="2"/>
    <x v="2"/>
    <x v="10"/>
    <x v="13"/>
  </r>
  <r>
    <x v="176"/>
    <n v="448"/>
    <n v="148"/>
    <n v="2"/>
    <s v="Electronics"/>
    <x v="3"/>
    <x v="0"/>
    <x v="9"/>
    <x v="12"/>
  </r>
  <r>
    <x v="177"/>
    <n v="446"/>
    <n v="53"/>
    <n v="3"/>
    <s v="Electronics"/>
    <x v="3"/>
    <x v="0"/>
    <x v="7"/>
    <x v="9"/>
  </r>
  <r>
    <x v="178"/>
    <n v="98"/>
    <n v="-45"/>
    <n v="2"/>
    <s v="Furniture"/>
    <x v="1"/>
    <x v="3"/>
    <x v="0"/>
    <x v="0"/>
  </r>
  <r>
    <x v="1"/>
    <n v="443"/>
    <n v="11"/>
    <n v="1"/>
    <s v="Clothing"/>
    <x v="6"/>
    <x v="0"/>
    <x v="1"/>
    <x v="1"/>
  </r>
  <r>
    <x v="87"/>
    <n v="427"/>
    <n v="-50"/>
    <n v="7"/>
    <s v="Electronics"/>
    <x v="4"/>
    <x v="0"/>
    <x v="5"/>
    <x v="6"/>
  </r>
  <r>
    <x v="123"/>
    <n v="656"/>
    <n v="-36"/>
    <n v="2"/>
    <s v="Furniture"/>
    <x v="2"/>
    <x v="2"/>
    <x v="16"/>
    <x v="20"/>
  </r>
  <r>
    <x v="179"/>
    <n v="424"/>
    <n v="161"/>
    <n v="2"/>
    <s v="Clothing"/>
    <x v="6"/>
    <x v="0"/>
    <x v="12"/>
    <x v="15"/>
  </r>
  <r>
    <x v="76"/>
    <n v="27"/>
    <n v="8"/>
    <n v="2"/>
    <s v="Clothing"/>
    <x v="14"/>
    <x v="4"/>
    <x v="0"/>
    <x v="0"/>
  </r>
  <r>
    <x v="4"/>
    <n v="424"/>
    <n v="-272"/>
    <n v="5"/>
    <s v="Electronics"/>
    <x v="4"/>
    <x v="0"/>
    <x v="2"/>
    <x v="2"/>
  </r>
  <r>
    <x v="180"/>
    <n v="202"/>
    <n v="4"/>
    <n v="4"/>
    <s v="Clothing"/>
    <x v="7"/>
    <x v="0"/>
    <x v="3"/>
    <x v="3"/>
  </r>
  <r>
    <x v="154"/>
    <n v="1275"/>
    <n v="357"/>
    <n v="2"/>
    <s v="Electronics"/>
    <x v="4"/>
    <x v="3"/>
    <x v="0"/>
    <x v="0"/>
  </r>
  <r>
    <x v="14"/>
    <n v="418"/>
    <n v="70"/>
    <n v="7"/>
    <s v="Electronics"/>
    <x v="4"/>
    <x v="0"/>
    <x v="1"/>
    <x v="1"/>
  </r>
  <r>
    <x v="181"/>
    <n v="417"/>
    <n v="49"/>
    <n v="3"/>
    <s v="Electronics"/>
    <x v="0"/>
    <x v="0"/>
    <x v="0"/>
    <x v="18"/>
  </r>
  <r>
    <x v="18"/>
    <n v="199"/>
    <n v="48"/>
    <n v="4"/>
    <s v="Clothing"/>
    <x v="11"/>
    <x v="3"/>
    <x v="7"/>
    <x v="9"/>
  </r>
  <r>
    <x v="129"/>
    <n v="385"/>
    <n v="-77"/>
    <n v="11"/>
    <s v="Furniture"/>
    <x v="15"/>
    <x v="3"/>
    <x v="2"/>
    <x v="4"/>
  </r>
  <r>
    <x v="132"/>
    <n v="414"/>
    <n v="199"/>
    <n v="3"/>
    <s v="Electronics"/>
    <x v="4"/>
    <x v="0"/>
    <x v="8"/>
    <x v="11"/>
  </r>
  <r>
    <x v="10"/>
    <n v="97"/>
    <n v="-45"/>
    <n v="4"/>
    <s v="Clothing"/>
    <x v="6"/>
    <x v="0"/>
    <x v="0"/>
    <x v="0"/>
  </r>
  <r>
    <x v="182"/>
    <n v="648"/>
    <n v="50"/>
    <n v="6"/>
    <s v="Electronics"/>
    <x v="0"/>
    <x v="2"/>
    <x v="11"/>
    <x v="14"/>
  </r>
  <r>
    <x v="183"/>
    <n v="27"/>
    <n v="-25"/>
    <n v="2"/>
    <s v="Clothing"/>
    <x v="16"/>
    <x v="4"/>
    <x v="3"/>
    <x v="3"/>
  </r>
  <r>
    <x v="184"/>
    <n v="27"/>
    <n v="12"/>
    <n v="1"/>
    <s v="Clothing"/>
    <x v="11"/>
    <x v="4"/>
    <x v="2"/>
    <x v="4"/>
  </r>
  <r>
    <x v="185"/>
    <n v="27"/>
    <n v="1"/>
    <n v="1"/>
    <s v="Clothing"/>
    <x v="11"/>
    <x v="3"/>
    <x v="7"/>
    <x v="17"/>
  </r>
  <r>
    <x v="37"/>
    <n v="413"/>
    <n v="-314"/>
    <n v="9"/>
    <s v="Furniture"/>
    <x v="1"/>
    <x v="0"/>
    <x v="0"/>
    <x v="0"/>
  </r>
  <r>
    <x v="99"/>
    <n v="53"/>
    <n v="2"/>
    <n v="4"/>
    <s v="Clothing"/>
    <x v="7"/>
    <x v="0"/>
    <x v="0"/>
    <x v="18"/>
  </r>
  <r>
    <x v="51"/>
    <n v="29"/>
    <n v="8"/>
    <n v="5"/>
    <s v="Clothing"/>
    <x v="7"/>
    <x v="3"/>
    <x v="13"/>
    <x v="16"/>
  </r>
  <r>
    <x v="186"/>
    <n v="30"/>
    <n v="13"/>
    <n v="1"/>
    <s v="Clothing"/>
    <x v="14"/>
    <x v="3"/>
    <x v="13"/>
    <x v="16"/>
  </r>
  <r>
    <x v="187"/>
    <n v="412"/>
    <n v="412"/>
    <n v="6"/>
    <s v="Clothing"/>
    <x v="6"/>
    <x v="0"/>
    <x v="2"/>
    <x v="4"/>
  </r>
  <r>
    <x v="188"/>
    <n v="646"/>
    <n v="-23"/>
    <n v="2"/>
    <s v="Electronics"/>
    <x v="3"/>
    <x v="2"/>
    <x v="9"/>
    <x v="12"/>
  </r>
  <r>
    <x v="93"/>
    <n v="30"/>
    <n v="-5"/>
    <n v="5"/>
    <s v="Clothing"/>
    <x v="11"/>
    <x v="3"/>
    <x v="2"/>
    <x v="2"/>
  </r>
  <r>
    <x v="99"/>
    <n v="618"/>
    <n v="27"/>
    <n v="4"/>
    <s v="Furniture"/>
    <x v="2"/>
    <x v="2"/>
    <x v="0"/>
    <x v="18"/>
  </r>
  <r>
    <x v="189"/>
    <n v="143"/>
    <n v="-124"/>
    <n v="5"/>
    <s v="Clothing"/>
    <x v="6"/>
    <x v="3"/>
    <x v="7"/>
    <x v="9"/>
  </r>
  <r>
    <x v="37"/>
    <n v="31"/>
    <n v="1"/>
    <n v="2"/>
    <s v="Clothing"/>
    <x v="7"/>
    <x v="3"/>
    <x v="0"/>
    <x v="0"/>
  </r>
  <r>
    <x v="98"/>
    <n v="409"/>
    <n v="86"/>
    <n v="3"/>
    <s v="Clothing"/>
    <x v="6"/>
    <x v="0"/>
    <x v="4"/>
    <x v="5"/>
  </r>
  <r>
    <x v="93"/>
    <n v="406"/>
    <n v="126"/>
    <n v="2"/>
    <s v="Clothing"/>
    <x v="6"/>
    <x v="0"/>
    <x v="2"/>
    <x v="2"/>
  </r>
  <r>
    <x v="190"/>
    <n v="565"/>
    <n v="66"/>
    <n v="7"/>
    <s v="Clothing"/>
    <x v="6"/>
    <x v="2"/>
    <x v="10"/>
    <x v="13"/>
  </r>
  <r>
    <x v="135"/>
    <n v="85"/>
    <n v="2"/>
    <n v="6"/>
    <s v="Clothing"/>
    <x v="11"/>
    <x v="0"/>
    <x v="4"/>
    <x v="5"/>
  </r>
  <r>
    <x v="191"/>
    <n v="561"/>
    <n v="118"/>
    <n v="5"/>
    <s v="Furniture"/>
    <x v="2"/>
    <x v="2"/>
    <x v="8"/>
    <x v="11"/>
  </r>
  <r>
    <x v="192"/>
    <n v="503"/>
    <n v="-56"/>
    <n v="2"/>
    <s v="Clothing"/>
    <x v="5"/>
    <x v="0"/>
    <x v="5"/>
    <x v="6"/>
  </r>
  <r>
    <x v="156"/>
    <n v="31"/>
    <n v="14"/>
    <n v="3"/>
    <s v="Clothing"/>
    <x v="11"/>
    <x v="3"/>
    <x v="18"/>
    <x v="24"/>
  </r>
  <r>
    <x v="193"/>
    <n v="398"/>
    <n v="111"/>
    <n v="8"/>
    <s v="Clothing"/>
    <x v="7"/>
    <x v="0"/>
    <x v="1"/>
    <x v="1"/>
  </r>
  <r>
    <x v="194"/>
    <n v="388"/>
    <n v="93"/>
    <n v="2"/>
    <s v="Furniture"/>
    <x v="2"/>
    <x v="0"/>
    <x v="7"/>
    <x v="17"/>
  </r>
  <r>
    <x v="34"/>
    <n v="498"/>
    <n v="-116"/>
    <n v="4"/>
    <s v="Clothing"/>
    <x v="6"/>
    <x v="3"/>
    <x v="0"/>
    <x v="18"/>
  </r>
  <r>
    <x v="195"/>
    <n v="561"/>
    <n v="212"/>
    <n v="3"/>
    <s v="Clothing"/>
    <x v="6"/>
    <x v="2"/>
    <x v="1"/>
    <x v="10"/>
  </r>
  <r>
    <x v="196"/>
    <n v="61"/>
    <n v="3"/>
    <n v="4"/>
    <s v="Clothing"/>
    <x v="7"/>
    <x v="0"/>
    <x v="2"/>
    <x v="4"/>
  </r>
  <r>
    <x v="197"/>
    <n v="34"/>
    <n v="-22"/>
    <n v="4"/>
    <s v="Clothing"/>
    <x v="14"/>
    <x v="0"/>
    <x v="13"/>
    <x v="16"/>
  </r>
  <r>
    <x v="198"/>
    <n v="32"/>
    <n v="6"/>
    <n v="3"/>
    <s v="Clothing"/>
    <x v="16"/>
    <x v="3"/>
    <x v="6"/>
    <x v="8"/>
  </r>
  <r>
    <x v="16"/>
    <n v="623"/>
    <n v="-192"/>
    <n v="3"/>
    <s v="Furniture"/>
    <x v="10"/>
    <x v="3"/>
    <x v="1"/>
    <x v="1"/>
  </r>
  <r>
    <x v="199"/>
    <n v="520"/>
    <n v="151"/>
    <n v="3"/>
    <s v="Electronics"/>
    <x v="4"/>
    <x v="2"/>
    <x v="4"/>
    <x v="5"/>
  </r>
  <r>
    <x v="82"/>
    <n v="32"/>
    <n v="-16"/>
    <n v="6"/>
    <s v="Clothing"/>
    <x v="6"/>
    <x v="3"/>
    <x v="0"/>
    <x v="18"/>
  </r>
  <r>
    <x v="10"/>
    <n v="32"/>
    <n v="-5"/>
    <n v="5"/>
    <s v="Clothing"/>
    <x v="7"/>
    <x v="3"/>
    <x v="0"/>
    <x v="0"/>
  </r>
  <r>
    <x v="200"/>
    <n v="510"/>
    <n v="234"/>
    <n v="6"/>
    <s v="Electronics"/>
    <x v="0"/>
    <x v="1"/>
    <x v="6"/>
    <x v="23"/>
  </r>
  <r>
    <x v="201"/>
    <n v="382"/>
    <n v="68"/>
    <n v="3"/>
    <s v="Clothing"/>
    <x v="6"/>
    <x v="0"/>
    <x v="2"/>
    <x v="4"/>
  </r>
  <r>
    <x v="85"/>
    <n v="33"/>
    <n v="13"/>
    <n v="3"/>
    <s v="Clothing"/>
    <x v="12"/>
    <x v="3"/>
    <x v="6"/>
    <x v="23"/>
  </r>
  <r>
    <x v="28"/>
    <n v="381"/>
    <n v="-13"/>
    <n v="2"/>
    <s v="Clothing"/>
    <x v="6"/>
    <x v="0"/>
    <x v="11"/>
    <x v="14"/>
  </r>
  <r>
    <x v="58"/>
    <n v="490"/>
    <n v="88"/>
    <n v="2"/>
    <s v="Electronics"/>
    <x v="13"/>
    <x v="1"/>
    <x v="17"/>
    <x v="21"/>
  </r>
  <r>
    <x v="202"/>
    <n v="381"/>
    <n v="144"/>
    <n v="2"/>
    <s v="Clothing"/>
    <x v="6"/>
    <x v="0"/>
    <x v="2"/>
    <x v="2"/>
  </r>
  <r>
    <x v="198"/>
    <n v="487"/>
    <n v="143"/>
    <n v="4"/>
    <s v="Electronics"/>
    <x v="4"/>
    <x v="1"/>
    <x v="6"/>
    <x v="8"/>
  </r>
  <r>
    <x v="177"/>
    <n v="366"/>
    <n v="84"/>
    <n v="3"/>
    <s v="Furniture"/>
    <x v="2"/>
    <x v="0"/>
    <x v="7"/>
    <x v="9"/>
  </r>
  <r>
    <x v="178"/>
    <n v="33"/>
    <n v="-29"/>
    <n v="3"/>
    <s v="Clothing"/>
    <x v="16"/>
    <x v="3"/>
    <x v="0"/>
    <x v="0"/>
  </r>
  <r>
    <x v="105"/>
    <n v="365"/>
    <n v="107"/>
    <n v="3"/>
    <s v="Electronics"/>
    <x v="4"/>
    <x v="0"/>
    <x v="2"/>
    <x v="4"/>
  </r>
  <r>
    <x v="187"/>
    <n v="207"/>
    <n v="-100"/>
    <n v="2"/>
    <s v="Clothing"/>
    <x v="6"/>
    <x v="3"/>
    <x v="2"/>
    <x v="4"/>
  </r>
  <r>
    <x v="168"/>
    <n v="359"/>
    <n v="-338"/>
    <n v="5"/>
    <s v="Furniture"/>
    <x v="2"/>
    <x v="0"/>
    <x v="14"/>
    <x v="19"/>
  </r>
  <r>
    <x v="104"/>
    <n v="351"/>
    <n v="-47"/>
    <n v="8"/>
    <s v="Electronics"/>
    <x v="4"/>
    <x v="0"/>
    <x v="2"/>
    <x v="4"/>
  </r>
  <r>
    <x v="81"/>
    <n v="485"/>
    <n v="199"/>
    <n v="4"/>
    <s v="Clothing"/>
    <x v="6"/>
    <x v="1"/>
    <x v="16"/>
    <x v="20"/>
  </r>
  <r>
    <x v="8"/>
    <n v="37"/>
    <n v="-23"/>
    <n v="4"/>
    <s v="Clothing"/>
    <x v="16"/>
    <x v="3"/>
    <x v="4"/>
    <x v="5"/>
  </r>
  <r>
    <x v="86"/>
    <n v="34"/>
    <n v="10"/>
    <n v="2"/>
    <s v="Clothing"/>
    <x v="14"/>
    <x v="4"/>
    <x v="0"/>
    <x v="0"/>
  </r>
  <r>
    <x v="203"/>
    <n v="346"/>
    <n v="108"/>
    <n v="3"/>
    <s v="Furniture"/>
    <x v="1"/>
    <x v="0"/>
    <x v="2"/>
    <x v="2"/>
  </r>
  <r>
    <x v="126"/>
    <n v="342"/>
    <n v="-103"/>
    <n v="4"/>
    <s v="Electronics"/>
    <x v="0"/>
    <x v="0"/>
    <x v="6"/>
    <x v="8"/>
  </r>
  <r>
    <x v="204"/>
    <n v="35"/>
    <n v="-8"/>
    <n v="2"/>
    <s v="Furniture"/>
    <x v="15"/>
    <x v="4"/>
    <x v="12"/>
    <x v="15"/>
  </r>
  <r>
    <x v="205"/>
    <n v="121"/>
    <n v="41"/>
    <n v="4"/>
    <s v="Clothing"/>
    <x v="11"/>
    <x v="3"/>
    <x v="0"/>
    <x v="0"/>
  </r>
  <r>
    <x v="103"/>
    <n v="336"/>
    <n v="57"/>
    <n v="2"/>
    <s v="Electronics"/>
    <x v="4"/>
    <x v="0"/>
    <x v="0"/>
    <x v="0"/>
  </r>
  <r>
    <x v="9"/>
    <n v="336"/>
    <n v="71"/>
    <n v="3"/>
    <s v="Furniture"/>
    <x v="2"/>
    <x v="0"/>
    <x v="5"/>
    <x v="6"/>
  </r>
  <r>
    <x v="206"/>
    <n v="27"/>
    <n v="4"/>
    <n v="1"/>
    <s v="Clothing"/>
    <x v="7"/>
    <x v="0"/>
    <x v="16"/>
    <x v="20"/>
  </r>
  <r>
    <x v="141"/>
    <n v="333"/>
    <n v="50"/>
    <n v="2"/>
    <s v="Electronics"/>
    <x v="4"/>
    <x v="0"/>
    <x v="8"/>
    <x v="11"/>
  </r>
  <r>
    <x v="5"/>
    <n v="36"/>
    <n v="7"/>
    <n v="3"/>
    <s v="Clothing"/>
    <x v="12"/>
    <x v="4"/>
    <x v="1"/>
    <x v="1"/>
  </r>
  <r>
    <x v="207"/>
    <n v="333"/>
    <n v="-15"/>
    <n v="3"/>
    <s v="Electronics"/>
    <x v="4"/>
    <x v="0"/>
    <x v="0"/>
    <x v="18"/>
  </r>
  <r>
    <x v="208"/>
    <n v="327"/>
    <n v="114"/>
    <n v="4"/>
    <s v="Clothing"/>
    <x v="5"/>
    <x v="0"/>
    <x v="0"/>
    <x v="0"/>
  </r>
  <r>
    <x v="209"/>
    <n v="18"/>
    <n v="6"/>
    <n v="3"/>
    <s v="Clothing"/>
    <x v="7"/>
    <x v="3"/>
    <x v="2"/>
    <x v="4"/>
  </r>
  <r>
    <x v="198"/>
    <n v="325"/>
    <n v="32"/>
    <n v="7"/>
    <s v="Clothing"/>
    <x v="14"/>
    <x v="0"/>
    <x v="6"/>
    <x v="8"/>
  </r>
  <r>
    <x v="210"/>
    <n v="482"/>
    <n v="-6"/>
    <n v="7"/>
    <s v="Electronics"/>
    <x v="0"/>
    <x v="1"/>
    <x v="0"/>
    <x v="0"/>
  </r>
  <r>
    <x v="13"/>
    <n v="465"/>
    <n v="-33"/>
    <n v="4"/>
    <s v="Electronics"/>
    <x v="4"/>
    <x v="1"/>
    <x v="2"/>
    <x v="4"/>
  </r>
  <r>
    <x v="112"/>
    <n v="40"/>
    <n v="-12"/>
    <n v="3"/>
    <s v="Clothing"/>
    <x v="16"/>
    <x v="0"/>
    <x v="4"/>
    <x v="5"/>
  </r>
  <r>
    <x v="117"/>
    <n v="107"/>
    <n v="36"/>
    <n v="6"/>
    <s v="Clothing"/>
    <x v="11"/>
    <x v="0"/>
    <x v="0"/>
    <x v="18"/>
  </r>
  <r>
    <x v="15"/>
    <n v="312"/>
    <n v="-312"/>
    <n v="7"/>
    <s v="Furniture"/>
    <x v="1"/>
    <x v="0"/>
    <x v="0"/>
    <x v="0"/>
  </r>
  <r>
    <x v="211"/>
    <n v="451"/>
    <n v="25"/>
    <n v="3"/>
    <s v="Electronics"/>
    <x v="4"/>
    <x v="1"/>
    <x v="17"/>
    <x v="21"/>
  </r>
  <r>
    <x v="145"/>
    <n v="312"/>
    <n v="62"/>
    <n v="1"/>
    <s v="Electronics"/>
    <x v="0"/>
    <x v="0"/>
    <x v="2"/>
    <x v="2"/>
  </r>
  <r>
    <x v="212"/>
    <n v="311"/>
    <n v="72"/>
    <n v="2"/>
    <s v="Furniture"/>
    <x v="2"/>
    <x v="0"/>
    <x v="4"/>
    <x v="5"/>
  </r>
  <r>
    <x v="213"/>
    <n v="11"/>
    <n v="5"/>
    <n v="2"/>
    <s v="Clothing"/>
    <x v="7"/>
    <x v="3"/>
    <x v="18"/>
    <x v="24"/>
  </r>
  <r>
    <x v="189"/>
    <n v="37"/>
    <n v="-5"/>
    <n v="3"/>
    <s v="Clothing"/>
    <x v="14"/>
    <x v="4"/>
    <x v="7"/>
    <x v="9"/>
  </r>
  <r>
    <x v="214"/>
    <n v="444"/>
    <n v="-200"/>
    <n v="4"/>
    <s v="Electronics"/>
    <x v="4"/>
    <x v="1"/>
    <x v="12"/>
    <x v="15"/>
  </r>
  <r>
    <x v="215"/>
    <n v="434"/>
    <n v="26"/>
    <n v="11"/>
    <s v="Clothing"/>
    <x v="16"/>
    <x v="2"/>
    <x v="3"/>
    <x v="3"/>
  </r>
  <r>
    <x v="216"/>
    <n v="299"/>
    <n v="0"/>
    <n v="6"/>
    <s v="Clothing"/>
    <x v="11"/>
    <x v="0"/>
    <x v="8"/>
    <x v="11"/>
  </r>
  <r>
    <x v="103"/>
    <n v="37"/>
    <n v="17"/>
    <n v="3"/>
    <s v="Clothing"/>
    <x v="7"/>
    <x v="4"/>
    <x v="0"/>
    <x v="0"/>
  </r>
  <r>
    <x v="217"/>
    <n v="299"/>
    <n v="113"/>
    <n v="2"/>
    <s v="Furniture"/>
    <x v="2"/>
    <x v="0"/>
    <x v="0"/>
    <x v="0"/>
  </r>
  <r>
    <x v="218"/>
    <n v="298"/>
    <n v="74"/>
    <n v="2"/>
    <s v="Furniture"/>
    <x v="2"/>
    <x v="0"/>
    <x v="3"/>
    <x v="3"/>
  </r>
  <r>
    <x v="219"/>
    <n v="94"/>
    <n v="7"/>
    <n v="7"/>
    <s v="Clothing"/>
    <x v="12"/>
    <x v="3"/>
    <x v="13"/>
    <x v="16"/>
  </r>
  <r>
    <x v="220"/>
    <n v="296"/>
    <n v="225"/>
    <n v="11"/>
    <s v="Clothing"/>
    <x v="6"/>
    <x v="0"/>
    <x v="7"/>
    <x v="9"/>
  </r>
  <r>
    <x v="221"/>
    <n v="37"/>
    <n v="17"/>
    <n v="3"/>
    <s v="Clothing"/>
    <x v="7"/>
    <x v="4"/>
    <x v="0"/>
    <x v="0"/>
  </r>
  <r>
    <x v="222"/>
    <n v="291"/>
    <n v="93"/>
    <n v="2"/>
    <s v="Electronics"/>
    <x v="3"/>
    <x v="0"/>
    <x v="2"/>
    <x v="2"/>
  </r>
  <r>
    <x v="183"/>
    <n v="327"/>
    <n v="-39"/>
    <n v="1"/>
    <s v="Electronics"/>
    <x v="4"/>
    <x v="0"/>
    <x v="3"/>
    <x v="3"/>
  </r>
  <r>
    <x v="199"/>
    <n v="291"/>
    <n v="119"/>
    <n v="11"/>
    <s v="Clothing"/>
    <x v="6"/>
    <x v="0"/>
    <x v="4"/>
    <x v="5"/>
  </r>
  <r>
    <x v="159"/>
    <n v="287"/>
    <n v="-66"/>
    <n v="6"/>
    <s v="Clothing"/>
    <x v="8"/>
    <x v="0"/>
    <x v="2"/>
    <x v="4"/>
  </r>
  <r>
    <x v="223"/>
    <n v="42"/>
    <n v="15"/>
    <n v="1"/>
    <s v="Electronics"/>
    <x v="13"/>
    <x v="3"/>
    <x v="8"/>
    <x v="11"/>
  </r>
  <r>
    <x v="180"/>
    <n v="429"/>
    <n v="61"/>
    <n v="3"/>
    <s v="Electronics"/>
    <x v="0"/>
    <x v="2"/>
    <x v="3"/>
    <x v="3"/>
  </r>
  <r>
    <x v="224"/>
    <n v="285"/>
    <n v="128"/>
    <n v="2"/>
    <s v="Electronics"/>
    <x v="3"/>
    <x v="0"/>
    <x v="1"/>
    <x v="10"/>
  </r>
  <r>
    <x v="225"/>
    <n v="277"/>
    <n v="3"/>
    <n v="1"/>
    <s v="Electronics"/>
    <x v="0"/>
    <x v="0"/>
    <x v="13"/>
    <x v="22"/>
  </r>
  <r>
    <x v="23"/>
    <n v="274"/>
    <n v="-7"/>
    <n v="4"/>
    <s v="Electronics"/>
    <x v="4"/>
    <x v="0"/>
    <x v="10"/>
    <x v="13"/>
  </r>
  <r>
    <x v="226"/>
    <n v="273"/>
    <n v="-87"/>
    <n v="4"/>
    <s v="Electronics"/>
    <x v="4"/>
    <x v="0"/>
    <x v="0"/>
    <x v="0"/>
  </r>
  <r>
    <x v="140"/>
    <n v="269"/>
    <n v="91"/>
    <n v="1"/>
    <s v="Electronics"/>
    <x v="0"/>
    <x v="0"/>
    <x v="0"/>
    <x v="0"/>
  </r>
  <r>
    <x v="222"/>
    <n v="11"/>
    <n v="5"/>
    <n v="1"/>
    <s v="Clothing"/>
    <x v="9"/>
    <x v="0"/>
    <x v="2"/>
    <x v="2"/>
  </r>
  <r>
    <x v="2"/>
    <n v="39"/>
    <n v="2"/>
    <n v="2"/>
    <s v="Clothing"/>
    <x v="6"/>
    <x v="4"/>
    <x v="2"/>
    <x v="2"/>
  </r>
  <r>
    <x v="211"/>
    <n v="264"/>
    <n v="-26"/>
    <n v="3"/>
    <s v="Clothing"/>
    <x v="5"/>
    <x v="0"/>
    <x v="17"/>
    <x v="21"/>
  </r>
  <r>
    <x v="227"/>
    <n v="40"/>
    <n v="16"/>
    <n v="3"/>
    <s v="Clothing"/>
    <x v="7"/>
    <x v="4"/>
    <x v="5"/>
    <x v="6"/>
  </r>
  <r>
    <x v="228"/>
    <n v="41"/>
    <n v="19"/>
    <n v="2"/>
    <s v="Clothing"/>
    <x v="14"/>
    <x v="4"/>
    <x v="12"/>
    <x v="15"/>
  </r>
  <r>
    <x v="190"/>
    <n v="253"/>
    <n v="-63"/>
    <n v="2"/>
    <s v="Clothing"/>
    <x v="6"/>
    <x v="3"/>
    <x v="10"/>
    <x v="13"/>
  </r>
  <r>
    <x v="229"/>
    <n v="406"/>
    <n v="97"/>
    <n v="7"/>
    <s v="Furniture"/>
    <x v="1"/>
    <x v="2"/>
    <x v="6"/>
    <x v="8"/>
  </r>
  <r>
    <x v="230"/>
    <n v="32"/>
    <n v="7"/>
    <n v="3"/>
    <s v="Clothing"/>
    <x v="7"/>
    <x v="0"/>
    <x v="2"/>
    <x v="4"/>
  </r>
  <r>
    <x v="145"/>
    <n v="260"/>
    <n v="68"/>
    <n v="2"/>
    <s v="Electronics"/>
    <x v="3"/>
    <x v="0"/>
    <x v="2"/>
    <x v="2"/>
  </r>
  <r>
    <x v="231"/>
    <n v="41"/>
    <n v="19"/>
    <n v="5"/>
    <s v="Clothing"/>
    <x v="7"/>
    <x v="4"/>
    <x v="18"/>
    <x v="24"/>
  </r>
  <r>
    <x v="30"/>
    <n v="401"/>
    <n v="13"/>
    <n v="6"/>
    <s v="Furniture"/>
    <x v="1"/>
    <x v="2"/>
    <x v="2"/>
    <x v="2"/>
  </r>
  <r>
    <x v="227"/>
    <n v="382"/>
    <n v="30"/>
    <n v="3"/>
    <s v="Clothing"/>
    <x v="6"/>
    <x v="2"/>
    <x v="5"/>
    <x v="6"/>
  </r>
  <r>
    <x v="232"/>
    <n v="867"/>
    <n v="251"/>
    <n v="5"/>
    <s v="Electronics"/>
    <x v="4"/>
    <x v="0"/>
    <x v="8"/>
    <x v="11"/>
  </r>
  <r>
    <x v="233"/>
    <n v="43"/>
    <n v="0"/>
    <n v="3"/>
    <s v="Clothing"/>
    <x v="6"/>
    <x v="4"/>
    <x v="12"/>
    <x v="15"/>
  </r>
  <r>
    <x v="234"/>
    <n v="43"/>
    <n v="-43"/>
    <n v="7"/>
    <s v="Clothing"/>
    <x v="11"/>
    <x v="4"/>
    <x v="2"/>
    <x v="4"/>
  </r>
  <r>
    <x v="185"/>
    <n v="74"/>
    <n v="29"/>
    <n v="3"/>
    <s v="Clothing"/>
    <x v="11"/>
    <x v="0"/>
    <x v="7"/>
    <x v="17"/>
  </r>
  <r>
    <x v="15"/>
    <n v="44"/>
    <n v="-26"/>
    <n v="3"/>
    <s v="Clothing"/>
    <x v="7"/>
    <x v="4"/>
    <x v="0"/>
    <x v="0"/>
  </r>
  <r>
    <x v="235"/>
    <n v="259"/>
    <n v="-55"/>
    <n v="2"/>
    <s v="Furniture"/>
    <x v="1"/>
    <x v="0"/>
    <x v="13"/>
    <x v="16"/>
  </r>
  <r>
    <x v="57"/>
    <n v="257"/>
    <n v="23"/>
    <n v="5"/>
    <s v="Clothing"/>
    <x v="7"/>
    <x v="0"/>
    <x v="14"/>
    <x v="19"/>
  </r>
  <r>
    <x v="97"/>
    <n v="76"/>
    <n v="27"/>
    <n v="5"/>
    <s v="Clothing"/>
    <x v="11"/>
    <x v="0"/>
    <x v="0"/>
    <x v="0"/>
  </r>
  <r>
    <x v="236"/>
    <n v="44"/>
    <n v="-32"/>
    <n v="3"/>
    <s v="Clothing"/>
    <x v="11"/>
    <x v="4"/>
    <x v="2"/>
    <x v="4"/>
  </r>
  <r>
    <x v="237"/>
    <n v="257"/>
    <n v="3"/>
    <n v="2"/>
    <s v="Clothing"/>
    <x v="6"/>
    <x v="0"/>
    <x v="2"/>
    <x v="4"/>
  </r>
  <r>
    <x v="238"/>
    <n v="255"/>
    <n v="76"/>
    <n v="9"/>
    <s v="Clothing"/>
    <x v="7"/>
    <x v="0"/>
    <x v="16"/>
    <x v="20"/>
  </r>
  <r>
    <x v="239"/>
    <n v="44"/>
    <n v="14"/>
    <n v="3"/>
    <s v="Clothing"/>
    <x v="7"/>
    <x v="4"/>
    <x v="1"/>
    <x v="10"/>
  </r>
  <r>
    <x v="189"/>
    <n v="45"/>
    <n v="-2"/>
    <n v="4"/>
    <s v="Clothing"/>
    <x v="16"/>
    <x v="0"/>
    <x v="7"/>
    <x v="9"/>
  </r>
  <r>
    <x v="0"/>
    <n v="44"/>
    <n v="-3"/>
    <n v="1"/>
    <s v="Clothing"/>
    <x v="6"/>
    <x v="4"/>
    <x v="0"/>
    <x v="0"/>
  </r>
  <r>
    <x v="58"/>
    <n v="382"/>
    <n v="119"/>
    <n v="2"/>
    <s v="Clothing"/>
    <x v="6"/>
    <x v="2"/>
    <x v="17"/>
    <x v="21"/>
  </r>
  <r>
    <x v="147"/>
    <n v="250"/>
    <n v="100"/>
    <n v="3"/>
    <s v="Clothing"/>
    <x v="5"/>
    <x v="0"/>
    <x v="17"/>
    <x v="21"/>
  </r>
  <r>
    <x v="240"/>
    <n v="45"/>
    <n v="-15"/>
    <n v="2"/>
    <s v="Furniture"/>
    <x v="1"/>
    <x v="0"/>
    <x v="7"/>
    <x v="9"/>
  </r>
  <r>
    <x v="135"/>
    <n v="246"/>
    <n v="61"/>
    <n v="2"/>
    <s v="Furniture"/>
    <x v="2"/>
    <x v="0"/>
    <x v="4"/>
    <x v="5"/>
  </r>
  <r>
    <x v="222"/>
    <n v="50"/>
    <n v="25"/>
    <n v="5"/>
    <s v="Clothing"/>
    <x v="11"/>
    <x v="0"/>
    <x v="2"/>
    <x v="2"/>
  </r>
  <r>
    <x v="241"/>
    <n v="246"/>
    <n v="98"/>
    <n v="5"/>
    <s v="Clothing"/>
    <x v="7"/>
    <x v="0"/>
    <x v="2"/>
    <x v="4"/>
  </r>
  <r>
    <x v="6"/>
    <n v="44"/>
    <n v="99"/>
    <n v="3"/>
    <s v="Clothing"/>
    <x v="8"/>
    <x v="4"/>
    <x v="3"/>
    <x v="3"/>
  </r>
  <r>
    <x v="242"/>
    <n v="245"/>
    <n v="-78"/>
    <n v="3"/>
    <s v="Clothing"/>
    <x v="6"/>
    <x v="0"/>
    <x v="3"/>
    <x v="3"/>
  </r>
  <r>
    <x v="155"/>
    <n v="245"/>
    <n v="30"/>
    <n v="2"/>
    <s v="Clothing"/>
    <x v="6"/>
    <x v="0"/>
    <x v="2"/>
    <x v="4"/>
  </r>
  <r>
    <x v="243"/>
    <n v="376"/>
    <n v="0"/>
    <n v="7"/>
    <s v="Clothing"/>
    <x v="11"/>
    <x v="2"/>
    <x v="5"/>
    <x v="6"/>
  </r>
  <r>
    <x v="81"/>
    <n v="45"/>
    <n v="1"/>
    <n v="3"/>
    <s v="Clothing"/>
    <x v="14"/>
    <x v="4"/>
    <x v="16"/>
    <x v="20"/>
  </r>
  <r>
    <x v="244"/>
    <n v="45"/>
    <n v="-28"/>
    <n v="2"/>
    <s v="Clothing"/>
    <x v="11"/>
    <x v="4"/>
    <x v="7"/>
    <x v="9"/>
  </r>
  <r>
    <x v="245"/>
    <n v="244"/>
    <n v="-122"/>
    <n v="5"/>
    <s v="Furniture"/>
    <x v="15"/>
    <x v="0"/>
    <x v="0"/>
    <x v="0"/>
  </r>
  <r>
    <x v="246"/>
    <n v="244"/>
    <n v="83"/>
    <n v="2"/>
    <s v="Furniture"/>
    <x v="2"/>
    <x v="0"/>
    <x v="0"/>
    <x v="0"/>
  </r>
  <r>
    <x v="138"/>
    <n v="10"/>
    <n v="4"/>
    <n v="1"/>
    <s v="Clothing"/>
    <x v="8"/>
    <x v="3"/>
    <x v="9"/>
    <x v="12"/>
  </r>
  <r>
    <x v="217"/>
    <n v="375"/>
    <n v="180"/>
    <n v="3"/>
    <s v="Furniture"/>
    <x v="2"/>
    <x v="2"/>
    <x v="0"/>
    <x v="0"/>
  </r>
  <r>
    <x v="74"/>
    <n v="46"/>
    <n v="14"/>
    <n v="5"/>
    <s v="Clothing"/>
    <x v="9"/>
    <x v="4"/>
    <x v="0"/>
    <x v="0"/>
  </r>
  <r>
    <x v="247"/>
    <n v="49"/>
    <n v="-31"/>
    <n v="2"/>
    <s v="Clothing"/>
    <x v="11"/>
    <x v="3"/>
    <x v="1"/>
    <x v="10"/>
  </r>
  <r>
    <x v="248"/>
    <n v="47"/>
    <n v="-20"/>
    <n v="2"/>
    <s v="Clothing"/>
    <x v="8"/>
    <x v="4"/>
    <x v="2"/>
    <x v="4"/>
  </r>
  <r>
    <x v="170"/>
    <n v="355"/>
    <n v="-114"/>
    <n v="7"/>
    <s v="Clothing"/>
    <x v="11"/>
    <x v="2"/>
    <x v="1"/>
    <x v="1"/>
  </r>
  <r>
    <x v="249"/>
    <n v="32"/>
    <n v="8"/>
    <n v="5"/>
    <s v="Clothing"/>
    <x v="7"/>
    <x v="3"/>
    <x v="0"/>
    <x v="0"/>
  </r>
  <r>
    <x v="0"/>
    <n v="243"/>
    <n v="-14"/>
    <n v="2"/>
    <s v="Furniture"/>
    <x v="1"/>
    <x v="0"/>
    <x v="0"/>
    <x v="0"/>
  </r>
  <r>
    <x v="250"/>
    <n v="241"/>
    <n v="-77"/>
    <n v="4"/>
    <s v="Electronics"/>
    <x v="0"/>
    <x v="0"/>
    <x v="5"/>
    <x v="6"/>
  </r>
  <r>
    <x v="251"/>
    <n v="47"/>
    <n v="15"/>
    <n v="5"/>
    <s v="Clothing"/>
    <x v="6"/>
    <x v="4"/>
    <x v="6"/>
    <x v="8"/>
  </r>
  <r>
    <x v="24"/>
    <n v="50"/>
    <n v="-10"/>
    <n v="6"/>
    <s v="Clothing"/>
    <x v="9"/>
    <x v="4"/>
    <x v="8"/>
    <x v="11"/>
  </r>
  <r>
    <x v="179"/>
    <n v="15"/>
    <n v="6"/>
    <n v="2"/>
    <s v="Clothing"/>
    <x v="7"/>
    <x v="0"/>
    <x v="12"/>
    <x v="15"/>
  </r>
  <r>
    <x v="81"/>
    <n v="148"/>
    <n v="24"/>
    <n v="3"/>
    <s v="Clothing"/>
    <x v="11"/>
    <x v="0"/>
    <x v="16"/>
    <x v="20"/>
  </r>
  <r>
    <x v="252"/>
    <n v="299"/>
    <n v="-28"/>
    <n v="3"/>
    <s v="Electronics"/>
    <x v="0"/>
    <x v="3"/>
    <x v="17"/>
    <x v="21"/>
  </r>
  <r>
    <x v="82"/>
    <n v="68"/>
    <n v="-30"/>
    <n v="1"/>
    <s v="Electronics"/>
    <x v="4"/>
    <x v="3"/>
    <x v="0"/>
    <x v="18"/>
  </r>
  <r>
    <x v="81"/>
    <n v="52"/>
    <n v="18"/>
    <n v="5"/>
    <s v="Clothing"/>
    <x v="12"/>
    <x v="4"/>
    <x v="16"/>
    <x v="20"/>
  </r>
  <r>
    <x v="131"/>
    <n v="239"/>
    <n v="-162"/>
    <n v="5"/>
    <s v="Furniture"/>
    <x v="1"/>
    <x v="0"/>
    <x v="2"/>
    <x v="4"/>
  </r>
  <r>
    <x v="135"/>
    <n v="27"/>
    <n v="6"/>
    <n v="3"/>
    <s v="Clothing"/>
    <x v="9"/>
    <x v="0"/>
    <x v="4"/>
    <x v="5"/>
  </r>
  <r>
    <x v="104"/>
    <n v="238"/>
    <n v="20"/>
    <n v="2"/>
    <s v="Clothing"/>
    <x v="6"/>
    <x v="0"/>
    <x v="2"/>
    <x v="4"/>
  </r>
  <r>
    <x v="177"/>
    <n v="48"/>
    <n v="16"/>
    <n v="3"/>
    <s v="Clothing"/>
    <x v="16"/>
    <x v="0"/>
    <x v="7"/>
    <x v="9"/>
  </r>
  <r>
    <x v="253"/>
    <n v="66"/>
    <n v="22"/>
    <n v="3"/>
    <s v="Clothing"/>
    <x v="11"/>
    <x v="3"/>
    <x v="15"/>
    <x v="16"/>
  </r>
  <r>
    <x v="254"/>
    <n v="53"/>
    <n v="24"/>
    <n v="1"/>
    <s v="Clothing"/>
    <x v="7"/>
    <x v="4"/>
    <x v="10"/>
    <x v="13"/>
  </r>
  <r>
    <x v="207"/>
    <n v="233"/>
    <n v="-10"/>
    <n v="5"/>
    <s v="Electronics"/>
    <x v="0"/>
    <x v="0"/>
    <x v="0"/>
    <x v="18"/>
  </r>
  <r>
    <x v="202"/>
    <n v="53"/>
    <n v="-2"/>
    <n v="3"/>
    <s v="Clothing"/>
    <x v="6"/>
    <x v="4"/>
    <x v="2"/>
    <x v="2"/>
  </r>
  <r>
    <x v="175"/>
    <n v="54"/>
    <n v="8"/>
    <n v="4"/>
    <s v="Clothing"/>
    <x v="14"/>
    <x v="4"/>
    <x v="10"/>
    <x v="13"/>
  </r>
  <r>
    <x v="255"/>
    <n v="352"/>
    <n v="-345"/>
    <n v="5"/>
    <s v="Clothing"/>
    <x v="6"/>
    <x v="2"/>
    <x v="0"/>
    <x v="0"/>
  </r>
  <r>
    <x v="114"/>
    <n v="349"/>
    <n v="0"/>
    <n v="7"/>
    <s v="Clothing"/>
    <x v="11"/>
    <x v="2"/>
    <x v="0"/>
    <x v="0"/>
  </r>
  <r>
    <x v="256"/>
    <n v="341"/>
    <n v="-85"/>
    <n v="6"/>
    <s v="Clothing"/>
    <x v="5"/>
    <x v="2"/>
    <x v="1"/>
    <x v="10"/>
  </r>
  <r>
    <x v="232"/>
    <n v="54"/>
    <n v="12"/>
    <n v="3"/>
    <s v="Clothing"/>
    <x v="6"/>
    <x v="4"/>
    <x v="8"/>
    <x v="11"/>
  </r>
  <r>
    <x v="1"/>
    <n v="57"/>
    <n v="7"/>
    <n v="2"/>
    <s v="Clothing"/>
    <x v="16"/>
    <x v="3"/>
    <x v="1"/>
    <x v="1"/>
  </r>
  <r>
    <x v="55"/>
    <n v="340"/>
    <n v="20"/>
    <n v="7"/>
    <s v="Clothing"/>
    <x v="16"/>
    <x v="2"/>
    <x v="3"/>
    <x v="3"/>
  </r>
  <r>
    <x v="1"/>
    <n v="227"/>
    <n v="48"/>
    <n v="5"/>
    <s v="Clothing"/>
    <x v="11"/>
    <x v="0"/>
    <x v="1"/>
    <x v="1"/>
  </r>
  <r>
    <x v="223"/>
    <n v="330"/>
    <n v="81"/>
    <n v="1"/>
    <s v="Furniture"/>
    <x v="2"/>
    <x v="2"/>
    <x v="8"/>
    <x v="11"/>
  </r>
  <r>
    <x v="36"/>
    <n v="216"/>
    <n v="-38"/>
    <n v="6"/>
    <s v="Furniture"/>
    <x v="15"/>
    <x v="3"/>
    <x v="2"/>
    <x v="2"/>
  </r>
  <r>
    <x v="257"/>
    <n v="224"/>
    <n v="-143"/>
    <n v="3"/>
    <s v="Furniture"/>
    <x v="1"/>
    <x v="0"/>
    <x v="10"/>
    <x v="13"/>
  </r>
  <r>
    <x v="258"/>
    <n v="55"/>
    <n v="-33"/>
    <n v="2"/>
    <s v="Furniture"/>
    <x v="1"/>
    <x v="4"/>
    <x v="4"/>
    <x v="5"/>
  </r>
  <r>
    <x v="121"/>
    <n v="49"/>
    <n v="21"/>
    <n v="1"/>
    <s v="Clothing"/>
    <x v="11"/>
    <x v="3"/>
    <x v="10"/>
    <x v="13"/>
  </r>
  <r>
    <x v="175"/>
    <n v="224"/>
    <n v="87"/>
    <n v="3"/>
    <s v="Clothing"/>
    <x v="5"/>
    <x v="0"/>
    <x v="10"/>
    <x v="13"/>
  </r>
  <r>
    <x v="155"/>
    <n v="223"/>
    <n v="27"/>
    <n v="2"/>
    <s v="Furniture"/>
    <x v="2"/>
    <x v="0"/>
    <x v="2"/>
    <x v="4"/>
  </r>
  <r>
    <x v="259"/>
    <n v="324"/>
    <n v="39"/>
    <n v="8"/>
    <s v="Electronics"/>
    <x v="13"/>
    <x v="2"/>
    <x v="0"/>
    <x v="0"/>
  </r>
  <r>
    <x v="93"/>
    <n v="56"/>
    <n v="18"/>
    <n v="2"/>
    <s v="Clothing"/>
    <x v="7"/>
    <x v="4"/>
    <x v="2"/>
    <x v="2"/>
  </r>
  <r>
    <x v="260"/>
    <n v="223"/>
    <n v="62"/>
    <n v="7"/>
    <s v="Clothing"/>
    <x v="16"/>
    <x v="0"/>
    <x v="8"/>
    <x v="11"/>
  </r>
  <r>
    <x v="237"/>
    <n v="10"/>
    <n v="2"/>
    <n v="2"/>
    <s v="Clothing"/>
    <x v="9"/>
    <x v="0"/>
    <x v="2"/>
    <x v="4"/>
  </r>
  <r>
    <x v="261"/>
    <n v="57"/>
    <n v="6"/>
    <n v="5"/>
    <s v="Clothing"/>
    <x v="12"/>
    <x v="4"/>
    <x v="0"/>
    <x v="0"/>
  </r>
  <r>
    <x v="73"/>
    <n v="322"/>
    <n v="-113"/>
    <n v="4"/>
    <s v="Clothing"/>
    <x v="6"/>
    <x v="2"/>
    <x v="2"/>
    <x v="2"/>
  </r>
  <r>
    <x v="262"/>
    <n v="219"/>
    <n v="4"/>
    <n v="2"/>
    <s v="Clothing"/>
    <x v="6"/>
    <x v="0"/>
    <x v="0"/>
    <x v="18"/>
  </r>
  <r>
    <x v="263"/>
    <n v="103"/>
    <n v="21"/>
    <n v="7"/>
    <s v="Clothing"/>
    <x v="11"/>
    <x v="3"/>
    <x v="8"/>
    <x v="11"/>
  </r>
  <r>
    <x v="10"/>
    <n v="47"/>
    <n v="-27"/>
    <n v="4"/>
    <s v="Clothing"/>
    <x v="6"/>
    <x v="0"/>
    <x v="0"/>
    <x v="0"/>
  </r>
  <r>
    <x v="155"/>
    <n v="219"/>
    <n v="0"/>
    <n v="1"/>
    <s v="Clothing"/>
    <x v="6"/>
    <x v="0"/>
    <x v="2"/>
    <x v="4"/>
  </r>
  <r>
    <x v="208"/>
    <n v="57"/>
    <n v="-48"/>
    <n v="6"/>
    <s v="Clothing"/>
    <x v="12"/>
    <x v="4"/>
    <x v="0"/>
    <x v="0"/>
  </r>
  <r>
    <x v="264"/>
    <n v="319"/>
    <n v="102"/>
    <n v="6"/>
    <s v="Electronics"/>
    <x v="13"/>
    <x v="2"/>
    <x v="12"/>
    <x v="15"/>
  </r>
  <r>
    <x v="34"/>
    <n v="315"/>
    <n v="-8"/>
    <n v="3"/>
    <s v="Furniture"/>
    <x v="1"/>
    <x v="2"/>
    <x v="0"/>
    <x v="18"/>
  </r>
  <r>
    <x v="184"/>
    <n v="314"/>
    <n v="-41"/>
    <n v="3"/>
    <s v="Electronics"/>
    <x v="0"/>
    <x v="2"/>
    <x v="2"/>
    <x v="4"/>
  </r>
  <r>
    <x v="162"/>
    <n v="311"/>
    <n v="40"/>
    <n v="1"/>
    <s v="Electronics"/>
    <x v="0"/>
    <x v="1"/>
    <x v="11"/>
    <x v="14"/>
  </r>
  <r>
    <x v="51"/>
    <n v="307"/>
    <n v="74"/>
    <n v="3"/>
    <s v="Electronics"/>
    <x v="13"/>
    <x v="1"/>
    <x v="13"/>
    <x v="16"/>
  </r>
  <r>
    <x v="155"/>
    <n v="294"/>
    <n v="109"/>
    <n v="7"/>
    <s v="Electronics"/>
    <x v="13"/>
    <x v="1"/>
    <x v="2"/>
    <x v="4"/>
  </r>
  <r>
    <x v="239"/>
    <n v="216"/>
    <n v="-83"/>
    <n v="3"/>
    <s v="Electronics"/>
    <x v="0"/>
    <x v="0"/>
    <x v="1"/>
    <x v="10"/>
  </r>
  <r>
    <x v="258"/>
    <n v="58"/>
    <n v="-42"/>
    <n v="2"/>
    <s v="Furniture"/>
    <x v="1"/>
    <x v="4"/>
    <x v="4"/>
    <x v="5"/>
  </r>
  <r>
    <x v="45"/>
    <n v="48"/>
    <n v="20"/>
    <n v="4"/>
    <s v="Clothing"/>
    <x v="11"/>
    <x v="3"/>
    <x v="7"/>
    <x v="9"/>
  </r>
  <r>
    <x v="2"/>
    <n v="54"/>
    <n v="14"/>
    <n v="3"/>
    <s v="Clothing"/>
    <x v="14"/>
    <x v="3"/>
    <x v="2"/>
    <x v="2"/>
  </r>
  <r>
    <x v="58"/>
    <n v="216"/>
    <n v="50"/>
    <n v="4"/>
    <s v="Clothing"/>
    <x v="11"/>
    <x v="0"/>
    <x v="17"/>
    <x v="21"/>
  </r>
  <r>
    <x v="260"/>
    <n v="215"/>
    <n v="-30"/>
    <n v="2"/>
    <s v="Clothing"/>
    <x v="6"/>
    <x v="0"/>
    <x v="8"/>
    <x v="11"/>
  </r>
  <r>
    <x v="265"/>
    <n v="43"/>
    <n v="8"/>
    <n v="3"/>
    <s v="Clothing"/>
    <x v="12"/>
    <x v="0"/>
    <x v="12"/>
    <x v="15"/>
  </r>
  <r>
    <x v="21"/>
    <n v="136"/>
    <n v="-33"/>
    <n v="5"/>
    <s v="Clothing"/>
    <x v="6"/>
    <x v="0"/>
    <x v="0"/>
    <x v="0"/>
  </r>
  <r>
    <x v="266"/>
    <n v="59"/>
    <n v="-30"/>
    <n v="3"/>
    <s v="Clothing"/>
    <x v="12"/>
    <x v="4"/>
    <x v="4"/>
    <x v="5"/>
  </r>
  <r>
    <x v="1"/>
    <n v="213"/>
    <n v="4"/>
    <n v="14"/>
    <s v="Clothing"/>
    <x v="16"/>
    <x v="0"/>
    <x v="1"/>
    <x v="1"/>
  </r>
  <r>
    <x v="253"/>
    <n v="59"/>
    <n v="21"/>
    <n v="2"/>
    <s v="Clothing"/>
    <x v="11"/>
    <x v="4"/>
    <x v="15"/>
    <x v="16"/>
  </r>
  <r>
    <x v="267"/>
    <n v="55"/>
    <n v="3"/>
    <n v="3"/>
    <s v="Clothing"/>
    <x v="14"/>
    <x v="0"/>
    <x v="12"/>
    <x v="15"/>
  </r>
  <r>
    <x v="2"/>
    <n v="294"/>
    <n v="62"/>
    <n v="9"/>
    <s v="Clothing"/>
    <x v="14"/>
    <x v="1"/>
    <x v="2"/>
    <x v="2"/>
  </r>
  <r>
    <x v="59"/>
    <n v="210"/>
    <n v="62"/>
    <n v="2"/>
    <s v="Electronics"/>
    <x v="4"/>
    <x v="0"/>
    <x v="13"/>
    <x v="22"/>
  </r>
  <r>
    <x v="206"/>
    <n v="59"/>
    <n v="24"/>
    <n v="6"/>
    <s v="Clothing"/>
    <x v="8"/>
    <x v="4"/>
    <x v="16"/>
    <x v="20"/>
  </r>
  <r>
    <x v="15"/>
    <n v="396"/>
    <n v="-31"/>
    <n v="9"/>
    <s v="Clothing"/>
    <x v="6"/>
    <x v="0"/>
    <x v="0"/>
    <x v="0"/>
  </r>
  <r>
    <x v="268"/>
    <n v="284"/>
    <n v="45"/>
    <n v="2"/>
    <s v="Furniture"/>
    <x v="2"/>
    <x v="1"/>
    <x v="0"/>
    <x v="0"/>
  </r>
  <r>
    <x v="269"/>
    <n v="276"/>
    <n v="52"/>
    <n v="5"/>
    <s v="Clothing"/>
    <x v="6"/>
    <x v="1"/>
    <x v="8"/>
    <x v="11"/>
  </r>
  <r>
    <x v="227"/>
    <n v="23"/>
    <n v="2"/>
    <n v="2"/>
    <s v="Clothing"/>
    <x v="9"/>
    <x v="3"/>
    <x v="5"/>
    <x v="6"/>
  </r>
  <r>
    <x v="270"/>
    <n v="209"/>
    <n v="-63"/>
    <n v="4"/>
    <s v="Electronics"/>
    <x v="0"/>
    <x v="0"/>
    <x v="10"/>
    <x v="13"/>
  </r>
  <r>
    <x v="271"/>
    <n v="50"/>
    <n v="-28"/>
    <n v="5"/>
    <s v="Furniture"/>
    <x v="15"/>
    <x v="0"/>
    <x v="6"/>
    <x v="23"/>
  </r>
  <r>
    <x v="272"/>
    <n v="57"/>
    <n v="27"/>
    <n v="2"/>
    <s v="Clothing"/>
    <x v="16"/>
    <x v="0"/>
    <x v="2"/>
    <x v="4"/>
  </r>
  <r>
    <x v="273"/>
    <n v="276"/>
    <n v="-21"/>
    <n v="2"/>
    <s v="Electronics"/>
    <x v="4"/>
    <x v="1"/>
    <x v="18"/>
    <x v="24"/>
  </r>
  <r>
    <x v="274"/>
    <n v="268"/>
    <n v="6"/>
    <n v="2"/>
    <s v="Furniture"/>
    <x v="2"/>
    <x v="3"/>
    <x v="2"/>
    <x v="4"/>
  </r>
  <r>
    <x v="104"/>
    <n v="269"/>
    <n v="111"/>
    <n v="3"/>
    <s v="Clothing"/>
    <x v="5"/>
    <x v="1"/>
    <x v="2"/>
    <x v="4"/>
  </r>
  <r>
    <x v="75"/>
    <n v="209"/>
    <n v="2"/>
    <n v="1"/>
    <s v="Clothing"/>
    <x v="6"/>
    <x v="0"/>
    <x v="0"/>
    <x v="0"/>
  </r>
  <r>
    <x v="275"/>
    <n v="60"/>
    <n v="-12"/>
    <n v="4"/>
    <s v="Clothing"/>
    <x v="7"/>
    <x v="4"/>
    <x v="0"/>
    <x v="0"/>
  </r>
  <r>
    <x v="173"/>
    <n v="269"/>
    <n v="-86"/>
    <n v="2"/>
    <s v="Electronics"/>
    <x v="0"/>
    <x v="1"/>
    <x v="2"/>
    <x v="4"/>
  </r>
  <r>
    <x v="110"/>
    <n v="208"/>
    <n v="-25"/>
    <n v="2"/>
    <s v="Clothing"/>
    <x v="6"/>
    <x v="0"/>
    <x v="0"/>
    <x v="0"/>
  </r>
  <r>
    <x v="167"/>
    <n v="27"/>
    <n v="2"/>
    <n v="2"/>
    <s v="Clothing"/>
    <x v="12"/>
    <x v="3"/>
    <x v="7"/>
    <x v="9"/>
  </r>
  <r>
    <x v="276"/>
    <n v="206"/>
    <n v="-206"/>
    <n v="3"/>
    <s v="Clothing"/>
    <x v="6"/>
    <x v="0"/>
    <x v="16"/>
    <x v="20"/>
  </r>
  <r>
    <x v="277"/>
    <n v="61"/>
    <n v="8"/>
    <n v="4"/>
    <s v="Clothing"/>
    <x v="7"/>
    <x v="4"/>
    <x v="14"/>
    <x v="19"/>
  </r>
  <r>
    <x v="110"/>
    <n v="212"/>
    <n v="-24"/>
    <n v="2"/>
    <s v="Furniture"/>
    <x v="1"/>
    <x v="0"/>
    <x v="0"/>
    <x v="0"/>
  </r>
  <r>
    <x v="218"/>
    <n v="262"/>
    <n v="64"/>
    <n v="6"/>
    <s v="Clothing"/>
    <x v="6"/>
    <x v="1"/>
    <x v="3"/>
    <x v="3"/>
  </r>
  <r>
    <x v="13"/>
    <n v="204"/>
    <n v="276"/>
    <n v="3"/>
    <s v="Furniture"/>
    <x v="2"/>
    <x v="0"/>
    <x v="2"/>
    <x v="4"/>
  </r>
  <r>
    <x v="67"/>
    <n v="59"/>
    <n v="-46"/>
    <n v="7"/>
    <s v="Clothing"/>
    <x v="14"/>
    <x v="3"/>
    <x v="0"/>
    <x v="0"/>
  </r>
  <r>
    <x v="110"/>
    <n v="199"/>
    <n v="-18"/>
    <n v="2"/>
    <s v="Clothing"/>
    <x v="6"/>
    <x v="0"/>
    <x v="0"/>
    <x v="0"/>
  </r>
  <r>
    <x v="278"/>
    <n v="59"/>
    <n v="6"/>
    <n v="1"/>
    <s v="Electronics"/>
    <x v="13"/>
    <x v="3"/>
    <x v="2"/>
    <x v="4"/>
  </r>
  <r>
    <x v="211"/>
    <n v="45"/>
    <n v="9"/>
    <n v="3"/>
    <s v="Clothing"/>
    <x v="12"/>
    <x v="3"/>
    <x v="17"/>
    <x v="21"/>
  </r>
  <r>
    <x v="74"/>
    <n v="211"/>
    <n v="19"/>
    <n v="8"/>
    <s v="Clothing"/>
    <x v="11"/>
    <x v="0"/>
    <x v="0"/>
    <x v="0"/>
  </r>
  <r>
    <x v="150"/>
    <n v="65"/>
    <n v="-16"/>
    <n v="2"/>
    <s v="Electronics"/>
    <x v="4"/>
    <x v="4"/>
    <x v="14"/>
    <x v="19"/>
  </r>
  <r>
    <x v="36"/>
    <n v="25"/>
    <n v="0"/>
    <n v="4"/>
    <s v="Clothing"/>
    <x v="9"/>
    <x v="3"/>
    <x v="2"/>
    <x v="2"/>
  </r>
  <r>
    <x v="279"/>
    <n v="196"/>
    <n v="-7"/>
    <n v="5"/>
    <s v="Electronics"/>
    <x v="4"/>
    <x v="0"/>
    <x v="8"/>
    <x v="11"/>
  </r>
  <r>
    <x v="21"/>
    <n v="261"/>
    <n v="13"/>
    <n v="6"/>
    <s v="Clothing"/>
    <x v="16"/>
    <x v="2"/>
    <x v="0"/>
    <x v="0"/>
  </r>
  <r>
    <x v="87"/>
    <n v="195"/>
    <n v="-117"/>
    <n v="5"/>
    <s v="Electronics"/>
    <x v="4"/>
    <x v="0"/>
    <x v="5"/>
    <x v="6"/>
  </r>
  <r>
    <x v="134"/>
    <n v="192"/>
    <n v="-146"/>
    <n v="3"/>
    <s v="Clothing"/>
    <x v="6"/>
    <x v="0"/>
    <x v="17"/>
    <x v="21"/>
  </r>
  <r>
    <x v="280"/>
    <n v="189"/>
    <n v="87"/>
    <n v="7"/>
    <s v="Clothing"/>
    <x v="11"/>
    <x v="0"/>
    <x v="10"/>
    <x v="13"/>
  </r>
  <r>
    <x v="125"/>
    <n v="32"/>
    <n v="2"/>
    <n v="2"/>
    <s v="Clothing"/>
    <x v="8"/>
    <x v="3"/>
    <x v="0"/>
    <x v="0"/>
  </r>
  <r>
    <x v="42"/>
    <n v="188"/>
    <n v="13"/>
    <n v="7"/>
    <s v="Clothing"/>
    <x v="16"/>
    <x v="0"/>
    <x v="0"/>
    <x v="0"/>
  </r>
  <r>
    <x v="281"/>
    <n v="73"/>
    <n v="-25"/>
    <n v="3"/>
    <s v="Clothing"/>
    <x v="6"/>
    <x v="0"/>
    <x v="0"/>
    <x v="0"/>
  </r>
  <r>
    <x v="20"/>
    <n v="259"/>
    <n v="47"/>
    <n v="5"/>
    <s v="Clothing"/>
    <x v="7"/>
    <x v="2"/>
    <x v="8"/>
    <x v="11"/>
  </r>
  <r>
    <x v="282"/>
    <n v="187"/>
    <n v="-15"/>
    <n v="3"/>
    <s v="Clothing"/>
    <x v="5"/>
    <x v="0"/>
    <x v="0"/>
    <x v="0"/>
  </r>
  <r>
    <x v="18"/>
    <n v="26"/>
    <n v="11"/>
    <n v="2"/>
    <s v="Clothing"/>
    <x v="7"/>
    <x v="3"/>
    <x v="7"/>
    <x v="9"/>
  </r>
  <r>
    <x v="35"/>
    <n v="185"/>
    <n v="-26"/>
    <n v="6"/>
    <s v="Furniture"/>
    <x v="1"/>
    <x v="0"/>
    <x v="3"/>
    <x v="3"/>
  </r>
  <r>
    <x v="283"/>
    <n v="248"/>
    <n v="8"/>
    <n v="2"/>
    <s v="Clothing"/>
    <x v="6"/>
    <x v="2"/>
    <x v="1"/>
    <x v="7"/>
  </r>
  <r>
    <x v="284"/>
    <n v="67"/>
    <n v="9"/>
    <n v="4"/>
    <s v="Clothing"/>
    <x v="12"/>
    <x v="4"/>
    <x v="0"/>
    <x v="18"/>
  </r>
  <r>
    <x v="257"/>
    <n v="248"/>
    <n v="-70"/>
    <n v="3"/>
    <s v="Furniture"/>
    <x v="1"/>
    <x v="2"/>
    <x v="10"/>
    <x v="13"/>
  </r>
  <r>
    <x v="218"/>
    <n v="246"/>
    <n v="61"/>
    <n v="2"/>
    <s v="Furniture"/>
    <x v="2"/>
    <x v="2"/>
    <x v="3"/>
    <x v="3"/>
  </r>
  <r>
    <x v="285"/>
    <n v="179"/>
    <n v="-25"/>
    <n v="5"/>
    <s v="Clothing"/>
    <x v="8"/>
    <x v="0"/>
    <x v="8"/>
    <x v="11"/>
  </r>
  <r>
    <x v="286"/>
    <n v="176"/>
    <n v="-28"/>
    <n v="5"/>
    <s v="Furniture"/>
    <x v="15"/>
    <x v="0"/>
    <x v="15"/>
    <x v="16"/>
  </r>
  <r>
    <x v="267"/>
    <n v="176"/>
    <n v="-13"/>
    <n v="5"/>
    <s v="Furniture"/>
    <x v="15"/>
    <x v="0"/>
    <x v="12"/>
    <x v="15"/>
  </r>
  <r>
    <x v="50"/>
    <n v="68"/>
    <n v="-62"/>
    <n v="2"/>
    <s v="Clothing"/>
    <x v="5"/>
    <x v="4"/>
    <x v="6"/>
    <x v="8"/>
  </r>
  <r>
    <x v="287"/>
    <n v="176"/>
    <n v="37"/>
    <n v="6"/>
    <s v="Electronics"/>
    <x v="13"/>
    <x v="0"/>
    <x v="11"/>
    <x v="14"/>
  </r>
  <r>
    <x v="216"/>
    <n v="88"/>
    <n v="11"/>
    <n v="7"/>
    <s v="Clothing"/>
    <x v="7"/>
    <x v="3"/>
    <x v="8"/>
    <x v="11"/>
  </r>
  <r>
    <x v="288"/>
    <n v="68"/>
    <n v="20"/>
    <n v="5"/>
    <s v="Clothing"/>
    <x v="7"/>
    <x v="4"/>
    <x v="18"/>
    <x v="24"/>
  </r>
  <r>
    <x v="289"/>
    <n v="231"/>
    <n v="99"/>
    <n v="2"/>
    <s v="Electronics"/>
    <x v="0"/>
    <x v="2"/>
    <x v="2"/>
    <x v="2"/>
  </r>
  <r>
    <x v="232"/>
    <n v="62"/>
    <n v="8"/>
    <n v="2"/>
    <s v="Clothing"/>
    <x v="14"/>
    <x v="3"/>
    <x v="8"/>
    <x v="11"/>
  </r>
  <r>
    <x v="190"/>
    <n v="175"/>
    <n v="77"/>
    <n v="3"/>
    <s v="Clothing"/>
    <x v="6"/>
    <x v="0"/>
    <x v="10"/>
    <x v="13"/>
  </r>
  <r>
    <x v="100"/>
    <n v="71"/>
    <n v="4"/>
    <n v="5"/>
    <s v="Clothing"/>
    <x v="12"/>
    <x v="4"/>
    <x v="6"/>
    <x v="23"/>
  </r>
  <r>
    <x v="276"/>
    <n v="174"/>
    <n v="-70"/>
    <n v="3"/>
    <s v="Electronics"/>
    <x v="13"/>
    <x v="0"/>
    <x v="16"/>
    <x v="20"/>
  </r>
  <r>
    <x v="102"/>
    <n v="173"/>
    <n v="69"/>
    <n v="3"/>
    <s v="Furniture"/>
    <x v="1"/>
    <x v="0"/>
    <x v="0"/>
    <x v="0"/>
  </r>
  <r>
    <x v="85"/>
    <n v="171"/>
    <n v="2"/>
    <n v="2"/>
    <s v="Electronics"/>
    <x v="0"/>
    <x v="0"/>
    <x v="6"/>
    <x v="23"/>
  </r>
  <r>
    <x v="134"/>
    <n v="268"/>
    <n v="-25"/>
    <n v="3"/>
    <s v="Clothing"/>
    <x v="6"/>
    <x v="0"/>
    <x v="17"/>
    <x v="21"/>
  </r>
  <r>
    <x v="290"/>
    <n v="71"/>
    <n v="32"/>
    <n v="3"/>
    <s v="Clothing"/>
    <x v="6"/>
    <x v="4"/>
    <x v="8"/>
    <x v="11"/>
  </r>
  <r>
    <x v="291"/>
    <n v="29"/>
    <n v="10"/>
    <n v="4"/>
    <s v="Clothing"/>
    <x v="7"/>
    <x v="3"/>
    <x v="9"/>
    <x v="12"/>
  </r>
  <r>
    <x v="292"/>
    <n v="65"/>
    <n v="17"/>
    <n v="2"/>
    <s v="Clothing"/>
    <x v="14"/>
    <x v="3"/>
    <x v="6"/>
    <x v="8"/>
  </r>
  <r>
    <x v="29"/>
    <n v="72"/>
    <n v="-46"/>
    <n v="7"/>
    <s v="Clothing"/>
    <x v="8"/>
    <x v="4"/>
    <x v="12"/>
    <x v="15"/>
  </r>
  <r>
    <x v="293"/>
    <n v="168"/>
    <n v="-51"/>
    <n v="2"/>
    <s v="Furniture"/>
    <x v="2"/>
    <x v="0"/>
    <x v="0"/>
    <x v="0"/>
  </r>
  <r>
    <x v="74"/>
    <n v="165"/>
    <n v="30"/>
    <n v="3"/>
    <s v="Clothing"/>
    <x v="11"/>
    <x v="0"/>
    <x v="0"/>
    <x v="0"/>
  </r>
  <r>
    <x v="252"/>
    <n v="74"/>
    <n v="-59"/>
    <n v="2"/>
    <s v="Electronics"/>
    <x v="13"/>
    <x v="4"/>
    <x v="17"/>
    <x v="21"/>
  </r>
  <r>
    <x v="152"/>
    <n v="89"/>
    <n v="17"/>
    <n v="2"/>
    <s v="Clothing"/>
    <x v="11"/>
    <x v="3"/>
    <x v="6"/>
    <x v="23"/>
  </r>
  <r>
    <x v="207"/>
    <n v="228"/>
    <n v="63"/>
    <n v="3"/>
    <s v="Electronics"/>
    <x v="0"/>
    <x v="2"/>
    <x v="0"/>
    <x v="18"/>
  </r>
  <r>
    <x v="64"/>
    <n v="119"/>
    <n v="-24"/>
    <n v="4"/>
    <s v="Furniture"/>
    <x v="15"/>
    <x v="0"/>
    <x v="1"/>
    <x v="7"/>
  </r>
  <r>
    <x v="118"/>
    <n v="75"/>
    <n v="-25"/>
    <n v="3"/>
    <s v="Clothing"/>
    <x v="11"/>
    <x v="3"/>
    <x v="2"/>
    <x v="4"/>
  </r>
  <r>
    <x v="101"/>
    <n v="67"/>
    <n v="20"/>
    <n v="4"/>
    <s v="Clothing"/>
    <x v="14"/>
    <x v="3"/>
    <x v="9"/>
    <x v="12"/>
  </r>
  <r>
    <x v="89"/>
    <n v="7"/>
    <n v="0"/>
    <n v="1"/>
    <s v="Clothing"/>
    <x v="12"/>
    <x v="0"/>
    <x v="0"/>
    <x v="0"/>
  </r>
  <r>
    <x v="148"/>
    <n v="222"/>
    <n v="35"/>
    <n v="5"/>
    <s v="Clothing"/>
    <x v="6"/>
    <x v="2"/>
    <x v="13"/>
    <x v="16"/>
  </r>
  <r>
    <x v="204"/>
    <n v="219"/>
    <n v="-9"/>
    <n v="4"/>
    <s v="Clothing"/>
    <x v="6"/>
    <x v="2"/>
    <x v="12"/>
    <x v="15"/>
  </r>
  <r>
    <x v="10"/>
    <n v="42"/>
    <n v="-23"/>
    <n v="2"/>
    <s v="Furniture"/>
    <x v="15"/>
    <x v="3"/>
    <x v="0"/>
    <x v="0"/>
  </r>
  <r>
    <x v="66"/>
    <n v="216"/>
    <n v="-135"/>
    <n v="3"/>
    <s v="Furniture"/>
    <x v="1"/>
    <x v="2"/>
    <x v="10"/>
    <x v="13"/>
  </r>
  <r>
    <x v="294"/>
    <n v="47"/>
    <n v="-21"/>
    <n v="2"/>
    <s v="Electronics"/>
    <x v="0"/>
    <x v="0"/>
    <x v="6"/>
    <x v="8"/>
  </r>
  <r>
    <x v="233"/>
    <n v="68"/>
    <n v="-55"/>
    <n v="5"/>
    <s v="Electronics"/>
    <x v="13"/>
    <x v="3"/>
    <x v="12"/>
    <x v="15"/>
  </r>
  <r>
    <x v="103"/>
    <n v="74"/>
    <n v="33"/>
    <n v="2"/>
    <s v="Clothing"/>
    <x v="16"/>
    <x v="4"/>
    <x v="0"/>
    <x v="0"/>
  </r>
  <r>
    <x v="109"/>
    <n v="165"/>
    <n v="46"/>
    <n v="3"/>
    <s v="Furniture"/>
    <x v="15"/>
    <x v="0"/>
    <x v="2"/>
    <x v="4"/>
  </r>
  <r>
    <x v="179"/>
    <n v="101"/>
    <n v="11"/>
    <n v="2"/>
    <s v="Clothing"/>
    <x v="7"/>
    <x v="3"/>
    <x v="12"/>
    <x v="15"/>
  </r>
  <r>
    <x v="295"/>
    <n v="162"/>
    <n v="73"/>
    <n v="2"/>
    <s v="Electronics"/>
    <x v="0"/>
    <x v="0"/>
    <x v="6"/>
    <x v="8"/>
  </r>
  <r>
    <x v="247"/>
    <n v="20"/>
    <n v="-22"/>
    <n v="1"/>
    <s v="Furniture"/>
    <x v="15"/>
    <x v="3"/>
    <x v="1"/>
    <x v="10"/>
  </r>
  <r>
    <x v="135"/>
    <n v="162"/>
    <n v="55"/>
    <n v="3"/>
    <s v="Clothing"/>
    <x v="11"/>
    <x v="0"/>
    <x v="4"/>
    <x v="5"/>
  </r>
  <r>
    <x v="173"/>
    <n v="229"/>
    <n v="-23"/>
    <n v="2"/>
    <s v="Clothing"/>
    <x v="6"/>
    <x v="3"/>
    <x v="2"/>
    <x v="4"/>
  </r>
  <r>
    <x v="296"/>
    <n v="27"/>
    <n v="0"/>
    <n v="2"/>
    <s v="Clothing"/>
    <x v="12"/>
    <x v="0"/>
    <x v="7"/>
    <x v="9"/>
  </r>
  <r>
    <x v="20"/>
    <n v="685"/>
    <n v="7"/>
    <n v="7"/>
    <s v="Clothing"/>
    <x v="5"/>
    <x v="3"/>
    <x v="8"/>
    <x v="11"/>
  </r>
  <r>
    <x v="196"/>
    <n v="75"/>
    <n v="2"/>
    <n v="5"/>
    <s v="Clothing"/>
    <x v="12"/>
    <x v="4"/>
    <x v="2"/>
    <x v="4"/>
  </r>
  <r>
    <x v="191"/>
    <n v="161"/>
    <n v="-229"/>
    <n v="8"/>
    <s v="Furniture"/>
    <x v="15"/>
    <x v="0"/>
    <x v="8"/>
    <x v="11"/>
  </r>
  <r>
    <x v="269"/>
    <n v="71"/>
    <n v="19"/>
    <n v="3"/>
    <s v="Clothing"/>
    <x v="14"/>
    <x v="0"/>
    <x v="8"/>
    <x v="11"/>
  </r>
  <r>
    <x v="104"/>
    <n v="211"/>
    <n v="-105"/>
    <n v="2"/>
    <s v="Clothing"/>
    <x v="6"/>
    <x v="2"/>
    <x v="2"/>
    <x v="4"/>
  </r>
  <r>
    <x v="297"/>
    <n v="79"/>
    <n v="5"/>
    <n v="6"/>
    <s v="Clothing"/>
    <x v="7"/>
    <x v="4"/>
    <x v="18"/>
    <x v="24"/>
  </r>
  <r>
    <x v="111"/>
    <n v="32"/>
    <n v="-22"/>
    <n v="5"/>
    <s v="Clothing"/>
    <x v="6"/>
    <x v="3"/>
    <x v="0"/>
    <x v="18"/>
  </r>
  <r>
    <x v="298"/>
    <n v="161"/>
    <n v="40"/>
    <n v="3"/>
    <s v="Clothing"/>
    <x v="11"/>
    <x v="0"/>
    <x v="0"/>
    <x v="0"/>
  </r>
  <r>
    <x v="89"/>
    <n v="159"/>
    <n v="4"/>
    <n v="1"/>
    <s v="Clothing"/>
    <x v="6"/>
    <x v="0"/>
    <x v="0"/>
    <x v="0"/>
  </r>
  <r>
    <x v="113"/>
    <n v="210"/>
    <n v="-50"/>
    <n v="4"/>
    <s v="Clothing"/>
    <x v="7"/>
    <x v="2"/>
    <x v="12"/>
    <x v="15"/>
  </r>
  <r>
    <x v="193"/>
    <n v="79"/>
    <n v="39"/>
    <n v="2"/>
    <s v="Clothing"/>
    <x v="16"/>
    <x v="4"/>
    <x v="1"/>
    <x v="1"/>
  </r>
  <r>
    <x v="150"/>
    <n v="207"/>
    <n v="153"/>
    <n v="3"/>
    <s v="Clothing"/>
    <x v="6"/>
    <x v="2"/>
    <x v="14"/>
    <x v="19"/>
  </r>
  <r>
    <x v="166"/>
    <n v="36"/>
    <n v="0"/>
    <n v="4"/>
    <s v="Clothing"/>
    <x v="8"/>
    <x v="0"/>
    <x v="0"/>
    <x v="0"/>
  </r>
  <r>
    <x v="76"/>
    <n v="206"/>
    <n v="12"/>
    <n v="1"/>
    <s v="Electronics"/>
    <x v="3"/>
    <x v="2"/>
    <x v="0"/>
    <x v="0"/>
  </r>
  <r>
    <x v="109"/>
    <n v="46"/>
    <n v="0"/>
    <n v="4"/>
    <s v="Clothing"/>
    <x v="12"/>
    <x v="0"/>
    <x v="2"/>
    <x v="4"/>
  </r>
  <r>
    <x v="241"/>
    <n v="156"/>
    <n v="23"/>
    <n v="3"/>
    <s v="Clothing"/>
    <x v="11"/>
    <x v="0"/>
    <x v="2"/>
    <x v="4"/>
  </r>
  <r>
    <x v="254"/>
    <n v="154"/>
    <n v="54"/>
    <n v="3"/>
    <s v="Clothing"/>
    <x v="7"/>
    <x v="0"/>
    <x v="10"/>
    <x v="13"/>
  </r>
  <r>
    <x v="299"/>
    <n v="36"/>
    <n v="15"/>
    <n v="3"/>
    <s v="Clothing"/>
    <x v="11"/>
    <x v="3"/>
    <x v="11"/>
    <x v="14"/>
  </r>
  <r>
    <x v="300"/>
    <n v="206"/>
    <n v="51"/>
    <n v="4"/>
    <s v="Clothing"/>
    <x v="7"/>
    <x v="2"/>
    <x v="14"/>
    <x v="19"/>
  </r>
  <r>
    <x v="301"/>
    <n v="200"/>
    <n v="7"/>
    <n v="4"/>
    <s v="Electronics"/>
    <x v="0"/>
    <x v="2"/>
    <x v="1"/>
    <x v="10"/>
  </r>
  <r>
    <x v="300"/>
    <n v="199"/>
    <n v="-1"/>
    <n v="1"/>
    <s v="Clothing"/>
    <x v="6"/>
    <x v="2"/>
    <x v="14"/>
    <x v="19"/>
  </r>
  <r>
    <x v="256"/>
    <n v="154"/>
    <n v="22"/>
    <n v="7"/>
    <s v="Clothing"/>
    <x v="14"/>
    <x v="0"/>
    <x v="1"/>
    <x v="10"/>
  </r>
  <r>
    <x v="302"/>
    <n v="152"/>
    <n v="23"/>
    <n v="3"/>
    <s v="Furniture"/>
    <x v="15"/>
    <x v="0"/>
    <x v="2"/>
    <x v="2"/>
  </r>
  <r>
    <x v="303"/>
    <n v="152"/>
    <n v="50"/>
    <n v="6"/>
    <s v="Clothing"/>
    <x v="11"/>
    <x v="0"/>
    <x v="0"/>
    <x v="18"/>
  </r>
  <r>
    <x v="173"/>
    <n v="122"/>
    <n v="-21"/>
    <n v="3"/>
    <s v="Furniture"/>
    <x v="15"/>
    <x v="3"/>
    <x v="2"/>
    <x v="4"/>
  </r>
  <r>
    <x v="202"/>
    <n v="149"/>
    <n v="48"/>
    <n v="6"/>
    <s v="Clothing"/>
    <x v="11"/>
    <x v="0"/>
    <x v="2"/>
    <x v="2"/>
  </r>
  <r>
    <x v="304"/>
    <n v="149"/>
    <n v="-87"/>
    <n v="4"/>
    <s v="Clothing"/>
    <x v="6"/>
    <x v="0"/>
    <x v="17"/>
    <x v="21"/>
  </r>
  <r>
    <x v="249"/>
    <n v="197"/>
    <n v="20"/>
    <n v="4"/>
    <s v="Clothing"/>
    <x v="8"/>
    <x v="2"/>
    <x v="0"/>
    <x v="0"/>
  </r>
  <r>
    <x v="39"/>
    <n v="76"/>
    <n v="-54"/>
    <n v="3"/>
    <s v="Electronics"/>
    <x v="0"/>
    <x v="0"/>
    <x v="2"/>
    <x v="4"/>
  </r>
  <r>
    <x v="230"/>
    <n v="221"/>
    <n v="-15"/>
    <n v="2"/>
    <s v="Electronics"/>
    <x v="0"/>
    <x v="0"/>
    <x v="2"/>
    <x v="4"/>
  </r>
  <r>
    <x v="198"/>
    <n v="79"/>
    <n v="32"/>
    <n v="3"/>
    <s v="Clothing"/>
    <x v="6"/>
    <x v="4"/>
    <x v="6"/>
    <x v="8"/>
  </r>
  <r>
    <x v="305"/>
    <n v="45"/>
    <n v="12"/>
    <n v="7"/>
    <s v="Clothing"/>
    <x v="7"/>
    <x v="3"/>
    <x v="2"/>
    <x v="2"/>
  </r>
  <r>
    <x v="189"/>
    <n v="149"/>
    <n v="-1"/>
    <n v="1"/>
    <s v="Clothing"/>
    <x v="6"/>
    <x v="0"/>
    <x v="7"/>
    <x v="9"/>
  </r>
  <r>
    <x v="269"/>
    <n v="80"/>
    <n v="22"/>
    <n v="3"/>
    <s v="Clothing"/>
    <x v="11"/>
    <x v="4"/>
    <x v="8"/>
    <x v="11"/>
  </r>
  <r>
    <x v="224"/>
    <n v="195"/>
    <n v="12"/>
    <n v="9"/>
    <s v="Clothing"/>
    <x v="16"/>
    <x v="2"/>
    <x v="1"/>
    <x v="10"/>
  </r>
  <r>
    <x v="29"/>
    <n v="19"/>
    <n v="0"/>
    <n v="3"/>
    <s v="Clothing"/>
    <x v="9"/>
    <x v="3"/>
    <x v="12"/>
    <x v="15"/>
  </r>
  <r>
    <x v="101"/>
    <n v="81"/>
    <n v="41"/>
    <n v="3"/>
    <s v="Clothing"/>
    <x v="11"/>
    <x v="4"/>
    <x v="9"/>
    <x v="12"/>
  </r>
  <r>
    <x v="306"/>
    <n v="83"/>
    <n v="34"/>
    <n v="5"/>
    <s v="Clothing"/>
    <x v="16"/>
    <x v="4"/>
    <x v="10"/>
    <x v="13"/>
  </r>
  <r>
    <x v="24"/>
    <n v="149"/>
    <n v="17"/>
    <n v="4"/>
    <s v="Furniture"/>
    <x v="15"/>
    <x v="0"/>
    <x v="8"/>
    <x v="11"/>
  </r>
  <r>
    <x v="307"/>
    <n v="193"/>
    <n v="46"/>
    <n v="1"/>
    <s v="Electronics"/>
    <x v="3"/>
    <x v="2"/>
    <x v="2"/>
    <x v="2"/>
  </r>
  <r>
    <x v="58"/>
    <n v="85"/>
    <n v="24"/>
    <n v="10"/>
    <s v="Clothing"/>
    <x v="7"/>
    <x v="4"/>
    <x v="17"/>
    <x v="21"/>
  </r>
  <r>
    <x v="189"/>
    <n v="44"/>
    <n v="-17"/>
    <n v="5"/>
    <s v="Clothing"/>
    <x v="6"/>
    <x v="3"/>
    <x v="7"/>
    <x v="9"/>
  </r>
  <r>
    <x v="308"/>
    <n v="149"/>
    <n v="-40"/>
    <n v="2"/>
    <s v="Electronics"/>
    <x v="4"/>
    <x v="0"/>
    <x v="15"/>
    <x v="16"/>
  </r>
  <r>
    <x v="309"/>
    <n v="26"/>
    <n v="0"/>
    <n v="2"/>
    <s v="Clothing"/>
    <x v="8"/>
    <x v="0"/>
    <x v="2"/>
    <x v="2"/>
  </r>
  <r>
    <x v="226"/>
    <n v="86"/>
    <n v="0"/>
    <n v="4"/>
    <s v="Clothing"/>
    <x v="14"/>
    <x v="4"/>
    <x v="0"/>
    <x v="0"/>
  </r>
  <r>
    <x v="310"/>
    <n v="86"/>
    <n v="22"/>
    <n v="2"/>
    <s v="Clothing"/>
    <x v="6"/>
    <x v="4"/>
    <x v="2"/>
    <x v="2"/>
  </r>
  <r>
    <x v="34"/>
    <n v="79"/>
    <n v="16"/>
    <n v="3"/>
    <s v="Clothing"/>
    <x v="14"/>
    <x v="0"/>
    <x v="0"/>
    <x v="18"/>
  </r>
  <r>
    <x v="311"/>
    <n v="193"/>
    <n v="-275"/>
    <n v="3"/>
    <s v="Electronics"/>
    <x v="4"/>
    <x v="2"/>
    <x v="6"/>
    <x v="8"/>
  </r>
  <r>
    <x v="131"/>
    <n v="148"/>
    <n v="0"/>
    <n v="3"/>
    <s v="Clothing"/>
    <x v="6"/>
    <x v="0"/>
    <x v="2"/>
    <x v="4"/>
  </r>
  <r>
    <x v="312"/>
    <n v="70"/>
    <n v="-14"/>
    <n v="2"/>
    <s v="Furniture"/>
    <x v="15"/>
    <x v="3"/>
    <x v="13"/>
    <x v="16"/>
  </r>
  <r>
    <x v="313"/>
    <n v="148"/>
    <n v="59"/>
    <n v="3"/>
    <s v="Clothing"/>
    <x v="7"/>
    <x v="0"/>
    <x v="1"/>
    <x v="10"/>
  </r>
  <r>
    <x v="21"/>
    <n v="190"/>
    <n v="19"/>
    <n v="9"/>
    <s v="Furniture"/>
    <x v="15"/>
    <x v="2"/>
    <x v="0"/>
    <x v="0"/>
  </r>
  <r>
    <x v="228"/>
    <n v="52"/>
    <n v="14"/>
    <n v="2"/>
    <s v="Clothing"/>
    <x v="11"/>
    <x v="0"/>
    <x v="12"/>
    <x v="15"/>
  </r>
  <r>
    <x v="295"/>
    <n v="147"/>
    <n v="44"/>
    <n v="3"/>
    <s v="Clothing"/>
    <x v="6"/>
    <x v="0"/>
    <x v="6"/>
    <x v="8"/>
  </r>
  <r>
    <x v="159"/>
    <n v="190"/>
    <n v="68"/>
    <n v="8"/>
    <s v="Clothing"/>
    <x v="14"/>
    <x v="2"/>
    <x v="2"/>
    <x v="4"/>
  </r>
  <r>
    <x v="314"/>
    <n v="80"/>
    <n v="-56"/>
    <n v="4"/>
    <s v="Electronics"/>
    <x v="0"/>
    <x v="3"/>
    <x v="7"/>
    <x v="9"/>
  </r>
  <r>
    <x v="102"/>
    <n v="147"/>
    <n v="48"/>
    <n v="3"/>
    <s v="Clothing"/>
    <x v="6"/>
    <x v="0"/>
    <x v="0"/>
    <x v="0"/>
  </r>
  <r>
    <x v="154"/>
    <n v="66"/>
    <n v="12"/>
    <n v="3"/>
    <s v="Clothing"/>
    <x v="11"/>
    <x v="0"/>
    <x v="0"/>
    <x v="0"/>
  </r>
  <r>
    <x v="315"/>
    <n v="86"/>
    <n v="8"/>
    <n v="2"/>
    <s v="Clothing"/>
    <x v="6"/>
    <x v="4"/>
    <x v="0"/>
    <x v="0"/>
  </r>
  <r>
    <x v="241"/>
    <n v="88"/>
    <n v="19"/>
    <n v="2"/>
    <s v="Clothing"/>
    <x v="16"/>
    <x v="4"/>
    <x v="2"/>
    <x v="4"/>
  </r>
  <r>
    <x v="101"/>
    <n v="188"/>
    <n v="-193"/>
    <n v="2"/>
    <s v="Electronics"/>
    <x v="0"/>
    <x v="2"/>
    <x v="9"/>
    <x v="12"/>
  </r>
  <r>
    <x v="147"/>
    <n v="89"/>
    <n v="29"/>
    <n v="2"/>
    <s v="Clothing"/>
    <x v="11"/>
    <x v="3"/>
    <x v="17"/>
    <x v="21"/>
  </r>
  <r>
    <x v="316"/>
    <n v="146"/>
    <n v="19"/>
    <n v="5"/>
    <s v="Clothing"/>
    <x v="11"/>
    <x v="0"/>
    <x v="0"/>
    <x v="0"/>
  </r>
  <r>
    <x v="94"/>
    <n v="143"/>
    <n v="32"/>
    <n v="1"/>
    <s v="Furniture"/>
    <x v="2"/>
    <x v="0"/>
    <x v="17"/>
    <x v="21"/>
  </r>
  <r>
    <x v="244"/>
    <n v="25"/>
    <n v="-1"/>
    <n v="4"/>
    <s v="Clothing"/>
    <x v="8"/>
    <x v="0"/>
    <x v="7"/>
    <x v="9"/>
  </r>
  <r>
    <x v="297"/>
    <n v="30"/>
    <n v="12"/>
    <n v="3"/>
    <s v="Clothing"/>
    <x v="9"/>
    <x v="3"/>
    <x v="18"/>
    <x v="24"/>
  </r>
  <r>
    <x v="112"/>
    <n v="140"/>
    <n v="-58"/>
    <n v="4"/>
    <s v="Furniture"/>
    <x v="15"/>
    <x v="0"/>
    <x v="4"/>
    <x v="5"/>
  </r>
  <r>
    <x v="214"/>
    <n v="83"/>
    <n v="-48"/>
    <n v="1"/>
    <s v="Furniture"/>
    <x v="2"/>
    <x v="3"/>
    <x v="12"/>
    <x v="15"/>
  </r>
  <r>
    <x v="317"/>
    <n v="140"/>
    <n v="6"/>
    <n v="5"/>
    <s v="Clothing"/>
    <x v="6"/>
    <x v="0"/>
    <x v="0"/>
    <x v="0"/>
  </r>
  <r>
    <x v="166"/>
    <n v="28"/>
    <n v="14"/>
    <n v="4"/>
    <s v="Clothing"/>
    <x v="7"/>
    <x v="0"/>
    <x v="0"/>
    <x v="0"/>
  </r>
  <r>
    <x v="318"/>
    <n v="139"/>
    <n v="14"/>
    <n v="3"/>
    <s v="Clothing"/>
    <x v="11"/>
    <x v="0"/>
    <x v="0"/>
    <x v="18"/>
  </r>
  <r>
    <x v="18"/>
    <n v="30"/>
    <n v="14"/>
    <n v="3"/>
    <s v="Clothing"/>
    <x v="7"/>
    <x v="3"/>
    <x v="7"/>
    <x v="9"/>
  </r>
  <r>
    <x v="222"/>
    <n v="89"/>
    <n v="36"/>
    <n v="3"/>
    <s v="Clothing"/>
    <x v="16"/>
    <x v="3"/>
    <x v="2"/>
    <x v="2"/>
  </r>
  <r>
    <x v="91"/>
    <n v="187"/>
    <n v="30"/>
    <n v="4"/>
    <s v="Electronics"/>
    <x v="13"/>
    <x v="2"/>
    <x v="6"/>
    <x v="8"/>
  </r>
  <r>
    <x v="241"/>
    <n v="139"/>
    <n v="21"/>
    <n v="3"/>
    <s v="Electronics"/>
    <x v="13"/>
    <x v="0"/>
    <x v="2"/>
    <x v="4"/>
  </r>
  <r>
    <x v="257"/>
    <n v="437"/>
    <n v="-14"/>
    <n v="2"/>
    <s v="Clothing"/>
    <x v="6"/>
    <x v="3"/>
    <x v="10"/>
    <x v="13"/>
  </r>
  <r>
    <x v="195"/>
    <n v="138"/>
    <n v="-3"/>
    <n v="5"/>
    <s v="Clothing"/>
    <x v="6"/>
    <x v="0"/>
    <x v="1"/>
    <x v="10"/>
  </r>
  <r>
    <x v="267"/>
    <n v="85"/>
    <n v="13"/>
    <n v="2"/>
    <s v="Clothing"/>
    <x v="16"/>
    <x v="3"/>
    <x v="12"/>
    <x v="15"/>
  </r>
  <r>
    <x v="170"/>
    <n v="83"/>
    <n v="12"/>
    <n v="3"/>
    <s v="Clothing"/>
    <x v="11"/>
    <x v="3"/>
    <x v="1"/>
    <x v="1"/>
  </r>
  <r>
    <x v="262"/>
    <n v="91"/>
    <n v="22"/>
    <n v="2"/>
    <s v="Clothing"/>
    <x v="11"/>
    <x v="3"/>
    <x v="0"/>
    <x v="18"/>
  </r>
  <r>
    <x v="140"/>
    <n v="137"/>
    <n v="5"/>
    <n v="5"/>
    <s v="Clothing"/>
    <x v="16"/>
    <x v="0"/>
    <x v="0"/>
    <x v="0"/>
  </r>
  <r>
    <x v="319"/>
    <n v="33"/>
    <n v="-12"/>
    <n v="7"/>
    <s v="Clothing"/>
    <x v="6"/>
    <x v="3"/>
    <x v="0"/>
    <x v="0"/>
  </r>
  <r>
    <x v="40"/>
    <n v="134"/>
    <n v="-34"/>
    <n v="2"/>
    <s v="Furniture"/>
    <x v="1"/>
    <x v="0"/>
    <x v="10"/>
    <x v="13"/>
  </r>
  <r>
    <x v="320"/>
    <n v="134"/>
    <n v="42"/>
    <n v="2"/>
    <s v="Furniture"/>
    <x v="1"/>
    <x v="0"/>
    <x v="2"/>
    <x v="4"/>
  </r>
  <r>
    <x v="321"/>
    <n v="133"/>
    <n v="-56"/>
    <n v="2"/>
    <s v="Furniture"/>
    <x v="1"/>
    <x v="0"/>
    <x v="15"/>
    <x v="16"/>
  </r>
  <r>
    <x v="168"/>
    <n v="93"/>
    <n v="-84"/>
    <n v="3"/>
    <s v="Clothing"/>
    <x v="6"/>
    <x v="3"/>
    <x v="14"/>
    <x v="19"/>
  </r>
  <r>
    <x v="129"/>
    <n v="86"/>
    <n v="-21"/>
    <n v="1"/>
    <s v="Electronics"/>
    <x v="0"/>
    <x v="3"/>
    <x v="2"/>
    <x v="4"/>
  </r>
  <r>
    <x v="23"/>
    <n v="132"/>
    <n v="54"/>
    <n v="5"/>
    <s v="Clothing"/>
    <x v="11"/>
    <x v="0"/>
    <x v="10"/>
    <x v="13"/>
  </r>
  <r>
    <x v="53"/>
    <n v="132"/>
    <n v="-10"/>
    <n v="3"/>
    <s v="Clothing"/>
    <x v="6"/>
    <x v="0"/>
    <x v="13"/>
    <x v="16"/>
  </r>
  <r>
    <x v="220"/>
    <n v="132"/>
    <n v="-79"/>
    <n v="5"/>
    <s v="Furniture"/>
    <x v="15"/>
    <x v="0"/>
    <x v="7"/>
    <x v="9"/>
  </r>
  <r>
    <x v="260"/>
    <n v="93"/>
    <n v="-65"/>
    <n v="4"/>
    <s v="Clothing"/>
    <x v="11"/>
    <x v="3"/>
    <x v="8"/>
    <x v="11"/>
  </r>
  <r>
    <x v="322"/>
    <n v="95"/>
    <n v="5"/>
    <n v="2"/>
    <s v="Clothing"/>
    <x v="11"/>
    <x v="3"/>
    <x v="1"/>
    <x v="10"/>
  </r>
  <r>
    <x v="35"/>
    <n v="97"/>
    <n v="12"/>
    <n v="2"/>
    <s v="Clothing"/>
    <x v="7"/>
    <x v="3"/>
    <x v="3"/>
    <x v="3"/>
  </r>
  <r>
    <x v="323"/>
    <n v="131"/>
    <n v="-154"/>
    <n v="8"/>
    <s v="Furniture"/>
    <x v="15"/>
    <x v="0"/>
    <x v="17"/>
    <x v="21"/>
  </r>
  <r>
    <x v="266"/>
    <n v="97"/>
    <n v="29"/>
    <n v="2"/>
    <s v="Clothing"/>
    <x v="7"/>
    <x v="3"/>
    <x v="4"/>
    <x v="5"/>
  </r>
  <r>
    <x v="18"/>
    <n v="128"/>
    <n v="4"/>
    <n v="3"/>
    <s v="Clothing"/>
    <x v="6"/>
    <x v="0"/>
    <x v="7"/>
    <x v="9"/>
  </r>
  <r>
    <x v="10"/>
    <n v="186"/>
    <n v="241"/>
    <n v="9"/>
    <s v="Clothing"/>
    <x v="16"/>
    <x v="2"/>
    <x v="0"/>
    <x v="0"/>
  </r>
  <r>
    <x v="34"/>
    <n v="128"/>
    <n v="47"/>
    <n v="4"/>
    <s v="Clothing"/>
    <x v="7"/>
    <x v="0"/>
    <x v="0"/>
    <x v="18"/>
  </r>
  <r>
    <x v="140"/>
    <n v="185"/>
    <n v="48"/>
    <n v="4"/>
    <s v="Clothing"/>
    <x v="11"/>
    <x v="2"/>
    <x v="0"/>
    <x v="0"/>
  </r>
  <r>
    <x v="324"/>
    <n v="29"/>
    <n v="10"/>
    <n v="2"/>
    <s v="Clothing"/>
    <x v="11"/>
    <x v="0"/>
    <x v="0"/>
    <x v="0"/>
  </r>
  <r>
    <x v="33"/>
    <n v="127"/>
    <n v="29"/>
    <n v="3"/>
    <s v="Furniture"/>
    <x v="15"/>
    <x v="0"/>
    <x v="7"/>
    <x v="17"/>
  </r>
  <r>
    <x v="205"/>
    <n v="97"/>
    <n v="36"/>
    <n v="7"/>
    <s v="Clothing"/>
    <x v="7"/>
    <x v="3"/>
    <x v="0"/>
    <x v="0"/>
  </r>
  <r>
    <x v="108"/>
    <n v="125"/>
    <n v="0"/>
    <n v="3"/>
    <s v="Electronics"/>
    <x v="13"/>
    <x v="0"/>
    <x v="17"/>
    <x v="21"/>
  </r>
  <r>
    <x v="325"/>
    <n v="299"/>
    <n v="-8"/>
    <n v="2"/>
    <s v="Clothing"/>
    <x v="6"/>
    <x v="0"/>
    <x v="12"/>
    <x v="15"/>
  </r>
  <r>
    <x v="326"/>
    <n v="124"/>
    <n v="54"/>
    <n v="5"/>
    <s v="Clothing"/>
    <x v="14"/>
    <x v="0"/>
    <x v="6"/>
    <x v="23"/>
  </r>
  <r>
    <x v="195"/>
    <n v="90"/>
    <n v="17"/>
    <n v="3"/>
    <s v="Clothing"/>
    <x v="16"/>
    <x v="0"/>
    <x v="1"/>
    <x v="10"/>
  </r>
  <r>
    <x v="221"/>
    <n v="122"/>
    <n v="11"/>
    <n v="4"/>
    <s v="Clothing"/>
    <x v="7"/>
    <x v="0"/>
    <x v="0"/>
    <x v="0"/>
  </r>
  <r>
    <x v="305"/>
    <n v="122"/>
    <n v="-66"/>
    <n v="9"/>
    <s v="Electronics"/>
    <x v="13"/>
    <x v="0"/>
    <x v="2"/>
    <x v="2"/>
  </r>
  <r>
    <x v="42"/>
    <n v="90"/>
    <n v="30"/>
    <n v="2"/>
    <s v="Furniture"/>
    <x v="1"/>
    <x v="3"/>
    <x v="0"/>
    <x v="0"/>
  </r>
  <r>
    <x v="327"/>
    <n v="182"/>
    <n v="-11"/>
    <n v="3"/>
    <s v="Furniture"/>
    <x v="2"/>
    <x v="2"/>
    <x v="2"/>
    <x v="2"/>
  </r>
  <r>
    <x v="121"/>
    <n v="122"/>
    <n v="59"/>
    <n v="7"/>
    <s v="Furniture"/>
    <x v="15"/>
    <x v="0"/>
    <x v="10"/>
    <x v="13"/>
  </r>
  <r>
    <x v="328"/>
    <n v="121"/>
    <n v="19"/>
    <n v="4"/>
    <s v="Clothing"/>
    <x v="11"/>
    <x v="0"/>
    <x v="13"/>
    <x v="22"/>
  </r>
  <r>
    <x v="135"/>
    <n v="120"/>
    <n v="1"/>
    <n v="1"/>
    <s v="Furniture"/>
    <x v="1"/>
    <x v="0"/>
    <x v="4"/>
    <x v="5"/>
  </r>
  <r>
    <x v="147"/>
    <n v="120"/>
    <n v="23"/>
    <n v="5"/>
    <s v="Clothing"/>
    <x v="11"/>
    <x v="0"/>
    <x v="17"/>
    <x v="21"/>
  </r>
  <r>
    <x v="74"/>
    <n v="34"/>
    <n v="-11"/>
    <n v="5"/>
    <s v="Clothing"/>
    <x v="14"/>
    <x v="0"/>
    <x v="0"/>
    <x v="0"/>
  </r>
  <r>
    <x v="67"/>
    <n v="117"/>
    <n v="17"/>
    <n v="6"/>
    <s v="Clothing"/>
    <x v="8"/>
    <x v="0"/>
    <x v="0"/>
    <x v="0"/>
  </r>
  <r>
    <x v="329"/>
    <n v="38"/>
    <n v="9"/>
    <n v="2"/>
    <s v="Clothing"/>
    <x v="11"/>
    <x v="0"/>
    <x v="13"/>
    <x v="16"/>
  </r>
  <r>
    <x v="6"/>
    <n v="117"/>
    <n v="-6"/>
    <n v="3"/>
    <s v="Electronics"/>
    <x v="4"/>
    <x v="0"/>
    <x v="3"/>
    <x v="3"/>
  </r>
  <r>
    <x v="185"/>
    <n v="180"/>
    <n v="54"/>
    <n v="4"/>
    <s v="Clothing"/>
    <x v="14"/>
    <x v="2"/>
    <x v="7"/>
    <x v="17"/>
  </r>
  <r>
    <x v="192"/>
    <n v="99"/>
    <n v="-5"/>
    <n v="1"/>
    <s v="Clothing"/>
    <x v="6"/>
    <x v="3"/>
    <x v="5"/>
    <x v="6"/>
  </r>
  <r>
    <x v="89"/>
    <n v="172"/>
    <n v="-103"/>
    <n v="3"/>
    <s v="Furniture"/>
    <x v="1"/>
    <x v="1"/>
    <x v="0"/>
    <x v="0"/>
  </r>
  <r>
    <x v="117"/>
    <n v="116"/>
    <n v="16"/>
    <n v="4"/>
    <s v="Clothing"/>
    <x v="11"/>
    <x v="0"/>
    <x v="0"/>
    <x v="18"/>
  </r>
  <r>
    <x v="6"/>
    <n v="116"/>
    <n v="-4"/>
    <n v="1"/>
    <s v="Clothing"/>
    <x v="6"/>
    <x v="0"/>
    <x v="3"/>
    <x v="3"/>
  </r>
  <r>
    <x v="330"/>
    <n v="171"/>
    <n v="68"/>
    <n v="7"/>
    <s v="Clothing"/>
    <x v="11"/>
    <x v="1"/>
    <x v="0"/>
    <x v="0"/>
  </r>
  <r>
    <x v="98"/>
    <n v="46"/>
    <n v="14"/>
    <n v="5"/>
    <s v="Clothing"/>
    <x v="9"/>
    <x v="0"/>
    <x v="4"/>
    <x v="5"/>
  </r>
  <r>
    <x v="69"/>
    <n v="115"/>
    <n v="-39"/>
    <n v="3"/>
    <s v="Clothing"/>
    <x v="5"/>
    <x v="0"/>
    <x v="4"/>
    <x v="5"/>
  </r>
  <r>
    <x v="331"/>
    <n v="100"/>
    <n v="7"/>
    <n v="2"/>
    <s v="Clothing"/>
    <x v="14"/>
    <x v="3"/>
    <x v="1"/>
    <x v="7"/>
  </r>
  <r>
    <x v="132"/>
    <n v="44"/>
    <n v="8"/>
    <n v="2"/>
    <s v="Clothing"/>
    <x v="11"/>
    <x v="0"/>
    <x v="8"/>
    <x v="11"/>
  </r>
  <r>
    <x v="206"/>
    <n v="139"/>
    <n v="14"/>
    <n v="3"/>
    <s v="Clothing"/>
    <x v="8"/>
    <x v="0"/>
    <x v="16"/>
    <x v="20"/>
  </r>
  <r>
    <x v="332"/>
    <n v="171"/>
    <n v="-140"/>
    <n v="2"/>
    <s v="Furniture"/>
    <x v="2"/>
    <x v="1"/>
    <x v="9"/>
    <x v="12"/>
  </r>
  <r>
    <x v="333"/>
    <n v="100"/>
    <n v="12"/>
    <n v="2"/>
    <s v="Clothing"/>
    <x v="14"/>
    <x v="3"/>
    <x v="2"/>
    <x v="4"/>
  </r>
  <r>
    <x v="317"/>
    <n v="115"/>
    <n v="25"/>
    <n v="6"/>
    <s v="Clothing"/>
    <x v="11"/>
    <x v="0"/>
    <x v="0"/>
    <x v="0"/>
  </r>
  <r>
    <x v="6"/>
    <n v="168"/>
    <n v="-9"/>
    <n v="3"/>
    <s v="Clothing"/>
    <x v="6"/>
    <x v="0"/>
    <x v="3"/>
    <x v="3"/>
  </r>
  <r>
    <x v="334"/>
    <n v="115"/>
    <n v="47"/>
    <n v="2"/>
    <s v="Electronics"/>
    <x v="13"/>
    <x v="0"/>
    <x v="6"/>
    <x v="23"/>
  </r>
  <r>
    <x v="4"/>
    <n v="168"/>
    <n v="-111"/>
    <n v="2"/>
    <s v="Electronics"/>
    <x v="4"/>
    <x v="1"/>
    <x v="2"/>
    <x v="2"/>
  </r>
  <r>
    <x v="335"/>
    <n v="31"/>
    <n v="-7"/>
    <n v="5"/>
    <s v="Clothing"/>
    <x v="9"/>
    <x v="3"/>
    <x v="2"/>
    <x v="4"/>
  </r>
  <r>
    <x v="34"/>
    <n v="114"/>
    <n v="41"/>
    <n v="6"/>
    <s v="Furniture"/>
    <x v="15"/>
    <x v="0"/>
    <x v="0"/>
    <x v="18"/>
  </r>
  <r>
    <x v="105"/>
    <n v="111"/>
    <n v="9"/>
    <n v="4"/>
    <s v="Clothing"/>
    <x v="11"/>
    <x v="0"/>
    <x v="2"/>
    <x v="4"/>
  </r>
  <r>
    <x v="336"/>
    <n v="11"/>
    <n v="-8"/>
    <n v="2"/>
    <s v="Clothing"/>
    <x v="9"/>
    <x v="3"/>
    <x v="16"/>
    <x v="20"/>
  </r>
  <r>
    <x v="217"/>
    <n v="110"/>
    <n v="35"/>
    <n v="1"/>
    <s v="Furniture"/>
    <x v="15"/>
    <x v="0"/>
    <x v="0"/>
    <x v="0"/>
  </r>
  <r>
    <x v="98"/>
    <n v="59"/>
    <n v="15"/>
    <n v="2"/>
    <s v="Clothing"/>
    <x v="14"/>
    <x v="3"/>
    <x v="4"/>
    <x v="5"/>
  </r>
  <r>
    <x v="198"/>
    <n v="166"/>
    <n v="27"/>
    <n v="2"/>
    <s v="Electronics"/>
    <x v="13"/>
    <x v="1"/>
    <x v="6"/>
    <x v="8"/>
  </r>
  <r>
    <x v="27"/>
    <n v="109"/>
    <n v="-6"/>
    <n v="6"/>
    <s v="Clothing"/>
    <x v="6"/>
    <x v="0"/>
    <x v="2"/>
    <x v="4"/>
  </r>
  <r>
    <x v="276"/>
    <n v="34"/>
    <n v="-6"/>
    <n v="4"/>
    <s v="Clothing"/>
    <x v="12"/>
    <x v="0"/>
    <x v="16"/>
    <x v="20"/>
  </r>
  <r>
    <x v="260"/>
    <n v="109"/>
    <n v="40"/>
    <n v="1"/>
    <s v="Furniture"/>
    <x v="15"/>
    <x v="0"/>
    <x v="8"/>
    <x v="11"/>
  </r>
  <r>
    <x v="44"/>
    <n v="108"/>
    <n v="22"/>
    <n v="3"/>
    <s v="Electronics"/>
    <x v="13"/>
    <x v="0"/>
    <x v="2"/>
    <x v="2"/>
  </r>
  <r>
    <x v="278"/>
    <n v="103"/>
    <n v="50"/>
    <n v="2"/>
    <s v="Furniture"/>
    <x v="15"/>
    <x v="3"/>
    <x v="2"/>
    <x v="4"/>
  </r>
  <r>
    <x v="178"/>
    <n v="10"/>
    <n v="-8"/>
    <n v="2"/>
    <s v="Clothing"/>
    <x v="9"/>
    <x v="0"/>
    <x v="0"/>
    <x v="0"/>
  </r>
  <r>
    <x v="139"/>
    <n v="90"/>
    <n v="17"/>
    <n v="3"/>
    <s v="Clothing"/>
    <x v="7"/>
    <x v="0"/>
    <x v="0"/>
    <x v="18"/>
  </r>
  <r>
    <x v="173"/>
    <n v="105"/>
    <n v="46"/>
    <n v="2"/>
    <s v="Clothing"/>
    <x v="11"/>
    <x v="3"/>
    <x v="2"/>
    <x v="4"/>
  </r>
  <r>
    <x v="304"/>
    <n v="105"/>
    <n v="20"/>
    <n v="2"/>
    <s v="Clothing"/>
    <x v="11"/>
    <x v="4"/>
    <x v="17"/>
    <x v="21"/>
  </r>
  <r>
    <x v="337"/>
    <n v="22"/>
    <n v="-6"/>
    <n v="1"/>
    <s v="Furniture"/>
    <x v="15"/>
    <x v="0"/>
    <x v="17"/>
    <x v="21"/>
  </r>
  <r>
    <x v="83"/>
    <n v="105"/>
    <n v="-33"/>
    <n v="5"/>
    <s v="Clothing"/>
    <x v="8"/>
    <x v="0"/>
    <x v="9"/>
    <x v="12"/>
  </r>
  <r>
    <x v="338"/>
    <n v="105"/>
    <n v="25"/>
    <n v="2"/>
    <s v="Clothing"/>
    <x v="7"/>
    <x v="1"/>
    <x v="17"/>
    <x v="21"/>
  </r>
  <r>
    <x v="339"/>
    <n v="25"/>
    <n v="-7"/>
    <n v="5"/>
    <s v="Clothing"/>
    <x v="6"/>
    <x v="3"/>
    <x v="2"/>
    <x v="4"/>
  </r>
  <r>
    <x v="278"/>
    <n v="104"/>
    <n v="2"/>
    <n v="2"/>
    <s v="Furniture"/>
    <x v="15"/>
    <x v="0"/>
    <x v="2"/>
    <x v="4"/>
  </r>
  <r>
    <x v="340"/>
    <n v="16"/>
    <n v="5"/>
    <n v="1"/>
    <s v="Clothing"/>
    <x v="11"/>
    <x v="3"/>
    <x v="9"/>
    <x v="12"/>
  </r>
  <r>
    <x v="183"/>
    <n v="64"/>
    <n v="-7"/>
    <n v="3"/>
    <s v="Clothing"/>
    <x v="6"/>
    <x v="0"/>
    <x v="3"/>
    <x v="3"/>
  </r>
  <r>
    <x v="341"/>
    <n v="38"/>
    <n v="-6"/>
    <n v="2"/>
    <s v="Furniture"/>
    <x v="15"/>
    <x v="3"/>
    <x v="13"/>
    <x v="16"/>
  </r>
  <r>
    <x v="342"/>
    <n v="83"/>
    <n v="12"/>
    <n v="2"/>
    <s v="Furniture"/>
    <x v="1"/>
    <x v="0"/>
    <x v="8"/>
    <x v="11"/>
  </r>
  <r>
    <x v="159"/>
    <n v="103"/>
    <n v="36"/>
    <n v="2"/>
    <s v="Clothing"/>
    <x v="7"/>
    <x v="0"/>
    <x v="2"/>
    <x v="4"/>
  </r>
  <r>
    <x v="131"/>
    <n v="37"/>
    <n v="-6"/>
    <n v="1"/>
    <s v="Clothing"/>
    <x v="6"/>
    <x v="3"/>
    <x v="2"/>
    <x v="4"/>
  </r>
  <r>
    <x v="343"/>
    <n v="105"/>
    <n v="33"/>
    <n v="6"/>
    <s v="Clothing"/>
    <x v="6"/>
    <x v="1"/>
    <x v="0"/>
    <x v="0"/>
  </r>
  <r>
    <x v="110"/>
    <n v="78"/>
    <n v="-6"/>
    <n v="2"/>
    <s v="Furniture"/>
    <x v="15"/>
    <x v="3"/>
    <x v="0"/>
    <x v="0"/>
  </r>
  <r>
    <x v="14"/>
    <n v="102"/>
    <n v="-90"/>
    <n v="1"/>
    <s v="Clothing"/>
    <x v="6"/>
    <x v="0"/>
    <x v="1"/>
    <x v="1"/>
  </r>
  <r>
    <x v="344"/>
    <n v="102"/>
    <n v="11"/>
    <n v="6"/>
    <s v="Clothing"/>
    <x v="14"/>
    <x v="0"/>
    <x v="8"/>
    <x v="11"/>
  </r>
  <r>
    <x v="230"/>
    <n v="10"/>
    <n v="-8"/>
    <n v="1"/>
    <s v="Clothing"/>
    <x v="8"/>
    <x v="3"/>
    <x v="2"/>
    <x v="4"/>
  </r>
  <r>
    <x v="93"/>
    <n v="101"/>
    <n v="18"/>
    <n v="9"/>
    <s v="Clothing"/>
    <x v="9"/>
    <x v="0"/>
    <x v="2"/>
    <x v="2"/>
  </r>
  <r>
    <x v="345"/>
    <n v="42"/>
    <n v="-6"/>
    <n v="4"/>
    <s v="Clothing"/>
    <x v="6"/>
    <x v="3"/>
    <x v="10"/>
    <x v="13"/>
  </r>
  <r>
    <x v="239"/>
    <n v="56"/>
    <n v="18"/>
    <n v="2"/>
    <s v="Clothing"/>
    <x v="7"/>
    <x v="3"/>
    <x v="1"/>
    <x v="10"/>
  </r>
  <r>
    <x v="339"/>
    <n v="95"/>
    <n v="5"/>
    <n v="2"/>
    <s v="Clothing"/>
    <x v="11"/>
    <x v="0"/>
    <x v="2"/>
    <x v="4"/>
  </r>
  <r>
    <x v="346"/>
    <n v="159"/>
    <n v="2"/>
    <n v="3"/>
    <s v="Furniture"/>
    <x v="15"/>
    <x v="1"/>
    <x v="7"/>
    <x v="17"/>
  </r>
  <r>
    <x v="304"/>
    <n v="158"/>
    <n v="69"/>
    <n v="3"/>
    <s v="Clothing"/>
    <x v="11"/>
    <x v="1"/>
    <x v="17"/>
    <x v="21"/>
  </r>
  <r>
    <x v="230"/>
    <n v="106"/>
    <n v="0"/>
    <n v="2"/>
    <s v="Electronics"/>
    <x v="4"/>
    <x v="1"/>
    <x v="2"/>
    <x v="4"/>
  </r>
  <r>
    <x v="92"/>
    <n v="101"/>
    <n v="16"/>
    <n v="4"/>
    <s v="Clothing"/>
    <x v="14"/>
    <x v="0"/>
    <x v="3"/>
    <x v="3"/>
  </r>
  <r>
    <x v="152"/>
    <n v="107"/>
    <n v="37"/>
    <n v="3"/>
    <s v="Clothing"/>
    <x v="16"/>
    <x v="0"/>
    <x v="6"/>
    <x v="23"/>
  </r>
  <r>
    <x v="347"/>
    <n v="156"/>
    <n v="36"/>
    <n v="5"/>
    <s v="Clothing"/>
    <x v="14"/>
    <x v="1"/>
    <x v="3"/>
    <x v="3"/>
  </r>
  <r>
    <x v="348"/>
    <n v="108"/>
    <n v="-19"/>
    <n v="3"/>
    <s v="Electronics"/>
    <x v="0"/>
    <x v="3"/>
    <x v="0"/>
    <x v="0"/>
  </r>
  <r>
    <x v="233"/>
    <n v="107"/>
    <n v="-54"/>
    <n v="4"/>
    <s v="Clothing"/>
    <x v="11"/>
    <x v="1"/>
    <x v="12"/>
    <x v="15"/>
  </r>
  <r>
    <x v="349"/>
    <n v="100"/>
    <n v="-58"/>
    <n v="4"/>
    <s v="Clothing"/>
    <x v="7"/>
    <x v="0"/>
    <x v="0"/>
    <x v="18"/>
  </r>
  <r>
    <x v="249"/>
    <n v="108"/>
    <n v="26"/>
    <n v="4"/>
    <s v="Clothing"/>
    <x v="16"/>
    <x v="3"/>
    <x v="0"/>
    <x v="0"/>
  </r>
  <r>
    <x v="350"/>
    <n v="100"/>
    <n v="6"/>
    <n v="4"/>
    <s v="Clothing"/>
    <x v="11"/>
    <x v="0"/>
    <x v="2"/>
    <x v="4"/>
  </r>
  <r>
    <x v="186"/>
    <n v="100"/>
    <n v="-23"/>
    <n v="1"/>
    <s v="Electronics"/>
    <x v="4"/>
    <x v="0"/>
    <x v="13"/>
    <x v="16"/>
  </r>
  <r>
    <x v="96"/>
    <n v="43"/>
    <n v="17"/>
    <n v="2"/>
    <s v="Clothing"/>
    <x v="14"/>
    <x v="3"/>
    <x v="15"/>
    <x v="16"/>
  </r>
  <r>
    <x v="167"/>
    <n v="155"/>
    <n v="26"/>
    <n v="3"/>
    <s v="Clothing"/>
    <x v="11"/>
    <x v="1"/>
    <x v="7"/>
    <x v="9"/>
  </r>
  <r>
    <x v="351"/>
    <n v="151"/>
    <n v="9"/>
    <n v="3"/>
    <s v="Clothing"/>
    <x v="7"/>
    <x v="1"/>
    <x v="2"/>
    <x v="4"/>
  </r>
  <r>
    <x v="133"/>
    <n v="151"/>
    <n v="29"/>
    <n v="5"/>
    <s v="Clothing"/>
    <x v="7"/>
    <x v="1"/>
    <x v="13"/>
    <x v="16"/>
  </r>
  <r>
    <x v="15"/>
    <n v="110"/>
    <n v="-68"/>
    <n v="4"/>
    <s v="Clothing"/>
    <x v="6"/>
    <x v="1"/>
    <x v="0"/>
    <x v="0"/>
  </r>
  <r>
    <x v="74"/>
    <n v="98"/>
    <n v="9"/>
    <n v="2"/>
    <s v="Furniture"/>
    <x v="15"/>
    <x v="0"/>
    <x v="0"/>
    <x v="0"/>
  </r>
  <r>
    <x v="15"/>
    <n v="97"/>
    <n v="-62"/>
    <n v="2"/>
    <s v="Clothing"/>
    <x v="5"/>
    <x v="0"/>
    <x v="0"/>
    <x v="0"/>
  </r>
  <r>
    <x v="94"/>
    <n v="111"/>
    <n v="35"/>
    <n v="5"/>
    <s v="Clothing"/>
    <x v="16"/>
    <x v="0"/>
    <x v="17"/>
    <x v="21"/>
  </r>
  <r>
    <x v="265"/>
    <n v="45"/>
    <n v="17"/>
    <n v="1"/>
    <s v="Electronics"/>
    <x v="13"/>
    <x v="0"/>
    <x v="12"/>
    <x v="15"/>
  </r>
  <r>
    <x v="352"/>
    <n v="112"/>
    <n v="15"/>
    <n v="2"/>
    <s v="Furniture"/>
    <x v="1"/>
    <x v="0"/>
    <x v="2"/>
    <x v="4"/>
  </r>
  <r>
    <x v="2"/>
    <n v="110"/>
    <n v="20"/>
    <n v="5"/>
    <s v="Clothing"/>
    <x v="11"/>
    <x v="4"/>
    <x v="2"/>
    <x v="2"/>
  </r>
  <r>
    <x v="61"/>
    <n v="98"/>
    <n v="-5"/>
    <n v="2"/>
    <s v="Clothing"/>
    <x v="6"/>
    <x v="3"/>
    <x v="0"/>
    <x v="0"/>
  </r>
  <r>
    <x v="353"/>
    <n v="110"/>
    <n v="12"/>
    <n v="7"/>
    <s v="Clothing"/>
    <x v="11"/>
    <x v="4"/>
    <x v="6"/>
    <x v="23"/>
  </r>
  <r>
    <x v="18"/>
    <n v="95"/>
    <n v="11"/>
    <n v="4"/>
    <s v="Furniture"/>
    <x v="15"/>
    <x v="0"/>
    <x v="7"/>
    <x v="9"/>
  </r>
  <r>
    <x v="184"/>
    <n v="1228"/>
    <n v="14"/>
    <n v="3"/>
    <s v="Furniture"/>
    <x v="1"/>
    <x v="3"/>
    <x v="2"/>
    <x v="4"/>
  </r>
  <r>
    <x v="253"/>
    <n v="29"/>
    <n v="0"/>
    <n v="3"/>
    <s v="Furniture"/>
    <x v="15"/>
    <x v="0"/>
    <x v="15"/>
    <x v="16"/>
  </r>
  <r>
    <x v="1"/>
    <n v="94"/>
    <n v="27"/>
    <n v="2"/>
    <s v="Clothing"/>
    <x v="14"/>
    <x v="0"/>
    <x v="1"/>
    <x v="1"/>
  </r>
  <r>
    <x v="87"/>
    <n v="115"/>
    <n v="25"/>
    <n v="1"/>
    <s v="Electronics"/>
    <x v="13"/>
    <x v="0"/>
    <x v="5"/>
    <x v="6"/>
  </r>
  <r>
    <x v="170"/>
    <n v="149"/>
    <n v="15"/>
    <n v="3"/>
    <s v="Clothing"/>
    <x v="6"/>
    <x v="1"/>
    <x v="1"/>
    <x v="1"/>
  </r>
  <r>
    <x v="92"/>
    <n v="148"/>
    <n v="23"/>
    <n v="4"/>
    <s v="Clothing"/>
    <x v="8"/>
    <x v="1"/>
    <x v="3"/>
    <x v="3"/>
  </r>
  <r>
    <x v="25"/>
    <n v="93"/>
    <n v="15"/>
    <n v="2"/>
    <s v="Electronics"/>
    <x v="13"/>
    <x v="0"/>
    <x v="11"/>
    <x v="14"/>
  </r>
  <r>
    <x v="329"/>
    <n v="113"/>
    <n v="24"/>
    <n v="4"/>
    <s v="Clothing"/>
    <x v="7"/>
    <x v="4"/>
    <x v="13"/>
    <x v="16"/>
  </r>
  <r>
    <x v="232"/>
    <n v="48"/>
    <n v="2"/>
    <n v="3"/>
    <s v="Clothing"/>
    <x v="11"/>
    <x v="0"/>
    <x v="8"/>
    <x v="11"/>
  </r>
  <r>
    <x v="296"/>
    <n v="148"/>
    <n v="9"/>
    <n v="1"/>
    <s v="Electronics"/>
    <x v="0"/>
    <x v="3"/>
    <x v="7"/>
    <x v="9"/>
  </r>
  <r>
    <x v="354"/>
    <n v="114"/>
    <n v="11"/>
    <n v="4"/>
    <s v="Clothing"/>
    <x v="14"/>
    <x v="4"/>
    <x v="7"/>
    <x v="17"/>
  </r>
  <r>
    <x v="51"/>
    <n v="92"/>
    <n v="42"/>
    <n v="2"/>
    <s v="Clothing"/>
    <x v="11"/>
    <x v="0"/>
    <x v="13"/>
    <x v="16"/>
  </r>
  <r>
    <x v="355"/>
    <n v="117"/>
    <n v="14"/>
    <n v="3"/>
    <s v="Clothing"/>
    <x v="16"/>
    <x v="3"/>
    <x v="0"/>
    <x v="0"/>
  </r>
  <r>
    <x v="52"/>
    <n v="21"/>
    <n v="-10"/>
    <n v="4"/>
    <s v="Clothing"/>
    <x v="12"/>
    <x v="0"/>
    <x v="0"/>
    <x v="18"/>
  </r>
  <r>
    <x v="356"/>
    <n v="33"/>
    <n v="-10"/>
    <n v="6"/>
    <s v="Clothing"/>
    <x v="12"/>
    <x v="3"/>
    <x v="0"/>
    <x v="0"/>
  </r>
  <r>
    <x v="69"/>
    <n v="114"/>
    <n v="8"/>
    <n v="3"/>
    <s v="Electronics"/>
    <x v="13"/>
    <x v="4"/>
    <x v="4"/>
    <x v="5"/>
  </r>
  <r>
    <x v="172"/>
    <n v="115"/>
    <n v="0"/>
    <n v="1"/>
    <s v="Electronics"/>
    <x v="13"/>
    <x v="4"/>
    <x v="9"/>
    <x v="12"/>
  </r>
  <r>
    <x v="9"/>
    <n v="90"/>
    <n v="29"/>
    <n v="5"/>
    <s v="Clothing"/>
    <x v="14"/>
    <x v="0"/>
    <x v="5"/>
    <x v="6"/>
  </r>
  <r>
    <x v="357"/>
    <n v="61"/>
    <n v="1"/>
    <n v="2"/>
    <s v="Furniture"/>
    <x v="15"/>
    <x v="0"/>
    <x v="11"/>
    <x v="14"/>
  </r>
  <r>
    <x v="358"/>
    <n v="119"/>
    <n v="1"/>
    <n v="1"/>
    <s v="Furniture"/>
    <x v="1"/>
    <x v="0"/>
    <x v="6"/>
    <x v="8"/>
  </r>
  <r>
    <x v="81"/>
    <n v="117"/>
    <n v="36"/>
    <n v="2"/>
    <s v="Clothing"/>
    <x v="5"/>
    <x v="4"/>
    <x v="16"/>
    <x v="20"/>
  </r>
  <r>
    <x v="359"/>
    <n v="148"/>
    <n v="54"/>
    <n v="2"/>
    <s v="Furniture"/>
    <x v="1"/>
    <x v="3"/>
    <x v="3"/>
    <x v="3"/>
  </r>
  <r>
    <x v="158"/>
    <n v="249"/>
    <n v="-5"/>
    <n v="4"/>
    <s v="Clothing"/>
    <x v="6"/>
    <x v="0"/>
    <x v="1"/>
    <x v="10"/>
  </r>
  <r>
    <x v="85"/>
    <n v="147"/>
    <n v="73"/>
    <n v="3"/>
    <s v="Clothing"/>
    <x v="11"/>
    <x v="3"/>
    <x v="6"/>
    <x v="23"/>
  </r>
  <r>
    <x v="360"/>
    <n v="118"/>
    <n v="35"/>
    <n v="7"/>
    <s v="Clothing"/>
    <x v="14"/>
    <x v="1"/>
    <x v="0"/>
    <x v="0"/>
  </r>
  <r>
    <x v="162"/>
    <n v="119"/>
    <n v="56"/>
    <n v="7"/>
    <s v="Clothing"/>
    <x v="6"/>
    <x v="1"/>
    <x v="11"/>
    <x v="14"/>
  </r>
  <r>
    <x v="346"/>
    <n v="90"/>
    <n v="27"/>
    <n v="2"/>
    <s v="Clothing"/>
    <x v="14"/>
    <x v="0"/>
    <x v="7"/>
    <x v="17"/>
  </r>
  <r>
    <x v="231"/>
    <n v="32"/>
    <n v="1"/>
    <n v="2"/>
    <s v="Clothing"/>
    <x v="11"/>
    <x v="0"/>
    <x v="18"/>
    <x v="24"/>
  </r>
  <r>
    <x v="361"/>
    <n v="89"/>
    <n v="-89"/>
    <n v="2"/>
    <s v="Furniture"/>
    <x v="15"/>
    <x v="0"/>
    <x v="15"/>
    <x v="16"/>
  </r>
  <r>
    <x v="296"/>
    <n v="146"/>
    <n v="66"/>
    <n v="1"/>
    <s v="Electronics"/>
    <x v="4"/>
    <x v="3"/>
    <x v="7"/>
    <x v="9"/>
  </r>
  <r>
    <x v="362"/>
    <n v="89"/>
    <n v="-37"/>
    <n v="4"/>
    <s v="Clothing"/>
    <x v="16"/>
    <x v="0"/>
    <x v="2"/>
    <x v="4"/>
  </r>
  <r>
    <x v="211"/>
    <n v="88"/>
    <n v="11"/>
    <n v="3"/>
    <s v="Electronics"/>
    <x v="13"/>
    <x v="0"/>
    <x v="17"/>
    <x v="21"/>
  </r>
  <r>
    <x v="363"/>
    <n v="121"/>
    <n v="41"/>
    <n v="4"/>
    <s v="Clothing"/>
    <x v="11"/>
    <x v="1"/>
    <x v="12"/>
    <x v="15"/>
  </r>
  <r>
    <x v="241"/>
    <n v="88"/>
    <n v="20"/>
    <n v="2"/>
    <s v="Clothing"/>
    <x v="6"/>
    <x v="0"/>
    <x v="2"/>
    <x v="4"/>
  </r>
  <r>
    <x v="150"/>
    <n v="87"/>
    <n v="-83"/>
    <n v="5"/>
    <s v="Clothing"/>
    <x v="8"/>
    <x v="0"/>
    <x v="14"/>
    <x v="19"/>
  </r>
  <r>
    <x v="364"/>
    <n v="87"/>
    <n v="4"/>
    <n v="2"/>
    <s v="Clothing"/>
    <x v="16"/>
    <x v="0"/>
    <x v="3"/>
    <x v="3"/>
  </r>
  <r>
    <x v="365"/>
    <n v="122"/>
    <n v="15"/>
    <n v="3"/>
    <s v="Electronics"/>
    <x v="13"/>
    <x v="1"/>
    <x v="12"/>
    <x v="15"/>
  </r>
  <r>
    <x v="366"/>
    <n v="87"/>
    <n v="10"/>
    <n v="3"/>
    <s v="Clothing"/>
    <x v="11"/>
    <x v="0"/>
    <x v="17"/>
    <x v="21"/>
  </r>
  <r>
    <x v="367"/>
    <n v="53"/>
    <n v="8"/>
    <n v="3"/>
    <s v="Furniture"/>
    <x v="15"/>
    <x v="3"/>
    <x v="2"/>
    <x v="4"/>
  </r>
  <r>
    <x v="102"/>
    <n v="87"/>
    <n v="-32"/>
    <n v="9"/>
    <s v="Clothing"/>
    <x v="9"/>
    <x v="0"/>
    <x v="0"/>
    <x v="0"/>
  </r>
  <r>
    <x v="368"/>
    <n v="86"/>
    <n v="-55"/>
    <n v="6"/>
    <s v="Clothing"/>
    <x v="6"/>
    <x v="0"/>
    <x v="10"/>
    <x v="13"/>
  </r>
  <r>
    <x v="369"/>
    <n v="125"/>
    <n v="22"/>
    <n v="3"/>
    <s v="Clothing"/>
    <x v="11"/>
    <x v="1"/>
    <x v="8"/>
    <x v="11"/>
  </r>
  <r>
    <x v="148"/>
    <n v="128"/>
    <n v="-3"/>
    <n v="3"/>
    <s v="Clothing"/>
    <x v="6"/>
    <x v="4"/>
    <x v="13"/>
    <x v="16"/>
  </r>
  <r>
    <x v="192"/>
    <n v="143"/>
    <n v="-124"/>
    <n v="5"/>
    <s v="Clothing"/>
    <x v="6"/>
    <x v="3"/>
    <x v="5"/>
    <x v="6"/>
  </r>
  <r>
    <x v="53"/>
    <n v="86"/>
    <n v="22"/>
    <n v="2"/>
    <s v="Clothing"/>
    <x v="6"/>
    <x v="0"/>
    <x v="13"/>
    <x v="16"/>
  </r>
  <r>
    <x v="370"/>
    <n v="86"/>
    <n v="9"/>
    <n v="3"/>
    <s v="Clothing"/>
    <x v="6"/>
    <x v="0"/>
    <x v="5"/>
    <x v="6"/>
  </r>
  <r>
    <x v="257"/>
    <n v="85"/>
    <n v="-9"/>
    <n v="4"/>
    <s v="Clothing"/>
    <x v="6"/>
    <x v="0"/>
    <x v="10"/>
    <x v="13"/>
  </r>
  <r>
    <x v="236"/>
    <n v="129"/>
    <n v="-75"/>
    <n v="5"/>
    <s v="Clothing"/>
    <x v="16"/>
    <x v="4"/>
    <x v="2"/>
    <x v="4"/>
  </r>
  <r>
    <x v="371"/>
    <n v="84"/>
    <n v="-42"/>
    <n v="2"/>
    <s v="Electronics"/>
    <x v="13"/>
    <x v="0"/>
    <x v="13"/>
    <x v="22"/>
  </r>
  <r>
    <x v="91"/>
    <n v="83"/>
    <n v="-81"/>
    <n v="3"/>
    <s v="Furniture"/>
    <x v="1"/>
    <x v="0"/>
    <x v="6"/>
    <x v="8"/>
  </r>
  <r>
    <x v="265"/>
    <n v="143"/>
    <n v="6"/>
    <n v="2"/>
    <s v="Electronics"/>
    <x v="13"/>
    <x v="3"/>
    <x v="12"/>
    <x v="15"/>
  </r>
  <r>
    <x v="372"/>
    <n v="336"/>
    <n v="123"/>
    <n v="3"/>
    <s v="Electronics"/>
    <x v="4"/>
    <x v="3"/>
    <x v="18"/>
    <x v="24"/>
  </r>
  <r>
    <x v="44"/>
    <n v="323"/>
    <n v="122"/>
    <n v="5"/>
    <s v="Electronics"/>
    <x v="4"/>
    <x v="3"/>
    <x v="2"/>
    <x v="2"/>
  </r>
  <r>
    <x v="228"/>
    <n v="130"/>
    <n v="61"/>
    <n v="3"/>
    <s v="Clothing"/>
    <x v="16"/>
    <x v="4"/>
    <x v="12"/>
    <x v="15"/>
  </r>
  <r>
    <x v="260"/>
    <n v="152"/>
    <n v="-3"/>
    <n v="5"/>
    <s v="Clothing"/>
    <x v="6"/>
    <x v="0"/>
    <x v="8"/>
    <x v="11"/>
  </r>
  <r>
    <x v="365"/>
    <n v="25"/>
    <n v="10"/>
    <n v="1"/>
    <s v="Furniture"/>
    <x v="15"/>
    <x v="3"/>
    <x v="12"/>
    <x v="15"/>
  </r>
  <r>
    <x v="109"/>
    <n v="140"/>
    <n v="15"/>
    <n v="5"/>
    <s v="Clothing"/>
    <x v="11"/>
    <x v="3"/>
    <x v="2"/>
    <x v="4"/>
  </r>
  <r>
    <x v="209"/>
    <n v="45"/>
    <n v="0"/>
    <n v="2"/>
    <s v="Clothing"/>
    <x v="11"/>
    <x v="3"/>
    <x v="2"/>
    <x v="4"/>
  </r>
  <r>
    <x v="125"/>
    <n v="132"/>
    <n v="49"/>
    <n v="3"/>
    <s v="Clothing"/>
    <x v="16"/>
    <x v="0"/>
    <x v="0"/>
    <x v="0"/>
  </r>
  <r>
    <x v="197"/>
    <n v="133"/>
    <n v="12"/>
    <n v="5"/>
    <s v="Clothing"/>
    <x v="11"/>
    <x v="4"/>
    <x v="13"/>
    <x v="16"/>
  </r>
  <r>
    <x v="155"/>
    <n v="82"/>
    <n v="13"/>
    <n v="2"/>
    <s v="Clothing"/>
    <x v="16"/>
    <x v="0"/>
    <x v="2"/>
    <x v="4"/>
  </r>
  <r>
    <x v="211"/>
    <n v="140"/>
    <n v="56"/>
    <n v="4"/>
    <s v="Clothing"/>
    <x v="16"/>
    <x v="3"/>
    <x v="17"/>
    <x v="21"/>
  </r>
  <r>
    <x v="298"/>
    <n v="81"/>
    <n v="19"/>
    <n v="7"/>
    <s v="Clothing"/>
    <x v="7"/>
    <x v="0"/>
    <x v="0"/>
    <x v="0"/>
  </r>
  <r>
    <x v="45"/>
    <n v="137"/>
    <n v="38"/>
    <n v="5"/>
    <s v="Clothing"/>
    <x v="7"/>
    <x v="4"/>
    <x v="7"/>
    <x v="9"/>
  </r>
  <r>
    <x v="373"/>
    <n v="137"/>
    <n v="-41"/>
    <n v="3"/>
    <s v="Electronics"/>
    <x v="4"/>
    <x v="4"/>
    <x v="9"/>
    <x v="12"/>
  </r>
  <r>
    <x v="351"/>
    <n v="140"/>
    <n v="57"/>
    <n v="2"/>
    <s v="Clothing"/>
    <x v="5"/>
    <x v="4"/>
    <x v="2"/>
    <x v="4"/>
  </r>
  <r>
    <x v="374"/>
    <n v="139"/>
    <n v="30"/>
    <n v="3"/>
    <s v="Clothing"/>
    <x v="16"/>
    <x v="3"/>
    <x v="6"/>
    <x v="23"/>
  </r>
  <r>
    <x v="241"/>
    <n v="138"/>
    <n v="11"/>
    <n v="5"/>
    <s v="Clothing"/>
    <x v="11"/>
    <x v="3"/>
    <x v="2"/>
    <x v="4"/>
  </r>
  <r>
    <x v="375"/>
    <n v="79"/>
    <n v="-124"/>
    <n v="9"/>
    <s v="Clothing"/>
    <x v="9"/>
    <x v="0"/>
    <x v="8"/>
    <x v="11"/>
  </r>
  <r>
    <x v="376"/>
    <n v="136"/>
    <n v="41"/>
    <n v="3"/>
    <s v="Electronics"/>
    <x v="13"/>
    <x v="3"/>
    <x v="18"/>
    <x v="24"/>
  </r>
  <r>
    <x v="265"/>
    <n v="145"/>
    <n v="16"/>
    <n v="3"/>
    <s v="Clothing"/>
    <x v="14"/>
    <x v="4"/>
    <x v="12"/>
    <x v="15"/>
  </r>
  <r>
    <x v="142"/>
    <n v="44"/>
    <n v="20"/>
    <n v="2"/>
    <s v="Clothing"/>
    <x v="14"/>
    <x v="3"/>
    <x v="17"/>
    <x v="21"/>
  </r>
  <r>
    <x v="274"/>
    <n v="79"/>
    <n v="6"/>
    <n v="7"/>
    <s v="Clothing"/>
    <x v="6"/>
    <x v="0"/>
    <x v="2"/>
    <x v="4"/>
  </r>
  <r>
    <x v="126"/>
    <n v="79"/>
    <n v="36"/>
    <n v="4"/>
    <s v="Clothing"/>
    <x v="16"/>
    <x v="0"/>
    <x v="6"/>
    <x v="8"/>
  </r>
  <r>
    <x v="180"/>
    <n v="134"/>
    <n v="-13"/>
    <n v="3"/>
    <s v="Electronics"/>
    <x v="0"/>
    <x v="3"/>
    <x v="3"/>
    <x v="3"/>
  </r>
  <r>
    <x v="21"/>
    <n v="133"/>
    <n v="5"/>
    <n v="5"/>
    <s v="Clothing"/>
    <x v="11"/>
    <x v="3"/>
    <x v="0"/>
    <x v="0"/>
  </r>
  <r>
    <x v="179"/>
    <n v="47"/>
    <n v="20"/>
    <n v="7"/>
    <s v="Clothing"/>
    <x v="7"/>
    <x v="3"/>
    <x v="12"/>
    <x v="15"/>
  </r>
  <r>
    <x v="226"/>
    <n v="133"/>
    <n v="-42"/>
    <n v="1"/>
    <s v="Electronics"/>
    <x v="3"/>
    <x v="3"/>
    <x v="0"/>
    <x v="0"/>
  </r>
  <r>
    <x v="377"/>
    <n v="78"/>
    <n v="27"/>
    <n v="3"/>
    <s v="Clothing"/>
    <x v="11"/>
    <x v="0"/>
    <x v="8"/>
    <x v="11"/>
  </r>
  <r>
    <x v="378"/>
    <n v="78"/>
    <n v="7"/>
    <n v="1"/>
    <s v="Furniture"/>
    <x v="1"/>
    <x v="0"/>
    <x v="4"/>
    <x v="5"/>
  </r>
  <r>
    <x v="379"/>
    <n v="76"/>
    <n v="-92"/>
    <n v="8"/>
    <s v="Furniture"/>
    <x v="15"/>
    <x v="0"/>
    <x v="2"/>
    <x v="4"/>
  </r>
  <r>
    <x v="380"/>
    <n v="76"/>
    <n v="-50"/>
    <n v="1"/>
    <s v="Clothing"/>
    <x v="6"/>
    <x v="0"/>
    <x v="2"/>
    <x v="4"/>
  </r>
  <r>
    <x v="202"/>
    <n v="76"/>
    <n v="19"/>
    <n v="3"/>
    <s v="Clothing"/>
    <x v="7"/>
    <x v="0"/>
    <x v="2"/>
    <x v="2"/>
  </r>
  <r>
    <x v="123"/>
    <n v="74"/>
    <n v="29"/>
    <n v="3"/>
    <s v="Clothing"/>
    <x v="11"/>
    <x v="0"/>
    <x v="16"/>
    <x v="20"/>
  </r>
  <r>
    <x v="381"/>
    <n v="74"/>
    <n v="-25"/>
    <n v="3"/>
    <s v="Clothing"/>
    <x v="11"/>
    <x v="0"/>
    <x v="2"/>
    <x v="4"/>
  </r>
  <r>
    <x v="113"/>
    <n v="146"/>
    <n v="-63"/>
    <n v="3"/>
    <s v="Electronics"/>
    <x v="0"/>
    <x v="4"/>
    <x v="12"/>
    <x v="15"/>
  </r>
  <r>
    <x v="110"/>
    <n v="73"/>
    <n v="-31"/>
    <n v="1"/>
    <s v="Furniture"/>
    <x v="2"/>
    <x v="0"/>
    <x v="0"/>
    <x v="0"/>
  </r>
  <r>
    <x v="58"/>
    <n v="80"/>
    <n v="22"/>
    <n v="3"/>
    <s v="Clothing"/>
    <x v="11"/>
    <x v="3"/>
    <x v="17"/>
    <x v="21"/>
  </r>
  <r>
    <x v="262"/>
    <n v="133"/>
    <n v="46"/>
    <n v="5"/>
    <s v="Clothing"/>
    <x v="16"/>
    <x v="1"/>
    <x v="0"/>
    <x v="18"/>
  </r>
  <r>
    <x v="382"/>
    <n v="146"/>
    <n v="7"/>
    <n v="2"/>
    <s v="Electronics"/>
    <x v="4"/>
    <x v="4"/>
    <x v="9"/>
    <x v="12"/>
  </r>
  <r>
    <x v="186"/>
    <n v="130"/>
    <n v="-41"/>
    <n v="4"/>
    <s v="Clothing"/>
    <x v="6"/>
    <x v="1"/>
    <x v="13"/>
    <x v="16"/>
  </r>
  <r>
    <x v="383"/>
    <n v="141"/>
    <n v="41"/>
    <n v="3"/>
    <s v="Clothing"/>
    <x v="16"/>
    <x v="3"/>
    <x v="6"/>
    <x v="23"/>
  </r>
  <r>
    <x v="182"/>
    <n v="147"/>
    <n v="21"/>
    <n v="3"/>
    <s v="Furniture"/>
    <x v="15"/>
    <x v="4"/>
    <x v="11"/>
    <x v="14"/>
  </r>
  <r>
    <x v="69"/>
    <n v="73"/>
    <n v="-7"/>
    <n v="1"/>
    <s v="Electronics"/>
    <x v="4"/>
    <x v="0"/>
    <x v="4"/>
    <x v="5"/>
  </r>
  <r>
    <x v="384"/>
    <n v="148"/>
    <n v="72"/>
    <n v="7"/>
    <s v="Clothing"/>
    <x v="14"/>
    <x v="4"/>
    <x v="17"/>
    <x v="21"/>
  </r>
  <r>
    <x v="385"/>
    <n v="58"/>
    <n v="0"/>
    <n v="4"/>
    <s v="Clothing"/>
    <x v="6"/>
    <x v="3"/>
    <x v="14"/>
    <x v="19"/>
  </r>
  <r>
    <x v="276"/>
    <n v="21"/>
    <n v="-13"/>
    <n v="3"/>
    <s v="Clothing"/>
    <x v="12"/>
    <x v="3"/>
    <x v="16"/>
    <x v="20"/>
  </r>
  <r>
    <x v="3"/>
    <n v="148"/>
    <n v="25"/>
    <n v="3"/>
    <s v="Clothing"/>
    <x v="6"/>
    <x v="4"/>
    <x v="2"/>
    <x v="2"/>
  </r>
  <r>
    <x v="386"/>
    <n v="144"/>
    <n v="-7"/>
    <n v="4"/>
    <s v="Electronics"/>
    <x v="0"/>
    <x v="0"/>
    <x v="5"/>
    <x v="6"/>
  </r>
  <r>
    <x v="258"/>
    <n v="145"/>
    <n v="-104"/>
    <n v="5"/>
    <s v="Furniture"/>
    <x v="1"/>
    <x v="3"/>
    <x v="4"/>
    <x v="5"/>
  </r>
  <r>
    <x v="82"/>
    <n v="72"/>
    <n v="-49"/>
    <n v="1"/>
    <s v="Electronics"/>
    <x v="4"/>
    <x v="0"/>
    <x v="0"/>
    <x v="18"/>
  </r>
  <r>
    <x v="20"/>
    <n v="125"/>
    <n v="15"/>
    <n v="5"/>
    <s v="Clothing"/>
    <x v="16"/>
    <x v="1"/>
    <x v="8"/>
    <x v="11"/>
  </r>
  <r>
    <x v="45"/>
    <n v="149"/>
    <n v="15"/>
    <n v="3"/>
    <s v="Clothing"/>
    <x v="6"/>
    <x v="4"/>
    <x v="7"/>
    <x v="9"/>
  </r>
  <r>
    <x v="86"/>
    <n v="72"/>
    <n v="16"/>
    <n v="2"/>
    <s v="Clothing"/>
    <x v="16"/>
    <x v="0"/>
    <x v="0"/>
    <x v="0"/>
  </r>
  <r>
    <x v="25"/>
    <n v="71"/>
    <n v="0"/>
    <n v="8"/>
    <s v="Clothing"/>
    <x v="9"/>
    <x v="0"/>
    <x v="11"/>
    <x v="14"/>
  </r>
  <r>
    <x v="387"/>
    <n v="71"/>
    <n v="-14"/>
    <n v="4"/>
    <s v="Furniture"/>
    <x v="15"/>
    <x v="0"/>
    <x v="0"/>
    <x v="0"/>
  </r>
  <r>
    <x v="66"/>
    <n v="154"/>
    <n v="-85"/>
    <n v="3"/>
    <s v="Furniture"/>
    <x v="1"/>
    <x v="1"/>
    <x v="10"/>
    <x v="13"/>
  </r>
  <r>
    <x v="120"/>
    <n v="191"/>
    <n v="13"/>
    <n v="8"/>
    <s v="Furniture"/>
    <x v="15"/>
    <x v="0"/>
    <x v="0"/>
    <x v="0"/>
  </r>
  <r>
    <x v="371"/>
    <n v="170"/>
    <n v="19"/>
    <n v="5"/>
    <s v="Clothing"/>
    <x v="14"/>
    <x v="3"/>
    <x v="13"/>
    <x v="22"/>
  </r>
  <r>
    <x v="40"/>
    <n v="47"/>
    <n v="-3"/>
    <n v="2"/>
    <s v="Clothing"/>
    <x v="11"/>
    <x v="3"/>
    <x v="10"/>
    <x v="13"/>
  </r>
  <r>
    <x v="50"/>
    <n v="122"/>
    <n v="-47"/>
    <n v="4"/>
    <s v="Clothing"/>
    <x v="6"/>
    <x v="1"/>
    <x v="6"/>
    <x v="8"/>
  </r>
  <r>
    <x v="298"/>
    <n v="70"/>
    <n v="26"/>
    <n v="5"/>
    <s v="Clothing"/>
    <x v="7"/>
    <x v="0"/>
    <x v="0"/>
    <x v="0"/>
  </r>
  <r>
    <x v="231"/>
    <n v="155"/>
    <n v="5"/>
    <n v="3"/>
    <s v="Clothing"/>
    <x v="11"/>
    <x v="1"/>
    <x v="18"/>
    <x v="24"/>
  </r>
  <r>
    <x v="388"/>
    <n v="67"/>
    <n v="-86"/>
    <n v="9"/>
    <s v="Furniture"/>
    <x v="15"/>
    <x v="0"/>
    <x v="1"/>
    <x v="10"/>
  </r>
  <r>
    <x v="69"/>
    <n v="67"/>
    <n v="-42"/>
    <n v="3"/>
    <s v="Clothing"/>
    <x v="11"/>
    <x v="0"/>
    <x v="4"/>
    <x v="5"/>
  </r>
  <r>
    <x v="37"/>
    <n v="148"/>
    <n v="-101"/>
    <n v="2"/>
    <s v="Furniture"/>
    <x v="2"/>
    <x v="3"/>
    <x v="0"/>
    <x v="0"/>
  </r>
  <r>
    <x v="196"/>
    <n v="122"/>
    <n v="38"/>
    <n v="6"/>
    <s v="Clothing"/>
    <x v="14"/>
    <x v="2"/>
    <x v="2"/>
    <x v="4"/>
  </r>
  <r>
    <x v="389"/>
    <n v="16"/>
    <n v="-5"/>
    <n v="2"/>
    <s v="Clothing"/>
    <x v="11"/>
    <x v="3"/>
    <x v="3"/>
    <x v="3"/>
  </r>
  <r>
    <x v="173"/>
    <n v="121"/>
    <n v="-17"/>
    <n v="3"/>
    <s v="Furniture"/>
    <x v="15"/>
    <x v="2"/>
    <x v="2"/>
    <x v="4"/>
  </r>
  <r>
    <x v="110"/>
    <n v="42"/>
    <n v="-15"/>
    <n v="12"/>
    <s v="Clothing"/>
    <x v="9"/>
    <x v="3"/>
    <x v="0"/>
    <x v="0"/>
  </r>
  <r>
    <x v="230"/>
    <n v="65"/>
    <n v="-4"/>
    <n v="6"/>
    <s v="Clothing"/>
    <x v="7"/>
    <x v="0"/>
    <x v="2"/>
    <x v="4"/>
  </r>
  <r>
    <x v="354"/>
    <n v="119"/>
    <n v="-43"/>
    <n v="7"/>
    <s v="Clothing"/>
    <x v="8"/>
    <x v="2"/>
    <x v="7"/>
    <x v="17"/>
  </r>
  <r>
    <x v="368"/>
    <n v="155"/>
    <n v="56"/>
    <n v="3"/>
    <s v="Furniture"/>
    <x v="15"/>
    <x v="1"/>
    <x v="10"/>
    <x v="13"/>
  </r>
  <r>
    <x v="4"/>
    <n v="119"/>
    <n v="-5"/>
    <n v="8"/>
    <s v="Clothing"/>
    <x v="6"/>
    <x v="2"/>
    <x v="2"/>
    <x v="2"/>
  </r>
  <r>
    <x v="390"/>
    <n v="118"/>
    <n v="25"/>
    <n v="4"/>
    <s v="Clothing"/>
    <x v="7"/>
    <x v="2"/>
    <x v="7"/>
    <x v="17"/>
  </r>
  <r>
    <x v="101"/>
    <n v="116"/>
    <n v="22"/>
    <n v="1"/>
    <s v="Electronics"/>
    <x v="13"/>
    <x v="2"/>
    <x v="9"/>
    <x v="12"/>
  </r>
  <r>
    <x v="21"/>
    <n v="158"/>
    <n v="-29"/>
    <n v="10"/>
    <s v="Clothing"/>
    <x v="7"/>
    <x v="1"/>
    <x v="0"/>
    <x v="0"/>
  </r>
  <r>
    <x v="291"/>
    <n v="158"/>
    <n v="69"/>
    <n v="3"/>
    <s v="Clothing"/>
    <x v="11"/>
    <x v="1"/>
    <x v="9"/>
    <x v="12"/>
  </r>
  <r>
    <x v="256"/>
    <n v="65"/>
    <n v="-52"/>
    <n v="3"/>
    <s v="Electronics"/>
    <x v="13"/>
    <x v="0"/>
    <x v="1"/>
    <x v="10"/>
  </r>
  <r>
    <x v="391"/>
    <n v="160"/>
    <n v="-59"/>
    <n v="2"/>
    <s v="Clothing"/>
    <x v="6"/>
    <x v="1"/>
    <x v="10"/>
    <x v="13"/>
  </r>
  <r>
    <x v="46"/>
    <n v="162"/>
    <n v="20"/>
    <n v="3"/>
    <s v="Furniture"/>
    <x v="1"/>
    <x v="1"/>
    <x v="5"/>
    <x v="6"/>
  </r>
  <r>
    <x v="152"/>
    <n v="63"/>
    <n v="1"/>
    <n v="4"/>
    <s v="Clothing"/>
    <x v="14"/>
    <x v="0"/>
    <x v="6"/>
    <x v="23"/>
  </r>
  <r>
    <x v="392"/>
    <n v="64"/>
    <n v="27"/>
    <n v="5"/>
    <s v="Clothing"/>
    <x v="7"/>
    <x v="3"/>
    <x v="0"/>
    <x v="0"/>
  </r>
  <r>
    <x v="393"/>
    <n v="166"/>
    <n v="-113"/>
    <n v="4"/>
    <s v="Electronics"/>
    <x v="13"/>
    <x v="1"/>
    <x v="10"/>
    <x v="13"/>
  </r>
  <r>
    <x v="394"/>
    <n v="167"/>
    <n v="43"/>
    <n v="7"/>
    <s v="Clothing"/>
    <x v="14"/>
    <x v="1"/>
    <x v="6"/>
    <x v="8"/>
  </r>
  <r>
    <x v="395"/>
    <n v="123"/>
    <n v="17"/>
    <n v="3"/>
    <s v="Furniture"/>
    <x v="15"/>
    <x v="0"/>
    <x v="11"/>
    <x v="14"/>
  </r>
  <r>
    <x v="95"/>
    <n v="63"/>
    <n v="14"/>
    <n v="2"/>
    <s v="Clothing"/>
    <x v="16"/>
    <x v="0"/>
    <x v="0"/>
    <x v="0"/>
  </r>
  <r>
    <x v="296"/>
    <n v="891"/>
    <n v="0"/>
    <n v="5"/>
    <s v="Clothing"/>
    <x v="6"/>
    <x v="0"/>
    <x v="7"/>
    <x v="9"/>
  </r>
  <r>
    <x v="166"/>
    <n v="75"/>
    <n v="28"/>
    <n v="9"/>
    <s v="Clothing"/>
    <x v="7"/>
    <x v="3"/>
    <x v="0"/>
    <x v="0"/>
  </r>
  <r>
    <x v="239"/>
    <n v="62"/>
    <n v="6"/>
    <n v="5"/>
    <s v="Clothing"/>
    <x v="7"/>
    <x v="0"/>
    <x v="1"/>
    <x v="10"/>
  </r>
  <r>
    <x v="308"/>
    <n v="29"/>
    <n v="-18"/>
    <n v="7"/>
    <s v="Clothing"/>
    <x v="9"/>
    <x v="3"/>
    <x v="15"/>
    <x v="16"/>
  </r>
  <r>
    <x v="396"/>
    <n v="168"/>
    <n v="18"/>
    <n v="6"/>
    <s v="Clothing"/>
    <x v="11"/>
    <x v="4"/>
    <x v="11"/>
    <x v="14"/>
  </r>
  <r>
    <x v="179"/>
    <n v="70"/>
    <n v="24"/>
    <n v="3"/>
    <s v="Clothing"/>
    <x v="11"/>
    <x v="3"/>
    <x v="12"/>
    <x v="15"/>
  </r>
  <r>
    <x v="198"/>
    <n v="169"/>
    <n v="55"/>
    <n v="4"/>
    <s v="Clothing"/>
    <x v="6"/>
    <x v="4"/>
    <x v="6"/>
    <x v="8"/>
  </r>
  <r>
    <x v="120"/>
    <n v="32"/>
    <n v="-8"/>
    <n v="2"/>
    <s v="Clothing"/>
    <x v="11"/>
    <x v="0"/>
    <x v="0"/>
    <x v="0"/>
  </r>
  <r>
    <x v="89"/>
    <n v="44"/>
    <n v="-8"/>
    <n v="3"/>
    <s v="Clothing"/>
    <x v="11"/>
    <x v="3"/>
    <x v="0"/>
    <x v="0"/>
  </r>
  <r>
    <x v="77"/>
    <n v="116"/>
    <n v="-56"/>
    <n v="5"/>
    <s v="Clothing"/>
    <x v="11"/>
    <x v="2"/>
    <x v="16"/>
    <x v="20"/>
  </r>
  <r>
    <x v="397"/>
    <n v="156"/>
    <n v="21"/>
    <n v="3"/>
    <s v="Furniture"/>
    <x v="1"/>
    <x v="0"/>
    <x v="0"/>
    <x v="0"/>
  </r>
  <r>
    <x v="141"/>
    <n v="62"/>
    <n v="6"/>
    <n v="6"/>
    <s v="Clothing"/>
    <x v="9"/>
    <x v="0"/>
    <x v="8"/>
    <x v="11"/>
  </r>
  <r>
    <x v="25"/>
    <n v="54"/>
    <n v="1"/>
    <n v="2"/>
    <s v="Clothing"/>
    <x v="6"/>
    <x v="3"/>
    <x v="11"/>
    <x v="14"/>
  </r>
  <r>
    <x v="147"/>
    <n v="111"/>
    <n v="11"/>
    <n v="9"/>
    <s v="Clothing"/>
    <x v="7"/>
    <x v="2"/>
    <x v="17"/>
    <x v="21"/>
  </r>
  <r>
    <x v="398"/>
    <n v="158"/>
    <n v="-63"/>
    <n v="4"/>
    <s v="Furniture"/>
    <x v="1"/>
    <x v="3"/>
    <x v="17"/>
    <x v="21"/>
  </r>
  <r>
    <x v="183"/>
    <n v="7"/>
    <n v="-3"/>
    <n v="2"/>
    <s v="Clothing"/>
    <x v="9"/>
    <x v="3"/>
    <x v="3"/>
    <x v="3"/>
  </r>
  <r>
    <x v="346"/>
    <n v="61"/>
    <n v="28"/>
    <n v="2"/>
    <s v="Clothing"/>
    <x v="7"/>
    <x v="3"/>
    <x v="7"/>
    <x v="17"/>
  </r>
  <r>
    <x v="176"/>
    <n v="61"/>
    <n v="-50"/>
    <n v="4"/>
    <s v="Clothing"/>
    <x v="7"/>
    <x v="0"/>
    <x v="9"/>
    <x v="12"/>
  </r>
  <r>
    <x v="274"/>
    <n v="154"/>
    <n v="26"/>
    <n v="4"/>
    <s v="Electronics"/>
    <x v="13"/>
    <x v="0"/>
    <x v="2"/>
    <x v="4"/>
  </r>
  <r>
    <x v="9"/>
    <n v="62"/>
    <n v="1"/>
    <n v="3"/>
    <s v="Clothing"/>
    <x v="6"/>
    <x v="0"/>
    <x v="5"/>
    <x v="6"/>
  </r>
  <r>
    <x v="399"/>
    <n v="169"/>
    <n v="38"/>
    <n v="3"/>
    <s v="Clothing"/>
    <x v="6"/>
    <x v="4"/>
    <x v="2"/>
    <x v="2"/>
  </r>
  <r>
    <x v="376"/>
    <n v="61"/>
    <n v="18"/>
    <n v="2"/>
    <s v="Electronics"/>
    <x v="13"/>
    <x v="0"/>
    <x v="18"/>
    <x v="24"/>
  </r>
  <r>
    <x v="93"/>
    <n v="61"/>
    <n v="-23"/>
    <n v="2"/>
    <s v="Clothing"/>
    <x v="6"/>
    <x v="0"/>
    <x v="2"/>
    <x v="2"/>
  </r>
  <r>
    <x v="400"/>
    <n v="171"/>
    <n v="14"/>
    <n v="9"/>
    <s v="Clothing"/>
    <x v="16"/>
    <x v="4"/>
    <x v="17"/>
    <x v="21"/>
  </r>
  <r>
    <x v="244"/>
    <n v="60"/>
    <n v="-49"/>
    <n v="8"/>
    <s v="Clothing"/>
    <x v="7"/>
    <x v="0"/>
    <x v="7"/>
    <x v="9"/>
  </r>
  <r>
    <x v="356"/>
    <n v="25"/>
    <n v="-11"/>
    <n v="1"/>
    <s v="Clothing"/>
    <x v="11"/>
    <x v="3"/>
    <x v="0"/>
    <x v="0"/>
  </r>
  <r>
    <x v="156"/>
    <n v="163"/>
    <n v="26"/>
    <n v="4"/>
    <s v="Clothing"/>
    <x v="16"/>
    <x v="0"/>
    <x v="18"/>
    <x v="24"/>
  </r>
  <r>
    <x v="132"/>
    <n v="173"/>
    <n v="86"/>
    <n v="1"/>
    <s v="Electronics"/>
    <x v="3"/>
    <x v="4"/>
    <x v="8"/>
    <x v="11"/>
  </r>
  <r>
    <x v="40"/>
    <n v="257"/>
    <n v="-3"/>
    <n v="2"/>
    <s v="Furniture"/>
    <x v="2"/>
    <x v="3"/>
    <x v="10"/>
    <x v="13"/>
  </r>
  <r>
    <x v="401"/>
    <n v="108"/>
    <n v="37"/>
    <n v="2"/>
    <s v="Clothing"/>
    <x v="11"/>
    <x v="2"/>
    <x v="6"/>
    <x v="23"/>
  </r>
  <r>
    <x v="402"/>
    <n v="177"/>
    <n v="41"/>
    <n v="4"/>
    <s v="Clothing"/>
    <x v="16"/>
    <x v="4"/>
    <x v="5"/>
    <x v="6"/>
  </r>
  <r>
    <x v="74"/>
    <n v="106"/>
    <n v="15"/>
    <n v="7"/>
    <s v="Clothing"/>
    <x v="7"/>
    <x v="2"/>
    <x v="0"/>
    <x v="0"/>
  </r>
  <r>
    <x v="29"/>
    <n v="41"/>
    <n v="-14"/>
    <n v="5"/>
    <s v="Clothing"/>
    <x v="12"/>
    <x v="3"/>
    <x v="12"/>
    <x v="15"/>
  </r>
  <r>
    <x v="87"/>
    <n v="168"/>
    <n v="-10"/>
    <n v="3"/>
    <s v="Electronics"/>
    <x v="13"/>
    <x v="3"/>
    <x v="5"/>
    <x v="6"/>
  </r>
  <r>
    <x v="108"/>
    <n v="60"/>
    <n v="21"/>
    <n v="4"/>
    <s v="Clothing"/>
    <x v="11"/>
    <x v="0"/>
    <x v="17"/>
    <x v="21"/>
  </r>
  <r>
    <x v="403"/>
    <n v="31"/>
    <n v="-11"/>
    <n v="4"/>
    <s v="Clothing"/>
    <x v="11"/>
    <x v="0"/>
    <x v="16"/>
    <x v="20"/>
  </r>
  <r>
    <x v="196"/>
    <n v="179"/>
    <n v="0"/>
    <n v="2"/>
    <s v="Clothing"/>
    <x v="6"/>
    <x v="4"/>
    <x v="2"/>
    <x v="4"/>
  </r>
  <r>
    <x v="140"/>
    <n v="106"/>
    <n v="12"/>
    <n v="3"/>
    <s v="Clothing"/>
    <x v="5"/>
    <x v="2"/>
    <x v="0"/>
    <x v="0"/>
  </r>
  <r>
    <x v="262"/>
    <n v="60"/>
    <n v="13"/>
    <n v="2"/>
    <s v="Clothing"/>
    <x v="14"/>
    <x v="0"/>
    <x v="0"/>
    <x v="18"/>
  </r>
  <r>
    <x v="117"/>
    <n v="180"/>
    <n v="5"/>
    <n v="3"/>
    <s v="Clothing"/>
    <x v="5"/>
    <x v="4"/>
    <x v="0"/>
    <x v="18"/>
  </r>
  <r>
    <x v="103"/>
    <n v="60"/>
    <n v="-10"/>
    <n v="2"/>
    <s v="Furniture"/>
    <x v="15"/>
    <x v="0"/>
    <x v="0"/>
    <x v="0"/>
  </r>
  <r>
    <x v="357"/>
    <n v="59"/>
    <n v="25"/>
    <n v="3"/>
    <s v="Clothing"/>
    <x v="11"/>
    <x v="0"/>
    <x v="11"/>
    <x v="14"/>
  </r>
  <r>
    <x v="54"/>
    <n v="170"/>
    <n v="73"/>
    <n v="2"/>
    <s v="Electronics"/>
    <x v="13"/>
    <x v="3"/>
    <x v="16"/>
    <x v="20"/>
  </r>
  <r>
    <x v="362"/>
    <n v="59"/>
    <n v="10"/>
    <n v="2"/>
    <s v="Clothing"/>
    <x v="7"/>
    <x v="0"/>
    <x v="2"/>
    <x v="4"/>
  </r>
  <r>
    <x v="276"/>
    <n v="24"/>
    <n v="-21"/>
    <n v="7"/>
    <s v="Clothing"/>
    <x v="9"/>
    <x v="0"/>
    <x v="16"/>
    <x v="20"/>
  </r>
  <r>
    <x v="33"/>
    <n v="105"/>
    <n v="-26"/>
    <n v="8"/>
    <s v="Clothing"/>
    <x v="12"/>
    <x v="2"/>
    <x v="7"/>
    <x v="17"/>
  </r>
  <r>
    <x v="211"/>
    <n v="103"/>
    <n v="46"/>
    <n v="2"/>
    <s v="Clothing"/>
    <x v="6"/>
    <x v="2"/>
    <x v="17"/>
    <x v="21"/>
  </r>
  <r>
    <x v="404"/>
    <n v="171"/>
    <n v="17"/>
    <n v="6"/>
    <s v="Clothing"/>
    <x v="14"/>
    <x v="3"/>
    <x v="7"/>
    <x v="17"/>
  </r>
  <r>
    <x v="147"/>
    <n v="102"/>
    <n v="13"/>
    <n v="2"/>
    <s v="Clothing"/>
    <x v="11"/>
    <x v="2"/>
    <x v="17"/>
    <x v="21"/>
  </r>
  <r>
    <x v="139"/>
    <n v="98"/>
    <n v="12"/>
    <n v="2"/>
    <s v="Clothing"/>
    <x v="7"/>
    <x v="2"/>
    <x v="0"/>
    <x v="18"/>
  </r>
  <r>
    <x v="291"/>
    <n v="59"/>
    <n v="10"/>
    <n v="4"/>
    <s v="Clothing"/>
    <x v="12"/>
    <x v="0"/>
    <x v="9"/>
    <x v="12"/>
  </r>
  <r>
    <x v="296"/>
    <n v="189"/>
    <n v="60"/>
    <n v="4"/>
    <s v="Furniture"/>
    <x v="15"/>
    <x v="4"/>
    <x v="7"/>
    <x v="9"/>
  </r>
  <r>
    <x v="405"/>
    <n v="58"/>
    <n v="-52"/>
    <n v="3"/>
    <s v="Furniture"/>
    <x v="1"/>
    <x v="0"/>
    <x v="7"/>
    <x v="9"/>
  </r>
  <r>
    <x v="95"/>
    <n v="60"/>
    <n v="3"/>
    <n v="3"/>
    <s v="Clothing"/>
    <x v="6"/>
    <x v="3"/>
    <x v="0"/>
    <x v="0"/>
  </r>
  <r>
    <x v="406"/>
    <n v="58"/>
    <n v="-8"/>
    <n v="2"/>
    <s v="Clothing"/>
    <x v="6"/>
    <x v="0"/>
    <x v="2"/>
    <x v="4"/>
  </r>
  <r>
    <x v="166"/>
    <n v="94"/>
    <n v="20"/>
    <n v="2"/>
    <s v="Furniture"/>
    <x v="15"/>
    <x v="3"/>
    <x v="0"/>
    <x v="0"/>
  </r>
  <r>
    <x v="117"/>
    <n v="193"/>
    <n v="-166"/>
    <n v="3"/>
    <s v="Clothing"/>
    <x v="6"/>
    <x v="1"/>
    <x v="0"/>
    <x v="18"/>
  </r>
  <r>
    <x v="203"/>
    <n v="199"/>
    <n v="0"/>
    <n v="4"/>
    <s v="Clothing"/>
    <x v="11"/>
    <x v="1"/>
    <x v="2"/>
    <x v="2"/>
  </r>
  <r>
    <x v="133"/>
    <n v="202"/>
    <n v="89"/>
    <n v="9"/>
    <s v="Clothing"/>
    <x v="14"/>
    <x v="1"/>
    <x v="13"/>
    <x v="16"/>
  </r>
  <r>
    <x v="133"/>
    <n v="58"/>
    <n v="17"/>
    <n v="2"/>
    <s v="Clothing"/>
    <x v="7"/>
    <x v="0"/>
    <x v="13"/>
    <x v="16"/>
  </r>
  <r>
    <x v="407"/>
    <n v="57"/>
    <n v="-28"/>
    <n v="2"/>
    <s v="Clothing"/>
    <x v="8"/>
    <x v="0"/>
    <x v="0"/>
    <x v="0"/>
  </r>
  <r>
    <x v="103"/>
    <n v="204"/>
    <n v="-94"/>
    <n v="4"/>
    <s v="Clothing"/>
    <x v="7"/>
    <x v="1"/>
    <x v="0"/>
    <x v="0"/>
  </r>
  <r>
    <x v="408"/>
    <n v="98"/>
    <n v="-12"/>
    <n v="2"/>
    <s v="Electronics"/>
    <x v="0"/>
    <x v="2"/>
    <x v="11"/>
    <x v="14"/>
  </r>
  <r>
    <x v="110"/>
    <n v="22"/>
    <n v="-12"/>
    <n v="3"/>
    <s v="Clothing"/>
    <x v="11"/>
    <x v="0"/>
    <x v="0"/>
    <x v="0"/>
  </r>
  <r>
    <x v="83"/>
    <n v="97"/>
    <n v="17"/>
    <n v="2"/>
    <s v="Clothing"/>
    <x v="11"/>
    <x v="2"/>
    <x v="9"/>
    <x v="12"/>
  </r>
  <r>
    <x v="300"/>
    <n v="57"/>
    <n v="24"/>
    <n v="5"/>
    <s v="Clothing"/>
    <x v="12"/>
    <x v="0"/>
    <x v="14"/>
    <x v="19"/>
  </r>
  <r>
    <x v="409"/>
    <n v="97"/>
    <n v="14"/>
    <n v="2"/>
    <s v="Clothing"/>
    <x v="14"/>
    <x v="2"/>
    <x v="7"/>
    <x v="9"/>
  </r>
  <r>
    <x v="171"/>
    <n v="97"/>
    <n v="17"/>
    <n v="2"/>
    <s v="Clothing"/>
    <x v="11"/>
    <x v="2"/>
    <x v="2"/>
    <x v="4"/>
  </r>
  <r>
    <x v="91"/>
    <n v="96"/>
    <n v="22"/>
    <n v="5"/>
    <s v="Clothing"/>
    <x v="11"/>
    <x v="2"/>
    <x v="6"/>
    <x v="8"/>
  </r>
  <r>
    <x v="114"/>
    <n v="94"/>
    <n v="27"/>
    <n v="2"/>
    <s v="Clothing"/>
    <x v="16"/>
    <x v="2"/>
    <x v="0"/>
    <x v="0"/>
  </r>
  <r>
    <x v="260"/>
    <n v="26"/>
    <n v="-17"/>
    <n v="1"/>
    <s v="Clothing"/>
    <x v="11"/>
    <x v="0"/>
    <x v="8"/>
    <x v="11"/>
  </r>
  <r>
    <x v="410"/>
    <n v="93"/>
    <n v="44"/>
    <n v="2"/>
    <s v="Clothing"/>
    <x v="11"/>
    <x v="2"/>
    <x v="7"/>
    <x v="9"/>
  </r>
  <r>
    <x v="29"/>
    <n v="93"/>
    <n v="-65"/>
    <n v="4"/>
    <s v="Clothing"/>
    <x v="11"/>
    <x v="2"/>
    <x v="12"/>
    <x v="15"/>
  </r>
  <r>
    <x v="222"/>
    <n v="92"/>
    <n v="5"/>
    <n v="6"/>
    <s v="Clothing"/>
    <x v="7"/>
    <x v="2"/>
    <x v="2"/>
    <x v="2"/>
  </r>
  <r>
    <x v="9"/>
    <n v="57"/>
    <n v="27"/>
    <n v="2"/>
    <s v="Clothing"/>
    <x v="14"/>
    <x v="0"/>
    <x v="5"/>
    <x v="6"/>
  </r>
  <r>
    <x v="138"/>
    <n v="57"/>
    <n v="7"/>
    <n v="3"/>
    <s v="Furniture"/>
    <x v="15"/>
    <x v="0"/>
    <x v="9"/>
    <x v="12"/>
  </r>
  <r>
    <x v="411"/>
    <n v="57"/>
    <n v="21"/>
    <n v="4"/>
    <s v="Clothing"/>
    <x v="12"/>
    <x v="0"/>
    <x v="7"/>
    <x v="9"/>
  </r>
  <r>
    <x v="239"/>
    <n v="128"/>
    <n v="4"/>
    <n v="3"/>
    <s v="Clothing"/>
    <x v="6"/>
    <x v="0"/>
    <x v="1"/>
    <x v="10"/>
  </r>
  <r>
    <x v="37"/>
    <n v="89"/>
    <n v="-4"/>
    <n v="5"/>
    <s v="Clothing"/>
    <x v="6"/>
    <x v="2"/>
    <x v="0"/>
    <x v="0"/>
  </r>
  <r>
    <x v="132"/>
    <n v="221"/>
    <n v="26"/>
    <n v="7"/>
    <s v="Furniture"/>
    <x v="15"/>
    <x v="0"/>
    <x v="8"/>
    <x v="11"/>
  </r>
  <r>
    <x v="240"/>
    <n v="205"/>
    <n v="-119"/>
    <n v="3"/>
    <s v="Clothing"/>
    <x v="6"/>
    <x v="4"/>
    <x v="7"/>
    <x v="9"/>
  </r>
  <r>
    <x v="308"/>
    <n v="191"/>
    <n v="51"/>
    <n v="5"/>
    <s v="Clothing"/>
    <x v="16"/>
    <x v="3"/>
    <x v="15"/>
    <x v="16"/>
  </r>
  <r>
    <x v="179"/>
    <n v="206"/>
    <n v="18"/>
    <n v="4"/>
    <s v="Clothing"/>
    <x v="7"/>
    <x v="4"/>
    <x v="12"/>
    <x v="15"/>
  </r>
  <r>
    <x v="192"/>
    <n v="56"/>
    <n v="0"/>
    <n v="4"/>
    <s v="Clothing"/>
    <x v="7"/>
    <x v="0"/>
    <x v="5"/>
    <x v="6"/>
  </r>
  <r>
    <x v="202"/>
    <n v="88"/>
    <n v="16"/>
    <n v="4"/>
    <s v="Clothing"/>
    <x v="11"/>
    <x v="2"/>
    <x v="2"/>
    <x v="2"/>
  </r>
  <r>
    <x v="294"/>
    <n v="224"/>
    <n v="58"/>
    <n v="3"/>
    <s v="Electronics"/>
    <x v="4"/>
    <x v="3"/>
    <x v="6"/>
    <x v="8"/>
  </r>
  <r>
    <x v="412"/>
    <n v="193"/>
    <n v="8"/>
    <n v="4"/>
    <s v="Clothing"/>
    <x v="14"/>
    <x v="3"/>
    <x v="13"/>
    <x v="22"/>
  </r>
  <r>
    <x v="101"/>
    <n v="87"/>
    <n v="36"/>
    <n v="5"/>
    <s v="Clothing"/>
    <x v="11"/>
    <x v="2"/>
    <x v="9"/>
    <x v="12"/>
  </r>
  <r>
    <x v="141"/>
    <n v="189"/>
    <n v="4"/>
    <n v="1"/>
    <s v="Clothing"/>
    <x v="6"/>
    <x v="3"/>
    <x v="8"/>
    <x v="11"/>
  </r>
  <r>
    <x v="195"/>
    <n v="55"/>
    <n v="-33"/>
    <n v="2"/>
    <s v="Furniture"/>
    <x v="1"/>
    <x v="0"/>
    <x v="1"/>
    <x v="10"/>
  </r>
  <r>
    <x v="413"/>
    <n v="85"/>
    <n v="-1"/>
    <n v="3"/>
    <s v="Clothing"/>
    <x v="6"/>
    <x v="2"/>
    <x v="0"/>
    <x v="0"/>
  </r>
  <r>
    <x v="125"/>
    <n v="252"/>
    <n v="56"/>
    <n v="2"/>
    <s v="Electronics"/>
    <x v="4"/>
    <x v="3"/>
    <x v="0"/>
    <x v="0"/>
  </r>
  <r>
    <x v="139"/>
    <n v="197"/>
    <n v="73"/>
    <n v="1"/>
    <s v="Furniture"/>
    <x v="2"/>
    <x v="0"/>
    <x v="0"/>
    <x v="18"/>
  </r>
  <r>
    <x v="10"/>
    <n v="17"/>
    <n v="-3"/>
    <n v="2"/>
    <s v="Clothing"/>
    <x v="11"/>
    <x v="3"/>
    <x v="0"/>
    <x v="0"/>
  </r>
  <r>
    <x v="414"/>
    <n v="100"/>
    <n v="28"/>
    <n v="2"/>
    <s v="Clothing"/>
    <x v="7"/>
    <x v="3"/>
    <x v="0"/>
    <x v="18"/>
  </r>
  <r>
    <x v="40"/>
    <n v="80"/>
    <n v="-19"/>
    <n v="5"/>
    <s v="Clothing"/>
    <x v="11"/>
    <x v="3"/>
    <x v="10"/>
    <x v="13"/>
  </r>
  <r>
    <x v="137"/>
    <n v="75"/>
    <n v="29"/>
    <n v="1"/>
    <s v="Clothing"/>
    <x v="5"/>
    <x v="3"/>
    <x v="3"/>
    <x v="3"/>
  </r>
  <r>
    <x v="40"/>
    <n v="26"/>
    <n v="4"/>
    <n v="2"/>
    <s v="Clothing"/>
    <x v="6"/>
    <x v="3"/>
    <x v="10"/>
    <x v="13"/>
  </r>
  <r>
    <x v="415"/>
    <n v="55"/>
    <n v="12"/>
    <n v="5"/>
    <s v="Clothing"/>
    <x v="9"/>
    <x v="0"/>
    <x v="0"/>
    <x v="0"/>
  </r>
  <r>
    <x v="292"/>
    <n v="157"/>
    <n v="5"/>
    <n v="9"/>
    <s v="Clothing"/>
    <x v="6"/>
    <x v="3"/>
    <x v="6"/>
    <x v="8"/>
  </r>
  <r>
    <x v="89"/>
    <n v="200"/>
    <n v="-60"/>
    <n v="4"/>
    <s v="Furniture"/>
    <x v="2"/>
    <x v="3"/>
    <x v="0"/>
    <x v="0"/>
  </r>
  <r>
    <x v="191"/>
    <n v="230"/>
    <n v="5"/>
    <n v="2"/>
    <s v="Clothing"/>
    <x v="6"/>
    <x v="3"/>
    <x v="8"/>
    <x v="11"/>
  </r>
  <r>
    <x v="179"/>
    <n v="213"/>
    <n v="-145"/>
    <n v="3"/>
    <s v="Furniture"/>
    <x v="2"/>
    <x v="4"/>
    <x v="12"/>
    <x v="15"/>
  </r>
  <r>
    <x v="161"/>
    <n v="55"/>
    <n v="4"/>
    <n v="2"/>
    <s v="Clothing"/>
    <x v="11"/>
    <x v="0"/>
    <x v="16"/>
    <x v="20"/>
  </r>
  <r>
    <x v="416"/>
    <n v="220"/>
    <n v="-19"/>
    <n v="2"/>
    <s v="Clothing"/>
    <x v="6"/>
    <x v="4"/>
    <x v="6"/>
    <x v="8"/>
  </r>
  <r>
    <x v="46"/>
    <n v="150"/>
    <n v="32"/>
    <n v="3"/>
    <s v="Clothing"/>
    <x v="7"/>
    <x v="0"/>
    <x v="5"/>
    <x v="6"/>
  </r>
  <r>
    <x v="105"/>
    <n v="203"/>
    <n v="84"/>
    <n v="2"/>
    <s v="Electronics"/>
    <x v="3"/>
    <x v="3"/>
    <x v="2"/>
    <x v="4"/>
  </r>
  <r>
    <x v="135"/>
    <n v="93"/>
    <n v="31"/>
    <n v="3"/>
    <s v="Electronics"/>
    <x v="13"/>
    <x v="3"/>
    <x v="4"/>
    <x v="5"/>
  </r>
  <r>
    <x v="417"/>
    <n v="290"/>
    <n v="35"/>
    <n v="6"/>
    <s v="Clothing"/>
    <x v="7"/>
    <x v="0"/>
    <x v="7"/>
    <x v="9"/>
  </r>
  <r>
    <x v="237"/>
    <n v="48"/>
    <n v="6"/>
    <n v="1"/>
    <s v="Clothing"/>
    <x v="6"/>
    <x v="0"/>
    <x v="2"/>
    <x v="4"/>
  </r>
  <r>
    <x v="222"/>
    <n v="221"/>
    <n v="35"/>
    <n v="4"/>
    <s v="Electronics"/>
    <x v="13"/>
    <x v="4"/>
    <x v="2"/>
    <x v="2"/>
  </r>
  <r>
    <x v="418"/>
    <n v="55"/>
    <n v="18"/>
    <n v="2"/>
    <s v="Clothing"/>
    <x v="8"/>
    <x v="0"/>
    <x v="17"/>
    <x v="21"/>
  </r>
  <r>
    <x v="87"/>
    <n v="227"/>
    <n v="102"/>
    <n v="8"/>
    <s v="Electronics"/>
    <x v="13"/>
    <x v="4"/>
    <x v="5"/>
    <x v="6"/>
  </r>
  <r>
    <x v="419"/>
    <n v="55"/>
    <n v="-39"/>
    <n v="4"/>
    <s v="Clothing"/>
    <x v="11"/>
    <x v="0"/>
    <x v="0"/>
    <x v="0"/>
  </r>
  <r>
    <x v="417"/>
    <n v="207"/>
    <n v="33"/>
    <n v="2"/>
    <s v="Electronics"/>
    <x v="13"/>
    <x v="3"/>
    <x v="7"/>
    <x v="9"/>
  </r>
  <r>
    <x v="52"/>
    <n v="64"/>
    <n v="6"/>
    <n v="4"/>
    <s v="Clothing"/>
    <x v="6"/>
    <x v="0"/>
    <x v="0"/>
    <x v="18"/>
  </r>
  <r>
    <x v="203"/>
    <n v="89"/>
    <n v="6"/>
    <n v="5"/>
    <s v="Clothing"/>
    <x v="6"/>
    <x v="0"/>
    <x v="2"/>
    <x v="2"/>
  </r>
  <r>
    <x v="21"/>
    <n v="54"/>
    <n v="27"/>
    <n v="2"/>
    <s v="Clothing"/>
    <x v="11"/>
    <x v="0"/>
    <x v="0"/>
    <x v="0"/>
  </r>
  <r>
    <x v="109"/>
    <n v="84"/>
    <n v="41"/>
    <n v="3"/>
    <s v="Clothing"/>
    <x v="14"/>
    <x v="2"/>
    <x v="2"/>
    <x v="4"/>
  </r>
  <r>
    <x v="257"/>
    <n v="209"/>
    <n v="-21"/>
    <n v="2"/>
    <s v="Electronics"/>
    <x v="0"/>
    <x v="3"/>
    <x v="10"/>
    <x v="13"/>
  </r>
  <r>
    <x v="168"/>
    <n v="79"/>
    <n v="33"/>
    <n v="4"/>
    <s v="Clothing"/>
    <x v="11"/>
    <x v="3"/>
    <x v="14"/>
    <x v="19"/>
  </r>
  <r>
    <x v="420"/>
    <n v="54"/>
    <n v="8"/>
    <n v="4"/>
    <s v="Clothing"/>
    <x v="14"/>
    <x v="0"/>
    <x v="5"/>
    <x v="6"/>
  </r>
  <r>
    <x v="64"/>
    <n v="229"/>
    <n v="59"/>
    <n v="9"/>
    <s v="Clothing"/>
    <x v="6"/>
    <x v="4"/>
    <x v="1"/>
    <x v="7"/>
  </r>
  <r>
    <x v="346"/>
    <n v="158"/>
    <n v="38"/>
    <n v="3"/>
    <s v="Clothing"/>
    <x v="7"/>
    <x v="3"/>
    <x v="7"/>
    <x v="17"/>
  </r>
  <r>
    <x v="147"/>
    <n v="248"/>
    <n v="105"/>
    <n v="2"/>
    <s v="Electronics"/>
    <x v="4"/>
    <x v="4"/>
    <x v="17"/>
    <x v="21"/>
  </r>
  <r>
    <x v="18"/>
    <n v="199"/>
    <n v="6"/>
    <n v="2"/>
    <s v="Clothing"/>
    <x v="6"/>
    <x v="3"/>
    <x v="7"/>
    <x v="9"/>
  </r>
  <r>
    <x v="12"/>
    <n v="253"/>
    <n v="-11"/>
    <n v="1"/>
    <s v="Clothing"/>
    <x v="5"/>
    <x v="4"/>
    <x v="2"/>
    <x v="4"/>
  </r>
  <r>
    <x v="275"/>
    <n v="257"/>
    <n v="-252"/>
    <n v="4"/>
    <s v="Clothing"/>
    <x v="6"/>
    <x v="4"/>
    <x v="0"/>
    <x v="0"/>
  </r>
  <r>
    <x v="421"/>
    <n v="193"/>
    <n v="33"/>
    <n v="5"/>
    <s v="Electronics"/>
    <x v="13"/>
    <x v="0"/>
    <x v="6"/>
    <x v="8"/>
  </r>
  <r>
    <x v="422"/>
    <n v="109"/>
    <n v="35"/>
    <n v="6"/>
    <s v="Clothing"/>
    <x v="14"/>
    <x v="0"/>
    <x v="4"/>
    <x v="5"/>
  </r>
  <r>
    <x v="209"/>
    <n v="214"/>
    <n v="30"/>
    <n v="3"/>
    <s v="Electronics"/>
    <x v="13"/>
    <x v="0"/>
    <x v="2"/>
    <x v="4"/>
  </r>
  <r>
    <x v="269"/>
    <n v="141"/>
    <n v="7"/>
    <n v="7"/>
    <s v="Clothing"/>
    <x v="6"/>
    <x v="0"/>
    <x v="8"/>
    <x v="11"/>
  </r>
  <r>
    <x v="132"/>
    <n v="201"/>
    <n v="32"/>
    <n v="4"/>
    <s v="Furniture"/>
    <x v="15"/>
    <x v="3"/>
    <x v="8"/>
    <x v="11"/>
  </r>
  <r>
    <x v="137"/>
    <n v="54"/>
    <n v="12"/>
    <n v="4"/>
    <s v="Clothing"/>
    <x v="16"/>
    <x v="0"/>
    <x v="3"/>
    <x v="3"/>
  </r>
  <r>
    <x v="11"/>
    <n v="83"/>
    <n v="6"/>
    <n v="6"/>
    <s v="Clothing"/>
    <x v="16"/>
    <x v="1"/>
    <x v="1"/>
    <x v="7"/>
  </r>
  <r>
    <x v="173"/>
    <n v="54"/>
    <n v="-3"/>
    <n v="3"/>
    <s v="Clothing"/>
    <x v="6"/>
    <x v="0"/>
    <x v="2"/>
    <x v="4"/>
  </r>
  <r>
    <x v="85"/>
    <n v="53"/>
    <n v="5"/>
    <n v="3"/>
    <s v="Clothing"/>
    <x v="14"/>
    <x v="0"/>
    <x v="6"/>
    <x v="23"/>
  </r>
  <r>
    <x v="214"/>
    <n v="258"/>
    <n v="-27"/>
    <n v="2"/>
    <s v="Electronics"/>
    <x v="4"/>
    <x v="4"/>
    <x v="12"/>
    <x v="15"/>
  </r>
  <r>
    <x v="423"/>
    <n v="199"/>
    <n v="8"/>
    <n v="2"/>
    <s v="Clothing"/>
    <x v="6"/>
    <x v="0"/>
    <x v="2"/>
    <x v="2"/>
  </r>
  <r>
    <x v="268"/>
    <n v="82"/>
    <n v="-27"/>
    <n v="3"/>
    <s v="Clothing"/>
    <x v="8"/>
    <x v="1"/>
    <x v="0"/>
    <x v="0"/>
  </r>
  <r>
    <x v="241"/>
    <n v="139"/>
    <n v="36"/>
    <n v="3"/>
    <s v="Clothing"/>
    <x v="11"/>
    <x v="0"/>
    <x v="2"/>
    <x v="4"/>
  </r>
  <r>
    <x v="74"/>
    <n v="53"/>
    <n v="15"/>
    <n v="2"/>
    <s v="Clothing"/>
    <x v="11"/>
    <x v="0"/>
    <x v="0"/>
    <x v="0"/>
  </r>
  <r>
    <x v="304"/>
    <n v="53"/>
    <n v="1"/>
    <n v="4"/>
    <s v="Clothing"/>
    <x v="11"/>
    <x v="0"/>
    <x v="17"/>
    <x v="21"/>
  </r>
  <r>
    <x v="424"/>
    <n v="101"/>
    <n v="38"/>
    <n v="2"/>
    <s v="Furniture"/>
    <x v="15"/>
    <x v="0"/>
    <x v="0"/>
    <x v="0"/>
  </r>
  <r>
    <x v="29"/>
    <n v="262"/>
    <n v="215"/>
    <n v="2"/>
    <s v="Electronics"/>
    <x v="3"/>
    <x v="4"/>
    <x v="12"/>
    <x v="15"/>
  </r>
  <r>
    <x v="82"/>
    <n v="82"/>
    <n v="-39"/>
    <n v="5"/>
    <s v="Clothing"/>
    <x v="14"/>
    <x v="1"/>
    <x v="0"/>
    <x v="18"/>
  </r>
  <r>
    <x v="327"/>
    <n v="154"/>
    <n v="39"/>
    <n v="3"/>
    <s v="Clothing"/>
    <x v="7"/>
    <x v="0"/>
    <x v="2"/>
    <x v="2"/>
  </r>
  <r>
    <x v="425"/>
    <n v="52"/>
    <n v="18"/>
    <n v="2"/>
    <s v="Clothing"/>
    <x v="11"/>
    <x v="0"/>
    <x v="7"/>
    <x v="17"/>
  </r>
  <r>
    <x v="353"/>
    <n v="1599"/>
    <n v="37"/>
    <n v="6"/>
    <s v="Electronics"/>
    <x v="0"/>
    <x v="3"/>
    <x v="6"/>
    <x v="23"/>
  </r>
  <r>
    <x v="223"/>
    <n v="338"/>
    <n v="41"/>
    <n v="7"/>
    <s v="Clothing"/>
    <x v="7"/>
    <x v="3"/>
    <x v="8"/>
    <x v="11"/>
  </r>
  <r>
    <x v="260"/>
    <n v="51"/>
    <n v="-49"/>
    <n v="2"/>
    <s v="Electronics"/>
    <x v="0"/>
    <x v="0"/>
    <x v="8"/>
    <x v="11"/>
  </r>
  <r>
    <x v="258"/>
    <n v="224"/>
    <n v="-81"/>
    <n v="3"/>
    <s v="Furniture"/>
    <x v="1"/>
    <x v="0"/>
    <x v="4"/>
    <x v="5"/>
  </r>
  <r>
    <x v="426"/>
    <n v="207"/>
    <n v="37"/>
    <n v="4"/>
    <s v="Clothing"/>
    <x v="7"/>
    <x v="0"/>
    <x v="2"/>
    <x v="4"/>
  </r>
  <r>
    <x v="427"/>
    <n v="51"/>
    <n v="14"/>
    <n v="2"/>
    <s v="Clothing"/>
    <x v="11"/>
    <x v="0"/>
    <x v="11"/>
    <x v="14"/>
  </r>
  <r>
    <x v="98"/>
    <n v="82"/>
    <n v="8"/>
    <n v="3"/>
    <s v="Electronics"/>
    <x v="13"/>
    <x v="1"/>
    <x v="4"/>
    <x v="5"/>
  </r>
  <r>
    <x v="106"/>
    <n v="50"/>
    <n v="-17"/>
    <n v="2"/>
    <s v="Clothing"/>
    <x v="11"/>
    <x v="0"/>
    <x v="16"/>
    <x v="20"/>
  </r>
  <r>
    <x v="14"/>
    <n v="263"/>
    <n v="-31"/>
    <n v="9"/>
    <s v="Electronics"/>
    <x v="0"/>
    <x v="4"/>
    <x v="1"/>
    <x v="1"/>
  </r>
  <r>
    <x v="209"/>
    <n v="50"/>
    <n v="7"/>
    <n v="6"/>
    <s v="Clothing"/>
    <x v="9"/>
    <x v="0"/>
    <x v="2"/>
    <x v="4"/>
  </r>
  <r>
    <x v="368"/>
    <n v="245"/>
    <n v="-3"/>
    <n v="4"/>
    <s v="Electronics"/>
    <x v="4"/>
    <x v="3"/>
    <x v="10"/>
    <x v="13"/>
  </r>
  <r>
    <x v="125"/>
    <n v="82"/>
    <n v="24"/>
    <n v="6"/>
    <s v="Clothing"/>
    <x v="7"/>
    <x v="1"/>
    <x v="0"/>
    <x v="0"/>
  </r>
  <r>
    <x v="112"/>
    <n v="229"/>
    <n v="-41"/>
    <n v="8"/>
    <s v="Electronics"/>
    <x v="13"/>
    <x v="0"/>
    <x v="4"/>
    <x v="5"/>
  </r>
  <r>
    <x v="147"/>
    <n v="50"/>
    <n v="14"/>
    <n v="1"/>
    <s v="Electronics"/>
    <x v="0"/>
    <x v="0"/>
    <x v="17"/>
    <x v="21"/>
  </r>
  <r>
    <x v="179"/>
    <n v="220"/>
    <n v="40"/>
    <n v="2"/>
    <s v="Electronics"/>
    <x v="13"/>
    <x v="0"/>
    <x v="12"/>
    <x v="15"/>
  </r>
  <r>
    <x v="8"/>
    <n v="263"/>
    <n v="-63"/>
    <n v="2"/>
    <s v="Electronics"/>
    <x v="0"/>
    <x v="4"/>
    <x v="4"/>
    <x v="5"/>
  </r>
  <r>
    <x v="3"/>
    <n v="81"/>
    <n v="-41"/>
    <n v="5"/>
    <s v="Clothing"/>
    <x v="12"/>
    <x v="1"/>
    <x v="2"/>
    <x v="2"/>
  </r>
  <r>
    <x v="428"/>
    <n v="50"/>
    <n v="-17"/>
    <n v="2"/>
    <s v="Clothing"/>
    <x v="11"/>
    <x v="0"/>
    <x v="15"/>
    <x v="16"/>
  </r>
  <r>
    <x v="3"/>
    <n v="49"/>
    <n v="5"/>
    <n v="4"/>
    <s v="Clothing"/>
    <x v="7"/>
    <x v="0"/>
    <x v="2"/>
    <x v="2"/>
  </r>
  <r>
    <x v="9"/>
    <n v="237"/>
    <n v="47"/>
    <n v="9"/>
    <s v="Clothing"/>
    <x v="14"/>
    <x v="3"/>
    <x v="5"/>
    <x v="6"/>
  </r>
  <r>
    <x v="429"/>
    <n v="264"/>
    <n v="-30"/>
    <n v="3"/>
    <s v="Furniture"/>
    <x v="15"/>
    <x v="4"/>
    <x v="0"/>
    <x v="0"/>
  </r>
  <r>
    <x v="89"/>
    <n v="49"/>
    <n v="3"/>
    <n v="1"/>
    <s v="Clothing"/>
    <x v="16"/>
    <x v="0"/>
    <x v="0"/>
    <x v="0"/>
  </r>
  <r>
    <x v="275"/>
    <n v="63"/>
    <n v="-24"/>
    <n v="6"/>
    <s v="Clothing"/>
    <x v="8"/>
    <x v="0"/>
    <x v="0"/>
    <x v="0"/>
  </r>
  <r>
    <x v="120"/>
    <n v="81"/>
    <n v="-51"/>
    <n v="7"/>
    <s v="Clothing"/>
    <x v="11"/>
    <x v="1"/>
    <x v="0"/>
    <x v="0"/>
  </r>
  <r>
    <x v="130"/>
    <n v="264"/>
    <n v="71"/>
    <n v="10"/>
    <s v="Furniture"/>
    <x v="15"/>
    <x v="4"/>
    <x v="15"/>
    <x v="16"/>
  </r>
  <r>
    <x v="296"/>
    <n v="48"/>
    <n v="11"/>
    <n v="2"/>
    <s v="Clothing"/>
    <x v="16"/>
    <x v="0"/>
    <x v="7"/>
    <x v="9"/>
  </r>
  <r>
    <x v="289"/>
    <n v="48"/>
    <n v="15"/>
    <n v="1"/>
    <s v="Clothing"/>
    <x v="7"/>
    <x v="0"/>
    <x v="2"/>
    <x v="2"/>
  </r>
  <r>
    <x v="104"/>
    <n v="245"/>
    <n v="-78"/>
    <n v="2"/>
    <s v="Electronics"/>
    <x v="3"/>
    <x v="3"/>
    <x v="2"/>
    <x v="4"/>
  </r>
  <r>
    <x v="33"/>
    <n v="146"/>
    <n v="42"/>
    <n v="5"/>
    <s v="Clothing"/>
    <x v="7"/>
    <x v="3"/>
    <x v="7"/>
    <x v="17"/>
  </r>
  <r>
    <x v="95"/>
    <n v="245"/>
    <n v="10"/>
    <n v="2"/>
    <s v="Furniture"/>
    <x v="2"/>
    <x v="0"/>
    <x v="0"/>
    <x v="0"/>
  </r>
  <r>
    <x v="232"/>
    <n v="245"/>
    <n v="91"/>
    <n v="2"/>
    <s v="Furniture"/>
    <x v="2"/>
    <x v="3"/>
    <x v="8"/>
    <x v="11"/>
  </r>
  <r>
    <x v="363"/>
    <n v="80"/>
    <n v="3"/>
    <n v="3"/>
    <s v="Clothing"/>
    <x v="11"/>
    <x v="1"/>
    <x v="12"/>
    <x v="15"/>
  </r>
  <r>
    <x v="164"/>
    <n v="269"/>
    <n v="33"/>
    <n v="5"/>
    <s v="Furniture"/>
    <x v="1"/>
    <x v="4"/>
    <x v="7"/>
    <x v="17"/>
  </r>
  <r>
    <x v="430"/>
    <n v="80"/>
    <n v="22"/>
    <n v="3"/>
    <s v="Clothing"/>
    <x v="11"/>
    <x v="1"/>
    <x v="5"/>
    <x v="6"/>
  </r>
  <r>
    <x v="198"/>
    <n v="284"/>
    <n v="44"/>
    <n v="6"/>
    <s v="Clothing"/>
    <x v="7"/>
    <x v="0"/>
    <x v="6"/>
    <x v="8"/>
  </r>
  <r>
    <x v="431"/>
    <n v="313"/>
    <n v="44"/>
    <n v="3"/>
    <s v="Electronics"/>
    <x v="0"/>
    <x v="0"/>
    <x v="2"/>
    <x v="4"/>
  </r>
  <r>
    <x v="432"/>
    <n v="80"/>
    <n v="-26"/>
    <n v="9"/>
    <s v="Clothing"/>
    <x v="9"/>
    <x v="1"/>
    <x v="7"/>
    <x v="17"/>
  </r>
  <r>
    <x v="433"/>
    <n v="48"/>
    <n v="-8"/>
    <n v="8"/>
    <s v="Clothing"/>
    <x v="11"/>
    <x v="0"/>
    <x v="11"/>
    <x v="14"/>
  </r>
  <r>
    <x v="434"/>
    <n v="87"/>
    <n v="16"/>
    <n v="2"/>
    <s v="Clothing"/>
    <x v="6"/>
    <x v="3"/>
    <x v="2"/>
    <x v="2"/>
  </r>
  <r>
    <x v="256"/>
    <n v="47"/>
    <n v="-114"/>
    <n v="5"/>
    <s v="Furniture"/>
    <x v="15"/>
    <x v="0"/>
    <x v="1"/>
    <x v="10"/>
  </r>
  <r>
    <x v="362"/>
    <n v="140"/>
    <n v="28"/>
    <n v="2"/>
    <s v="Electronics"/>
    <x v="4"/>
    <x v="0"/>
    <x v="2"/>
    <x v="4"/>
  </r>
  <r>
    <x v="141"/>
    <n v="47"/>
    <n v="1"/>
    <n v="2"/>
    <s v="Clothing"/>
    <x v="11"/>
    <x v="0"/>
    <x v="8"/>
    <x v="11"/>
  </r>
  <r>
    <x v="159"/>
    <n v="79"/>
    <n v="-2"/>
    <n v="2"/>
    <s v="Furniture"/>
    <x v="15"/>
    <x v="1"/>
    <x v="2"/>
    <x v="4"/>
  </r>
  <r>
    <x v="131"/>
    <n v="78"/>
    <n v="-64"/>
    <n v="7"/>
    <s v="Clothing"/>
    <x v="11"/>
    <x v="1"/>
    <x v="2"/>
    <x v="4"/>
  </r>
  <r>
    <x v="176"/>
    <n v="47"/>
    <n v="-3"/>
    <n v="2"/>
    <s v="Clothing"/>
    <x v="11"/>
    <x v="0"/>
    <x v="9"/>
    <x v="12"/>
  </r>
  <r>
    <x v="297"/>
    <n v="185"/>
    <n v="48"/>
    <n v="4"/>
    <s v="Clothing"/>
    <x v="11"/>
    <x v="3"/>
    <x v="18"/>
    <x v="24"/>
  </r>
  <r>
    <x v="172"/>
    <n v="77"/>
    <n v="36"/>
    <n v="2"/>
    <s v="Clothing"/>
    <x v="16"/>
    <x v="1"/>
    <x v="9"/>
    <x v="12"/>
  </r>
  <r>
    <x v="435"/>
    <n v="259"/>
    <n v="47"/>
    <n v="5"/>
    <s v="Clothing"/>
    <x v="7"/>
    <x v="3"/>
    <x v="0"/>
    <x v="0"/>
  </r>
  <r>
    <x v="436"/>
    <n v="75"/>
    <n v="0"/>
    <n v="7"/>
    <s v="Clothing"/>
    <x v="6"/>
    <x v="1"/>
    <x v="17"/>
    <x v="21"/>
  </r>
  <r>
    <x v="437"/>
    <n v="75"/>
    <n v="0"/>
    <n v="3"/>
    <s v="Clothing"/>
    <x v="16"/>
    <x v="1"/>
    <x v="2"/>
    <x v="4"/>
  </r>
  <r>
    <x v="161"/>
    <n v="46"/>
    <n v="0"/>
    <n v="4"/>
    <s v="Clothing"/>
    <x v="12"/>
    <x v="0"/>
    <x v="16"/>
    <x v="20"/>
  </r>
  <r>
    <x v="162"/>
    <n v="46"/>
    <n v="13"/>
    <n v="3"/>
    <s v="Clothing"/>
    <x v="7"/>
    <x v="0"/>
    <x v="11"/>
    <x v="14"/>
  </r>
  <r>
    <x v="2"/>
    <n v="200"/>
    <n v="13"/>
    <n v="5"/>
    <s v="Electronics"/>
    <x v="4"/>
    <x v="0"/>
    <x v="2"/>
    <x v="2"/>
  </r>
  <r>
    <x v="438"/>
    <n v="46"/>
    <n v="-14"/>
    <n v="1"/>
    <s v="Electronics"/>
    <x v="4"/>
    <x v="0"/>
    <x v="2"/>
    <x v="4"/>
  </r>
  <r>
    <x v="439"/>
    <n v="126"/>
    <n v="52"/>
    <n v="4"/>
    <s v="Clothing"/>
    <x v="7"/>
    <x v="3"/>
    <x v="2"/>
    <x v="4"/>
  </r>
  <r>
    <x v="237"/>
    <n v="74"/>
    <n v="29"/>
    <n v="3"/>
    <s v="Clothing"/>
    <x v="11"/>
    <x v="1"/>
    <x v="2"/>
    <x v="4"/>
  </r>
  <r>
    <x v="204"/>
    <n v="45"/>
    <n v="13"/>
    <n v="4"/>
    <s v="Clothing"/>
    <x v="9"/>
    <x v="0"/>
    <x v="12"/>
    <x v="15"/>
  </r>
  <r>
    <x v="180"/>
    <n v="74"/>
    <n v="9"/>
    <n v="3"/>
    <s v="Clothing"/>
    <x v="16"/>
    <x v="3"/>
    <x v="3"/>
    <x v="3"/>
  </r>
  <r>
    <x v="260"/>
    <n v="129"/>
    <n v="11"/>
    <n v="2"/>
    <s v="Electronics"/>
    <x v="4"/>
    <x v="3"/>
    <x v="8"/>
    <x v="11"/>
  </r>
  <r>
    <x v="297"/>
    <n v="122"/>
    <n v="50"/>
    <n v="7"/>
    <s v="Clothing"/>
    <x v="11"/>
    <x v="3"/>
    <x v="18"/>
    <x v="24"/>
  </r>
  <r>
    <x v="192"/>
    <n v="74"/>
    <n v="-51"/>
    <n v="3"/>
    <s v="Clothing"/>
    <x v="11"/>
    <x v="3"/>
    <x v="5"/>
    <x v="6"/>
  </r>
  <r>
    <x v="229"/>
    <n v="278"/>
    <n v="39"/>
    <n v="5"/>
    <s v="Furniture"/>
    <x v="1"/>
    <x v="4"/>
    <x v="6"/>
    <x v="8"/>
  </r>
  <r>
    <x v="440"/>
    <n v="282"/>
    <n v="14"/>
    <n v="4"/>
    <s v="Clothing"/>
    <x v="5"/>
    <x v="4"/>
    <x v="13"/>
    <x v="22"/>
  </r>
  <r>
    <x v="134"/>
    <n v="45"/>
    <n v="0"/>
    <n v="2"/>
    <s v="Clothing"/>
    <x v="14"/>
    <x v="0"/>
    <x v="17"/>
    <x v="21"/>
  </r>
  <r>
    <x v="51"/>
    <n v="45"/>
    <n v="6"/>
    <n v="3"/>
    <s v="Clothing"/>
    <x v="16"/>
    <x v="0"/>
    <x v="13"/>
    <x v="16"/>
  </r>
  <r>
    <x v="392"/>
    <n v="45"/>
    <n v="16"/>
    <n v="3"/>
    <s v="Clothing"/>
    <x v="11"/>
    <x v="0"/>
    <x v="0"/>
    <x v="0"/>
  </r>
  <r>
    <x v="441"/>
    <n v="73"/>
    <n v="-36"/>
    <n v="3"/>
    <s v="Furniture"/>
    <x v="1"/>
    <x v="3"/>
    <x v="2"/>
    <x v="4"/>
  </r>
  <r>
    <x v="83"/>
    <n v="45"/>
    <n v="12"/>
    <n v="4"/>
    <s v="Clothing"/>
    <x v="7"/>
    <x v="0"/>
    <x v="9"/>
    <x v="12"/>
  </r>
  <r>
    <x v="312"/>
    <n v="72"/>
    <n v="-6"/>
    <n v="3"/>
    <s v="Clothing"/>
    <x v="6"/>
    <x v="3"/>
    <x v="13"/>
    <x v="16"/>
  </r>
  <r>
    <x v="371"/>
    <n v="71"/>
    <n v="-44"/>
    <n v="5"/>
    <s v="Electronics"/>
    <x v="13"/>
    <x v="3"/>
    <x v="13"/>
    <x v="22"/>
  </r>
  <r>
    <x v="429"/>
    <n v="45"/>
    <n v="-2"/>
    <n v="4"/>
    <s v="Clothing"/>
    <x v="16"/>
    <x v="0"/>
    <x v="0"/>
    <x v="0"/>
  </r>
  <r>
    <x v="141"/>
    <n v="286"/>
    <n v="140"/>
    <n v="6"/>
    <s v="Clothing"/>
    <x v="16"/>
    <x v="4"/>
    <x v="8"/>
    <x v="11"/>
  </r>
  <r>
    <x v="442"/>
    <n v="294"/>
    <n v="138"/>
    <n v="2"/>
    <s v="Electronics"/>
    <x v="3"/>
    <x v="4"/>
    <x v="0"/>
    <x v="0"/>
  </r>
  <r>
    <x v="127"/>
    <n v="223"/>
    <n v="4"/>
    <n v="3"/>
    <s v="Electronics"/>
    <x v="4"/>
    <x v="0"/>
    <x v="13"/>
    <x v="22"/>
  </r>
  <r>
    <x v="443"/>
    <n v="20"/>
    <n v="-2"/>
    <n v="1"/>
    <s v="Electronics"/>
    <x v="13"/>
    <x v="3"/>
    <x v="17"/>
    <x v="21"/>
  </r>
  <r>
    <x v="243"/>
    <n v="302"/>
    <n v="75"/>
    <n v="6"/>
    <s v="Furniture"/>
    <x v="15"/>
    <x v="4"/>
    <x v="5"/>
    <x v="6"/>
  </r>
  <r>
    <x v="269"/>
    <n v="113"/>
    <n v="28"/>
    <n v="2"/>
    <s v="Clothing"/>
    <x v="6"/>
    <x v="3"/>
    <x v="8"/>
    <x v="11"/>
  </r>
  <r>
    <x v="101"/>
    <n v="44"/>
    <n v="2"/>
    <n v="3"/>
    <s v="Clothing"/>
    <x v="7"/>
    <x v="0"/>
    <x v="9"/>
    <x v="12"/>
  </r>
  <r>
    <x v="444"/>
    <n v="305"/>
    <n v="-270"/>
    <n v="5"/>
    <s v="Electronics"/>
    <x v="0"/>
    <x v="4"/>
    <x v="5"/>
    <x v="6"/>
  </r>
  <r>
    <x v="437"/>
    <n v="306"/>
    <n v="-147"/>
    <n v="3"/>
    <s v="Clothing"/>
    <x v="6"/>
    <x v="4"/>
    <x v="2"/>
    <x v="4"/>
  </r>
  <r>
    <x v="240"/>
    <n v="70"/>
    <n v="-64"/>
    <n v="5"/>
    <s v="Clothing"/>
    <x v="11"/>
    <x v="3"/>
    <x v="7"/>
    <x v="9"/>
  </r>
  <r>
    <x v="249"/>
    <n v="44"/>
    <n v="11"/>
    <n v="4"/>
    <s v="Clothing"/>
    <x v="11"/>
    <x v="0"/>
    <x v="0"/>
    <x v="0"/>
  </r>
  <r>
    <x v="102"/>
    <n v="44"/>
    <n v="14"/>
    <n v="3"/>
    <s v="Clothing"/>
    <x v="7"/>
    <x v="0"/>
    <x v="0"/>
    <x v="0"/>
  </r>
  <r>
    <x v="29"/>
    <n v="319"/>
    <n v="312"/>
    <n v="5"/>
    <s v="Clothing"/>
    <x v="6"/>
    <x v="4"/>
    <x v="12"/>
    <x v="15"/>
  </r>
  <r>
    <x v="217"/>
    <n v="287"/>
    <n v="-280"/>
    <n v="12"/>
    <s v="Furniture"/>
    <x v="1"/>
    <x v="3"/>
    <x v="0"/>
    <x v="0"/>
  </r>
  <r>
    <x v="296"/>
    <n v="44"/>
    <n v="10"/>
    <n v="3"/>
    <s v="Clothing"/>
    <x v="11"/>
    <x v="0"/>
    <x v="7"/>
    <x v="9"/>
  </r>
  <r>
    <x v="111"/>
    <n v="288"/>
    <n v="-180"/>
    <n v="4"/>
    <s v="Furniture"/>
    <x v="1"/>
    <x v="0"/>
    <x v="0"/>
    <x v="18"/>
  </r>
  <r>
    <x v="52"/>
    <n v="49"/>
    <n v="-31"/>
    <n v="2"/>
    <s v="Clothing"/>
    <x v="11"/>
    <x v="0"/>
    <x v="0"/>
    <x v="18"/>
  </r>
  <r>
    <x v="160"/>
    <n v="43"/>
    <n v="-10"/>
    <n v="4"/>
    <s v="Clothing"/>
    <x v="9"/>
    <x v="0"/>
    <x v="8"/>
    <x v="11"/>
  </r>
  <r>
    <x v="153"/>
    <n v="43"/>
    <n v="5"/>
    <n v="3"/>
    <s v="Clothing"/>
    <x v="11"/>
    <x v="0"/>
    <x v="0"/>
    <x v="0"/>
  </r>
  <r>
    <x v="0"/>
    <n v="68"/>
    <n v="-27"/>
    <n v="3"/>
    <s v="Electronics"/>
    <x v="13"/>
    <x v="3"/>
    <x v="0"/>
    <x v="0"/>
  </r>
  <r>
    <x v="83"/>
    <n v="320"/>
    <n v="144"/>
    <n v="1"/>
    <s v="Electronics"/>
    <x v="3"/>
    <x v="4"/>
    <x v="9"/>
    <x v="12"/>
  </r>
  <r>
    <x v="99"/>
    <n v="67"/>
    <n v="2"/>
    <n v="4"/>
    <s v="Clothing"/>
    <x v="14"/>
    <x v="3"/>
    <x v="0"/>
    <x v="18"/>
  </r>
  <r>
    <x v="314"/>
    <n v="66"/>
    <n v="-12"/>
    <n v="5"/>
    <s v="Clothing"/>
    <x v="11"/>
    <x v="3"/>
    <x v="7"/>
    <x v="9"/>
  </r>
  <r>
    <x v="347"/>
    <n v="321"/>
    <n v="26"/>
    <n v="3"/>
    <s v="Electronics"/>
    <x v="3"/>
    <x v="4"/>
    <x v="3"/>
    <x v="3"/>
  </r>
  <r>
    <x v="230"/>
    <n v="43"/>
    <n v="-5"/>
    <n v="2"/>
    <s v="Clothing"/>
    <x v="6"/>
    <x v="0"/>
    <x v="2"/>
    <x v="4"/>
  </r>
  <r>
    <x v="197"/>
    <n v="114"/>
    <n v="-39"/>
    <n v="5"/>
    <s v="Clothing"/>
    <x v="8"/>
    <x v="0"/>
    <x v="13"/>
    <x v="16"/>
  </r>
  <r>
    <x v="146"/>
    <n v="43"/>
    <n v="17"/>
    <n v="1"/>
    <s v="Clothing"/>
    <x v="6"/>
    <x v="0"/>
    <x v="1"/>
    <x v="7"/>
  </r>
  <r>
    <x v="230"/>
    <n v="43"/>
    <n v="21"/>
    <n v="3"/>
    <s v="Clothing"/>
    <x v="16"/>
    <x v="0"/>
    <x v="2"/>
    <x v="4"/>
  </r>
  <r>
    <x v="168"/>
    <n v="637"/>
    <n v="50"/>
    <n v="5"/>
    <s v="Clothing"/>
    <x v="6"/>
    <x v="0"/>
    <x v="14"/>
    <x v="19"/>
  </r>
  <r>
    <x v="9"/>
    <n v="300"/>
    <n v="42"/>
    <n v="2"/>
    <s v="Electronics"/>
    <x v="3"/>
    <x v="0"/>
    <x v="5"/>
    <x v="6"/>
  </r>
  <r>
    <x v="445"/>
    <n v="341"/>
    <n v="44"/>
    <n v="7"/>
    <s v="Furniture"/>
    <x v="15"/>
    <x v="3"/>
    <x v="2"/>
    <x v="4"/>
  </r>
  <r>
    <x v="90"/>
    <n v="102"/>
    <n v="0"/>
    <n v="3"/>
    <s v="Electronics"/>
    <x v="4"/>
    <x v="0"/>
    <x v="2"/>
    <x v="4"/>
  </r>
  <r>
    <x v="14"/>
    <n v="328"/>
    <n v="-15"/>
    <n v="3"/>
    <s v="Electronics"/>
    <x v="0"/>
    <x v="4"/>
    <x v="1"/>
    <x v="1"/>
  </r>
  <r>
    <x v="446"/>
    <n v="341"/>
    <n v="160"/>
    <n v="7"/>
    <s v="Clothing"/>
    <x v="11"/>
    <x v="4"/>
    <x v="2"/>
    <x v="4"/>
  </r>
  <r>
    <x v="447"/>
    <n v="62"/>
    <n v="11"/>
    <n v="7"/>
    <s v="Clothing"/>
    <x v="7"/>
    <x v="3"/>
    <x v="6"/>
    <x v="8"/>
  </r>
  <r>
    <x v="232"/>
    <n v="42"/>
    <n v="13"/>
    <n v="3"/>
    <s v="Clothing"/>
    <x v="12"/>
    <x v="0"/>
    <x v="8"/>
    <x v="11"/>
  </r>
  <r>
    <x v="297"/>
    <n v="62"/>
    <n v="28"/>
    <n v="5"/>
    <s v="Clothing"/>
    <x v="7"/>
    <x v="3"/>
    <x v="18"/>
    <x v="24"/>
  </r>
  <r>
    <x v="159"/>
    <n v="42"/>
    <n v="7"/>
    <n v="2"/>
    <s v="Clothing"/>
    <x v="8"/>
    <x v="0"/>
    <x v="2"/>
    <x v="4"/>
  </r>
  <r>
    <x v="448"/>
    <n v="42"/>
    <n v="-3"/>
    <n v="1"/>
    <s v="Electronics"/>
    <x v="0"/>
    <x v="0"/>
    <x v="12"/>
    <x v="15"/>
  </r>
  <r>
    <x v="388"/>
    <n v="313"/>
    <n v="-13"/>
    <n v="5"/>
    <s v="Furniture"/>
    <x v="2"/>
    <x v="3"/>
    <x v="1"/>
    <x v="10"/>
  </r>
  <r>
    <x v="76"/>
    <n v="109"/>
    <n v="52"/>
    <n v="2"/>
    <s v="Clothing"/>
    <x v="11"/>
    <x v="3"/>
    <x v="0"/>
    <x v="0"/>
  </r>
  <r>
    <x v="12"/>
    <n v="226"/>
    <n v="58"/>
    <n v="3"/>
    <s v="Electronics"/>
    <x v="13"/>
    <x v="0"/>
    <x v="2"/>
    <x v="4"/>
  </r>
  <r>
    <x v="54"/>
    <n v="62"/>
    <n v="-1"/>
    <n v="1"/>
    <s v="Electronics"/>
    <x v="4"/>
    <x v="3"/>
    <x v="16"/>
    <x v="20"/>
  </r>
  <r>
    <x v="67"/>
    <n v="61"/>
    <n v="-25"/>
    <n v="4"/>
    <s v="Electronics"/>
    <x v="13"/>
    <x v="3"/>
    <x v="0"/>
    <x v="0"/>
  </r>
  <r>
    <x v="260"/>
    <n v="222"/>
    <n v="74"/>
    <n v="5"/>
    <s v="Clothing"/>
    <x v="7"/>
    <x v="0"/>
    <x v="8"/>
    <x v="11"/>
  </r>
  <r>
    <x v="202"/>
    <n v="342"/>
    <n v="-154"/>
    <n v="7"/>
    <s v="Furniture"/>
    <x v="15"/>
    <x v="4"/>
    <x v="2"/>
    <x v="2"/>
  </r>
  <r>
    <x v="70"/>
    <n v="344"/>
    <n v="-34"/>
    <n v="3"/>
    <s v="Clothing"/>
    <x v="6"/>
    <x v="4"/>
    <x v="15"/>
    <x v="16"/>
  </r>
  <r>
    <x v="449"/>
    <n v="345"/>
    <n v="38"/>
    <n v="7"/>
    <s v="Clothing"/>
    <x v="7"/>
    <x v="4"/>
    <x v="15"/>
    <x v="16"/>
  </r>
  <r>
    <x v="450"/>
    <n v="46"/>
    <n v="0"/>
    <n v="2"/>
    <s v="Electronics"/>
    <x v="0"/>
    <x v="0"/>
    <x v="0"/>
    <x v="0"/>
  </r>
  <r>
    <x v="209"/>
    <n v="255"/>
    <n v="74"/>
    <n v="5"/>
    <s v="Clothing"/>
    <x v="7"/>
    <x v="0"/>
    <x v="2"/>
    <x v="4"/>
  </r>
  <r>
    <x v="338"/>
    <n v="360"/>
    <n v="32"/>
    <n v="3"/>
    <s v="Clothing"/>
    <x v="6"/>
    <x v="3"/>
    <x v="17"/>
    <x v="21"/>
  </r>
  <r>
    <x v="170"/>
    <n v="372"/>
    <n v="59"/>
    <n v="3"/>
    <s v="Electronics"/>
    <x v="3"/>
    <x v="3"/>
    <x v="1"/>
    <x v="1"/>
  </r>
  <r>
    <x v="139"/>
    <n v="61"/>
    <n v="30"/>
    <n v="2"/>
    <s v="Clothing"/>
    <x v="7"/>
    <x v="3"/>
    <x v="0"/>
    <x v="18"/>
  </r>
  <r>
    <x v="77"/>
    <n v="42"/>
    <n v="12"/>
    <n v="5"/>
    <s v="Clothing"/>
    <x v="7"/>
    <x v="0"/>
    <x v="16"/>
    <x v="20"/>
  </r>
  <r>
    <x v="197"/>
    <n v="42"/>
    <n v="-26"/>
    <n v="2"/>
    <s v="Clothing"/>
    <x v="8"/>
    <x v="0"/>
    <x v="13"/>
    <x v="16"/>
  </r>
  <r>
    <x v="451"/>
    <n v="61"/>
    <n v="25"/>
    <n v="4"/>
    <s v="Clothing"/>
    <x v="6"/>
    <x v="3"/>
    <x v="13"/>
    <x v="16"/>
  </r>
  <r>
    <x v="25"/>
    <n v="41"/>
    <n v="11"/>
    <n v="6"/>
    <s v="Clothing"/>
    <x v="7"/>
    <x v="0"/>
    <x v="11"/>
    <x v="14"/>
  </r>
  <r>
    <x v="133"/>
    <n v="40"/>
    <n v="13"/>
    <n v="3"/>
    <s v="Clothing"/>
    <x v="14"/>
    <x v="0"/>
    <x v="13"/>
    <x v="16"/>
  </r>
  <r>
    <x v="113"/>
    <n v="59"/>
    <n v="21"/>
    <n v="2"/>
    <s v="Clothing"/>
    <x v="11"/>
    <x v="3"/>
    <x v="12"/>
    <x v="15"/>
  </r>
  <r>
    <x v="268"/>
    <n v="57"/>
    <n v="27"/>
    <n v="2"/>
    <s v="Clothing"/>
    <x v="16"/>
    <x v="3"/>
    <x v="0"/>
    <x v="0"/>
  </r>
  <r>
    <x v="7"/>
    <n v="17"/>
    <n v="6"/>
    <n v="1"/>
    <s v="Clothing"/>
    <x v="11"/>
    <x v="3"/>
    <x v="2"/>
    <x v="4"/>
  </r>
  <r>
    <x v="162"/>
    <n v="40"/>
    <n v="10"/>
    <n v="2"/>
    <s v="Clothing"/>
    <x v="11"/>
    <x v="0"/>
    <x v="11"/>
    <x v="14"/>
  </r>
  <r>
    <x v="309"/>
    <n v="349"/>
    <n v="-24"/>
    <n v="2"/>
    <s v="Clothing"/>
    <x v="6"/>
    <x v="4"/>
    <x v="2"/>
    <x v="2"/>
  </r>
  <r>
    <x v="452"/>
    <n v="335"/>
    <n v="-22"/>
    <n v="7"/>
    <s v="Furniture"/>
    <x v="1"/>
    <x v="3"/>
    <x v="2"/>
    <x v="4"/>
  </r>
  <r>
    <x v="202"/>
    <n v="40"/>
    <n v="16"/>
    <n v="3"/>
    <s v="Clothing"/>
    <x v="7"/>
    <x v="0"/>
    <x v="2"/>
    <x v="2"/>
  </r>
  <r>
    <x v="53"/>
    <n v="40"/>
    <n v="17"/>
    <n v="2"/>
    <s v="Clothing"/>
    <x v="11"/>
    <x v="0"/>
    <x v="13"/>
    <x v="16"/>
  </r>
  <r>
    <x v="197"/>
    <n v="40"/>
    <n v="-7"/>
    <n v="3"/>
    <s v="Clothing"/>
    <x v="11"/>
    <x v="0"/>
    <x v="13"/>
    <x v="16"/>
  </r>
  <r>
    <x v="260"/>
    <n v="352"/>
    <n v="74"/>
    <n v="8"/>
    <s v="Clothing"/>
    <x v="11"/>
    <x v="4"/>
    <x v="8"/>
    <x v="11"/>
  </r>
  <r>
    <x v="186"/>
    <n v="55"/>
    <n v="-26"/>
    <n v="4"/>
    <s v="Clothing"/>
    <x v="6"/>
    <x v="3"/>
    <x v="13"/>
    <x v="16"/>
  </r>
  <r>
    <x v="102"/>
    <n v="352"/>
    <n v="18"/>
    <n v="5"/>
    <s v="Clothing"/>
    <x v="5"/>
    <x v="4"/>
    <x v="0"/>
    <x v="0"/>
  </r>
  <r>
    <x v="36"/>
    <n v="53"/>
    <n v="-18"/>
    <n v="4"/>
    <s v="Clothing"/>
    <x v="14"/>
    <x v="3"/>
    <x v="2"/>
    <x v="2"/>
  </r>
  <r>
    <x v="429"/>
    <n v="51"/>
    <n v="7"/>
    <n v="2"/>
    <s v="Furniture"/>
    <x v="15"/>
    <x v="3"/>
    <x v="0"/>
    <x v="0"/>
  </r>
  <r>
    <x v="406"/>
    <n v="40"/>
    <n v="-37"/>
    <n v="3"/>
    <s v="Clothing"/>
    <x v="11"/>
    <x v="0"/>
    <x v="2"/>
    <x v="4"/>
  </r>
  <r>
    <x v="193"/>
    <n v="39"/>
    <n v="14"/>
    <n v="5"/>
    <s v="Clothing"/>
    <x v="12"/>
    <x v="0"/>
    <x v="1"/>
    <x v="1"/>
  </r>
  <r>
    <x v="453"/>
    <n v="355"/>
    <n v="-4"/>
    <n v="2"/>
    <s v="Clothing"/>
    <x v="6"/>
    <x v="4"/>
    <x v="2"/>
    <x v="4"/>
  </r>
  <r>
    <x v="7"/>
    <n v="357"/>
    <n v="139"/>
    <n v="2"/>
    <s v="Clothing"/>
    <x v="6"/>
    <x v="4"/>
    <x v="2"/>
    <x v="4"/>
  </r>
  <r>
    <x v="117"/>
    <n v="38"/>
    <n v="18"/>
    <n v="1"/>
    <s v="Clothing"/>
    <x v="8"/>
    <x v="0"/>
    <x v="0"/>
    <x v="18"/>
  </r>
  <r>
    <x v="198"/>
    <n v="38"/>
    <n v="9"/>
    <n v="2"/>
    <s v="Clothing"/>
    <x v="11"/>
    <x v="0"/>
    <x v="6"/>
    <x v="8"/>
  </r>
  <r>
    <x v="294"/>
    <n v="141"/>
    <n v="10"/>
    <n v="4"/>
    <s v="Clothing"/>
    <x v="16"/>
    <x v="3"/>
    <x v="6"/>
    <x v="8"/>
  </r>
  <r>
    <x v="392"/>
    <n v="36"/>
    <n v="4"/>
    <n v="9"/>
    <s v="Clothing"/>
    <x v="7"/>
    <x v="0"/>
    <x v="0"/>
    <x v="0"/>
  </r>
  <r>
    <x v="133"/>
    <n v="351"/>
    <n v="-94"/>
    <n v="5"/>
    <s v="Electronics"/>
    <x v="0"/>
    <x v="0"/>
    <x v="13"/>
    <x v="16"/>
  </r>
  <r>
    <x v="199"/>
    <n v="369"/>
    <n v="15"/>
    <n v="3"/>
    <s v="Electronics"/>
    <x v="0"/>
    <x v="4"/>
    <x v="4"/>
    <x v="5"/>
  </r>
  <r>
    <x v="9"/>
    <n v="53"/>
    <n v="24"/>
    <n v="6"/>
    <s v="Clothing"/>
    <x v="7"/>
    <x v="1"/>
    <x v="5"/>
    <x v="6"/>
  </r>
  <r>
    <x v="454"/>
    <n v="371"/>
    <n v="115"/>
    <n v="1"/>
    <s v="Furniture"/>
    <x v="2"/>
    <x v="4"/>
    <x v="2"/>
    <x v="4"/>
  </r>
  <r>
    <x v="85"/>
    <n v="499"/>
    <n v="33"/>
    <n v="4"/>
    <s v="Clothing"/>
    <x v="6"/>
    <x v="0"/>
    <x v="6"/>
    <x v="23"/>
  </r>
  <r>
    <x v="170"/>
    <n v="223"/>
    <n v="62"/>
    <n v="7"/>
    <s v="Clothing"/>
    <x v="16"/>
    <x v="0"/>
    <x v="1"/>
    <x v="1"/>
  </r>
  <r>
    <x v="191"/>
    <n v="50"/>
    <n v="-4"/>
    <n v="6"/>
    <s v="Clothing"/>
    <x v="14"/>
    <x v="1"/>
    <x v="8"/>
    <x v="11"/>
  </r>
  <r>
    <x v="179"/>
    <n v="391"/>
    <n v="90"/>
    <n v="6"/>
    <s v="Electronics"/>
    <x v="4"/>
    <x v="4"/>
    <x v="12"/>
    <x v="15"/>
  </r>
  <r>
    <x v="455"/>
    <n v="416"/>
    <n v="137"/>
    <n v="3"/>
    <s v="Electronics"/>
    <x v="4"/>
    <x v="4"/>
    <x v="4"/>
    <x v="5"/>
  </r>
  <r>
    <x v="437"/>
    <n v="424"/>
    <n v="-17"/>
    <n v="9"/>
    <s v="Furniture"/>
    <x v="1"/>
    <x v="4"/>
    <x v="2"/>
    <x v="4"/>
  </r>
  <r>
    <x v="38"/>
    <n v="362"/>
    <n v="127"/>
    <n v="1"/>
    <s v="Furniture"/>
    <x v="2"/>
    <x v="0"/>
    <x v="9"/>
    <x v="12"/>
  </r>
  <r>
    <x v="8"/>
    <n v="36"/>
    <n v="-7"/>
    <n v="1"/>
    <s v="Electronics"/>
    <x v="0"/>
    <x v="0"/>
    <x v="4"/>
    <x v="5"/>
  </r>
  <r>
    <x v="177"/>
    <n v="34"/>
    <n v="-10"/>
    <n v="3"/>
    <s v="Clothing"/>
    <x v="9"/>
    <x v="0"/>
    <x v="7"/>
    <x v="9"/>
  </r>
  <r>
    <x v="154"/>
    <n v="367"/>
    <n v="73"/>
    <n v="3"/>
    <s v="Electronics"/>
    <x v="0"/>
    <x v="3"/>
    <x v="0"/>
    <x v="0"/>
  </r>
  <r>
    <x v="135"/>
    <n v="425"/>
    <n v="208"/>
    <n v="7"/>
    <s v="Clothing"/>
    <x v="6"/>
    <x v="4"/>
    <x v="4"/>
    <x v="5"/>
  </r>
  <r>
    <x v="368"/>
    <n v="433"/>
    <n v="26"/>
    <n v="3"/>
    <s v="Electronics"/>
    <x v="3"/>
    <x v="4"/>
    <x v="10"/>
    <x v="13"/>
  </r>
  <r>
    <x v="454"/>
    <n v="460"/>
    <n v="31"/>
    <n v="3"/>
    <s v="Furniture"/>
    <x v="2"/>
    <x v="4"/>
    <x v="2"/>
    <x v="4"/>
  </r>
  <r>
    <x v="256"/>
    <n v="62"/>
    <n v="-56"/>
    <n v="5"/>
    <s v="Clothing"/>
    <x v="8"/>
    <x v="0"/>
    <x v="1"/>
    <x v="10"/>
  </r>
  <r>
    <x v="83"/>
    <n v="50"/>
    <n v="16"/>
    <n v="1"/>
    <s v="Clothing"/>
    <x v="11"/>
    <x v="1"/>
    <x v="9"/>
    <x v="12"/>
  </r>
  <r>
    <x v="369"/>
    <n v="460"/>
    <n v="-143"/>
    <n v="3"/>
    <s v="Furniture"/>
    <x v="1"/>
    <x v="4"/>
    <x v="8"/>
    <x v="11"/>
  </r>
  <r>
    <x v="265"/>
    <n v="34"/>
    <n v="3"/>
    <n v="3"/>
    <s v="Clothing"/>
    <x v="6"/>
    <x v="0"/>
    <x v="12"/>
    <x v="15"/>
  </r>
  <r>
    <x v="259"/>
    <n v="227"/>
    <n v="59"/>
    <n v="2"/>
    <s v="Furniture"/>
    <x v="15"/>
    <x v="3"/>
    <x v="0"/>
    <x v="0"/>
  </r>
  <r>
    <x v="376"/>
    <n v="469"/>
    <n v="33"/>
    <n v="4"/>
    <s v="Electronics"/>
    <x v="0"/>
    <x v="4"/>
    <x v="18"/>
    <x v="24"/>
  </r>
  <r>
    <x v="9"/>
    <n v="103"/>
    <n v="46"/>
    <n v="2"/>
    <s v="Clothing"/>
    <x v="6"/>
    <x v="3"/>
    <x v="5"/>
    <x v="6"/>
  </r>
  <r>
    <x v="247"/>
    <n v="34"/>
    <n v="-13"/>
    <n v="5"/>
    <s v="Clothing"/>
    <x v="12"/>
    <x v="0"/>
    <x v="1"/>
    <x v="10"/>
  </r>
  <r>
    <x v="142"/>
    <n v="137"/>
    <n v="63"/>
    <n v="3"/>
    <s v="Clothing"/>
    <x v="11"/>
    <x v="0"/>
    <x v="17"/>
    <x v="21"/>
  </r>
  <r>
    <x v="456"/>
    <n v="34"/>
    <n v="12"/>
    <n v="2"/>
    <s v="Clothing"/>
    <x v="11"/>
    <x v="0"/>
    <x v="2"/>
    <x v="2"/>
  </r>
  <r>
    <x v="362"/>
    <n v="474"/>
    <n v="56"/>
    <n v="4"/>
    <s v="Electronics"/>
    <x v="4"/>
    <x v="4"/>
    <x v="2"/>
    <x v="4"/>
  </r>
  <r>
    <x v="239"/>
    <n v="50"/>
    <n v="3"/>
    <n v="2"/>
    <s v="Clothing"/>
    <x v="11"/>
    <x v="1"/>
    <x v="1"/>
    <x v="10"/>
  </r>
  <r>
    <x v="67"/>
    <n v="69"/>
    <n v="-67"/>
    <n v="4"/>
    <s v="Clothing"/>
    <x v="8"/>
    <x v="3"/>
    <x v="0"/>
    <x v="0"/>
  </r>
  <r>
    <x v="457"/>
    <n v="389"/>
    <n v="-83"/>
    <n v="3"/>
    <s v="Furniture"/>
    <x v="1"/>
    <x v="3"/>
    <x v="16"/>
    <x v="20"/>
  </r>
  <r>
    <x v="256"/>
    <n v="77"/>
    <n v="-43"/>
    <n v="8"/>
    <s v="Clothing"/>
    <x v="11"/>
    <x v="0"/>
    <x v="1"/>
    <x v="10"/>
  </r>
  <r>
    <x v="7"/>
    <n v="51"/>
    <n v="21"/>
    <n v="3"/>
    <s v="Clothing"/>
    <x v="14"/>
    <x v="0"/>
    <x v="2"/>
    <x v="4"/>
  </r>
  <r>
    <x v="114"/>
    <n v="394"/>
    <n v="146"/>
    <n v="2"/>
    <s v="Furniture"/>
    <x v="2"/>
    <x v="3"/>
    <x v="0"/>
    <x v="0"/>
  </r>
  <r>
    <x v="252"/>
    <n v="48"/>
    <n v="-22"/>
    <n v="2"/>
    <s v="Clothing"/>
    <x v="6"/>
    <x v="1"/>
    <x v="17"/>
    <x v="21"/>
  </r>
  <r>
    <x v="177"/>
    <n v="34"/>
    <n v="-12"/>
    <n v="5"/>
    <s v="Clothing"/>
    <x v="12"/>
    <x v="0"/>
    <x v="7"/>
    <x v="9"/>
  </r>
  <r>
    <x v="12"/>
    <n v="484"/>
    <n v="28"/>
    <n v="3"/>
    <s v="Electronics"/>
    <x v="3"/>
    <x v="4"/>
    <x v="2"/>
    <x v="4"/>
  </r>
  <r>
    <x v="240"/>
    <n v="47"/>
    <n v="-27"/>
    <n v="4"/>
    <s v="Clothing"/>
    <x v="6"/>
    <x v="1"/>
    <x v="7"/>
    <x v="9"/>
  </r>
  <r>
    <x v="2"/>
    <n v="45"/>
    <n v="8"/>
    <n v="4"/>
    <s v="Clothing"/>
    <x v="9"/>
    <x v="1"/>
    <x v="2"/>
    <x v="2"/>
  </r>
  <r>
    <x v="458"/>
    <n v="128"/>
    <n v="55"/>
    <n v="1"/>
    <s v="Clothing"/>
    <x v="6"/>
    <x v="0"/>
    <x v="17"/>
    <x v="21"/>
  </r>
  <r>
    <x v="58"/>
    <n v="669"/>
    <n v="74"/>
    <n v="5"/>
    <s v="Furniture"/>
    <x v="2"/>
    <x v="0"/>
    <x v="17"/>
    <x v="21"/>
  </r>
  <r>
    <x v="459"/>
    <n v="34"/>
    <n v="13"/>
    <n v="2"/>
    <s v="Clothing"/>
    <x v="6"/>
    <x v="0"/>
    <x v="3"/>
    <x v="3"/>
  </r>
  <r>
    <x v="223"/>
    <n v="44"/>
    <n v="14"/>
    <n v="3"/>
    <s v="Clothing"/>
    <x v="7"/>
    <x v="2"/>
    <x v="8"/>
    <x v="11"/>
  </r>
  <r>
    <x v="20"/>
    <n v="33"/>
    <n v="1"/>
    <n v="2"/>
    <s v="Clothing"/>
    <x v="16"/>
    <x v="0"/>
    <x v="8"/>
    <x v="11"/>
  </r>
  <r>
    <x v="362"/>
    <n v="33"/>
    <n v="10"/>
    <n v="3"/>
    <s v="Clothing"/>
    <x v="7"/>
    <x v="0"/>
    <x v="2"/>
    <x v="4"/>
  </r>
  <r>
    <x v="100"/>
    <n v="487"/>
    <n v="-23"/>
    <n v="3"/>
    <s v="Electronics"/>
    <x v="3"/>
    <x v="4"/>
    <x v="6"/>
    <x v="23"/>
  </r>
  <r>
    <x v="98"/>
    <n v="497"/>
    <n v="179"/>
    <n v="3"/>
    <s v="Furniture"/>
    <x v="1"/>
    <x v="4"/>
    <x v="4"/>
    <x v="5"/>
  </r>
  <r>
    <x v="76"/>
    <n v="508"/>
    <n v="203"/>
    <n v="2"/>
    <s v="Electronics"/>
    <x v="13"/>
    <x v="4"/>
    <x v="0"/>
    <x v="0"/>
  </r>
  <r>
    <x v="296"/>
    <n v="524"/>
    <n v="-25"/>
    <n v="2"/>
    <s v="Electronics"/>
    <x v="0"/>
    <x v="4"/>
    <x v="7"/>
    <x v="9"/>
  </r>
  <r>
    <x v="460"/>
    <n v="425"/>
    <n v="183"/>
    <n v="5"/>
    <s v="Electronics"/>
    <x v="13"/>
    <x v="3"/>
    <x v="3"/>
    <x v="3"/>
  </r>
  <r>
    <x v="44"/>
    <n v="168"/>
    <n v="56"/>
    <n v="3"/>
    <s v="Clothing"/>
    <x v="6"/>
    <x v="0"/>
    <x v="2"/>
    <x v="2"/>
  </r>
  <r>
    <x v="461"/>
    <n v="141"/>
    <n v="28"/>
    <n v="7"/>
    <s v="Furniture"/>
    <x v="15"/>
    <x v="3"/>
    <x v="0"/>
    <x v="0"/>
  </r>
  <r>
    <x v="125"/>
    <n v="429"/>
    <n v="17"/>
    <n v="3"/>
    <s v="Furniture"/>
    <x v="1"/>
    <x v="3"/>
    <x v="0"/>
    <x v="0"/>
  </r>
  <r>
    <x v="220"/>
    <n v="44"/>
    <n v="-8"/>
    <n v="3"/>
    <s v="Clothing"/>
    <x v="11"/>
    <x v="2"/>
    <x v="7"/>
    <x v="9"/>
  </r>
  <r>
    <x v="171"/>
    <n v="149"/>
    <n v="136"/>
    <n v="3"/>
    <s v="Clothing"/>
    <x v="11"/>
    <x v="3"/>
    <x v="2"/>
    <x v="4"/>
  </r>
  <r>
    <x v="16"/>
    <n v="44"/>
    <n v="-34"/>
    <n v="3"/>
    <s v="Clothing"/>
    <x v="11"/>
    <x v="2"/>
    <x v="1"/>
    <x v="1"/>
  </r>
  <r>
    <x v="153"/>
    <n v="33"/>
    <n v="10"/>
    <n v="3"/>
    <s v="Clothing"/>
    <x v="7"/>
    <x v="0"/>
    <x v="0"/>
    <x v="0"/>
  </r>
  <r>
    <x v="179"/>
    <n v="33"/>
    <n v="9"/>
    <n v="2"/>
    <s v="Clothing"/>
    <x v="7"/>
    <x v="0"/>
    <x v="12"/>
    <x v="15"/>
  </r>
  <r>
    <x v="139"/>
    <n v="442"/>
    <n v="31"/>
    <n v="2"/>
    <s v="Electronics"/>
    <x v="0"/>
    <x v="3"/>
    <x v="0"/>
    <x v="18"/>
  </r>
  <r>
    <x v="70"/>
    <n v="41"/>
    <n v="6"/>
    <n v="5"/>
    <s v="Clothing"/>
    <x v="9"/>
    <x v="2"/>
    <x v="15"/>
    <x v="16"/>
  </r>
  <r>
    <x v="178"/>
    <n v="33"/>
    <n v="-12"/>
    <n v="5"/>
    <s v="Clothing"/>
    <x v="7"/>
    <x v="0"/>
    <x v="0"/>
    <x v="0"/>
  </r>
  <r>
    <x v="462"/>
    <n v="32"/>
    <n v="3"/>
    <n v="8"/>
    <s v="Clothing"/>
    <x v="7"/>
    <x v="0"/>
    <x v="2"/>
    <x v="4"/>
  </r>
  <r>
    <x v="126"/>
    <n v="32"/>
    <n v="6"/>
    <n v="3"/>
    <s v="Clothing"/>
    <x v="16"/>
    <x v="0"/>
    <x v="6"/>
    <x v="8"/>
  </r>
  <r>
    <x v="243"/>
    <n v="179"/>
    <n v="77"/>
    <n v="1"/>
    <s v="Clothing"/>
    <x v="6"/>
    <x v="3"/>
    <x v="5"/>
    <x v="6"/>
  </r>
  <r>
    <x v="354"/>
    <n v="31"/>
    <n v="10"/>
    <n v="1"/>
    <s v="Clothing"/>
    <x v="8"/>
    <x v="0"/>
    <x v="7"/>
    <x v="17"/>
  </r>
  <r>
    <x v="59"/>
    <n v="140"/>
    <n v="68"/>
    <n v="5"/>
    <s v="Clothing"/>
    <x v="14"/>
    <x v="0"/>
    <x v="13"/>
    <x v="22"/>
  </r>
  <r>
    <x v="429"/>
    <n v="529"/>
    <n v="137"/>
    <n v="3"/>
    <s v="Electronics"/>
    <x v="4"/>
    <x v="4"/>
    <x v="0"/>
    <x v="0"/>
  </r>
  <r>
    <x v="463"/>
    <n v="534"/>
    <n v="0"/>
    <n v="3"/>
    <s v="Clothing"/>
    <x v="6"/>
    <x v="4"/>
    <x v="6"/>
    <x v="8"/>
  </r>
  <r>
    <x v="319"/>
    <n v="41"/>
    <n v="-6"/>
    <n v="1"/>
    <s v="Furniture"/>
    <x v="1"/>
    <x v="2"/>
    <x v="0"/>
    <x v="0"/>
  </r>
  <r>
    <x v="176"/>
    <n v="379"/>
    <n v="63"/>
    <n v="2"/>
    <s v="Clothing"/>
    <x v="6"/>
    <x v="0"/>
    <x v="9"/>
    <x v="12"/>
  </r>
  <r>
    <x v="187"/>
    <n v="81"/>
    <n v="-44"/>
    <n v="3"/>
    <s v="Clothing"/>
    <x v="11"/>
    <x v="0"/>
    <x v="2"/>
    <x v="4"/>
  </r>
  <r>
    <x v="275"/>
    <n v="40"/>
    <n v="-33"/>
    <n v="5"/>
    <s v="Clothing"/>
    <x v="7"/>
    <x v="2"/>
    <x v="0"/>
    <x v="0"/>
  </r>
  <r>
    <x v="147"/>
    <n v="40"/>
    <n v="18"/>
    <n v="1"/>
    <s v="Electronics"/>
    <x v="13"/>
    <x v="2"/>
    <x v="17"/>
    <x v="21"/>
  </r>
  <r>
    <x v="93"/>
    <n v="534"/>
    <n v="0"/>
    <n v="3"/>
    <s v="Clothing"/>
    <x v="6"/>
    <x v="4"/>
    <x v="2"/>
    <x v="2"/>
  </r>
  <r>
    <x v="179"/>
    <n v="31"/>
    <n v="9"/>
    <n v="2"/>
    <s v="Clothing"/>
    <x v="7"/>
    <x v="0"/>
    <x v="12"/>
    <x v="15"/>
  </r>
  <r>
    <x v="138"/>
    <n v="473"/>
    <n v="-113"/>
    <n v="9"/>
    <s v="Clothing"/>
    <x v="7"/>
    <x v="3"/>
    <x v="9"/>
    <x v="12"/>
  </r>
  <r>
    <x v="464"/>
    <n v="31"/>
    <n v="-10"/>
    <n v="3"/>
    <s v="Clothing"/>
    <x v="9"/>
    <x v="0"/>
    <x v="0"/>
    <x v="0"/>
  </r>
  <r>
    <x v="437"/>
    <n v="31"/>
    <n v="-3"/>
    <n v="4"/>
    <s v="Clothing"/>
    <x v="6"/>
    <x v="0"/>
    <x v="2"/>
    <x v="4"/>
  </r>
  <r>
    <x v="97"/>
    <n v="91"/>
    <n v="15"/>
    <n v="6"/>
    <s v="Clothing"/>
    <x v="14"/>
    <x v="3"/>
    <x v="0"/>
    <x v="0"/>
  </r>
  <r>
    <x v="244"/>
    <n v="30"/>
    <n v="-25"/>
    <n v="2"/>
    <s v="Clothing"/>
    <x v="14"/>
    <x v="0"/>
    <x v="7"/>
    <x v="9"/>
  </r>
  <r>
    <x v="228"/>
    <n v="30"/>
    <n v="6"/>
    <n v="1"/>
    <s v="Clothing"/>
    <x v="14"/>
    <x v="0"/>
    <x v="12"/>
    <x v="15"/>
  </r>
  <r>
    <x v="14"/>
    <n v="40"/>
    <n v="0"/>
    <n v="3"/>
    <s v="Clothing"/>
    <x v="6"/>
    <x v="2"/>
    <x v="1"/>
    <x v="1"/>
  </r>
  <r>
    <x v="230"/>
    <n v="534"/>
    <n v="5"/>
    <n v="2"/>
    <s v="Electronics"/>
    <x v="0"/>
    <x v="4"/>
    <x v="2"/>
    <x v="4"/>
  </r>
  <r>
    <x v="110"/>
    <n v="539"/>
    <n v="-146"/>
    <n v="7"/>
    <s v="Furniture"/>
    <x v="15"/>
    <x v="4"/>
    <x v="0"/>
    <x v="0"/>
  </r>
  <r>
    <x v="465"/>
    <n v="490"/>
    <n v="-128"/>
    <n v="8"/>
    <s v="Furniture"/>
    <x v="2"/>
    <x v="3"/>
    <x v="2"/>
    <x v="4"/>
  </r>
  <r>
    <x v="30"/>
    <n v="163"/>
    <n v="81"/>
    <n v="2"/>
    <s v="Electronics"/>
    <x v="13"/>
    <x v="0"/>
    <x v="2"/>
    <x v="2"/>
  </r>
  <r>
    <x v="58"/>
    <n v="184"/>
    <n v="85"/>
    <n v="6"/>
    <s v="Clothing"/>
    <x v="14"/>
    <x v="3"/>
    <x v="17"/>
    <x v="21"/>
  </r>
  <r>
    <x v="408"/>
    <n v="494"/>
    <n v="54"/>
    <n v="4"/>
    <s v="Furniture"/>
    <x v="2"/>
    <x v="0"/>
    <x v="11"/>
    <x v="14"/>
  </r>
  <r>
    <x v="466"/>
    <n v="30"/>
    <n v="11"/>
    <n v="5"/>
    <s v="Clothing"/>
    <x v="7"/>
    <x v="0"/>
    <x v="0"/>
    <x v="18"/>
  </r>
  <r>
    <x v="388"/>
    <n v="30"/>
    <n v="0"/>
    <n v="1"/>
    <s v="Clothing"/>
    <x v="8"/>
    <x v="0"/>
    <x v="1"/>
    <x v="10"/>
  </r>
  <r>
    <x v="35"/>
    <n v="39"/>
    <n v="-18"/>
    <n v="2"/>
    <s v="Clothing"/>
    <x v="12"/>
    <x v="2"/>
    <x v="3"/>
    <x v="3"/>
  </r>
  <r>
    <x v="274"/>
    <n v="1700"/>
    <n v="85"/>
    <n v="3"/>
    <s v="Clothing"/>
    <x v="5"/>
    <x v="0"/>
    <x v="2"/>
    <x v="4"/>
  </r>
  <r>
    <x v="111"/>
    <n v="332"/>
    <n v="-43"/>
    <n v="6"/>
    <s v="Electronics"/>
    <x v="4"/>
    <x v="3"/>
    <x v="0"/>
    <x v="18"/>
  </r>
  <r>
    <x v="202"/>
    <n v="436"/>
    <n v="131"/>
    <n v="9"/>
    <s v="Clothing"/>
    <x v="7"/>
    <x v="3"/>
    <x v="2"/>
    <x v="2"/>
  </r>
  <r>
    <x v="233"/>
    <n v="30"/>
    <n v="-5"/>
    <n v="2"/>
    <s v="Furniture"/>
    <x v="15"/>
    <x v="0"/>
    <x v="12"/>
    <x v="15"/>
  </r>
  <r>
    <x v="234"/>
    <n v="30"/>
    <n v="-10"/>
    <n v="2"/>
    <s v="Clothing"/>
    <x v="11"/>
    <x v="0"/>
    <x v="2"/>
    <x v="4"/>
  </r>
  <r>
    <x v="176"/>
    <n v="38"/>
    <n v="-13"/>
    <n v="3"/>
    <s v="Clothing"/>
    <x v="11"/>
    <x v="2"/>
    <x v="9"/>
    <x v="12"/>
  </r>
  <r>
    <x v="140"/>
    <n v="511"/>
    <n v="194"/>
    <n v="3"/>
    <s v="Furniture"/>
    <x v="1"/>
    <x v="3"/>
    <x v="0"/>
    <x v="0"/>
  </r>
  <r>
    <x v="40"/>
    <n v="37"/>
    <n v="-53"/>
    <n v="3"/>
    <s v="Clothing"/>
    <x v="6"/>
    <x v="2"/>
    <x v="10"/>
    <x v="13"/>
  </r>
  <r>
    <x v="81"/>
    <n v="513"/>
    <n v="215"/>
    <n v="2"/>
    <s v="Electronics"/>
    <x v="13"/>
    <x v="0"/>
    <x v="16"/>
    <x v="20"/>
  </r>
  <r>
    <x v="70"/>
    <n v="516"/>
    <n v="69"/>
    <n v="4"/>
    <s v="Furniture"/>
    <x v="2"/>
    <x v="3"/>
    <x v="15"/>
    <x v="16"/>
  </r>
  <r>
    <x v="131"/>
    <n v="559"/>
    <n v="-19"/>
    <n v="2"/>
    <s v="Clothing"/>
    <x v="5"/>
    <x v="4"/>
    <x v="2"/>
    <x v="4"/>
  </r>
  <r>
    <x v="467"/>
    <n v="29"/>
    <n v="-10"/>
    <n v="3"/>
    <s v="Clothing"/>
    <x v="9"/>
    <x v="0"/>
    <x v="0"/>
    <x v="18"/>
  </r>
  <r>
    <x v="368"/>
    <n v="148"/>
    <n v="52"/>
    <n v="5"/>
    <s v="Clothing"/>
    <x v="11"/>
    <x v="3"/>
    <x v="10"/>
    <x v="13"/>
  </r>
  <r>
    <x v="241"/>
    <n v="559"/>
    <n v="-174"/>
    <n v="2"/>
    <s v="Electronics"/>
    <x v="0"/>
    <x v="4"/>
    <x v="2"/>
    <x v="4"/>
  </r>
  <r>
    <x v="267"/>
    <n v="527"/>
    <n v="26"/>
    <n v="3"/>
    <s v="Electronics"/>
    <x v="0"/>
    <x v="0"/>
    <x v="12"/>
    <x v="15"/>
  </r>
  <r>
    <x v="268"/>
    <n v="560"/>
    <n v="44"/>
    <n v="3"/>
    <s v="Clothing"/>
    <x v="6"/>
    <x v="4"/>
    <x v="0"/>
    <x v="0"/>
  </r>
  <r>
    <x v="193"/>
    <n v="571"/>
    <n v="108"/>
    <n v="12"/>
    <s v="Clothing"/>
    <x v="11"/>
    <x v="4"/>
    <x v="1"/>
    <x v="1"/>
  </r>
  <r>
    <x v="468"/>
    <n v="29"/>
    <n v="2"/>
    <n v="3"/>
    <s v="Clothing"/>
    <x v="9"/>
    <x v="0"/>
    <x v="1"/>
    <x v="7"/>
  </r>
  <r>
    <x v="267"/>
    <n v="29"/>
    <n v="3"/>
    <n v="2"/>
    <s v="Clothing"/>
    <x v="11"/>
    <x v="0"/>
    <x v="12"/>
    <x v="15"/>
  </r>
  <r>
    <x v="252"/>
    <n v="29"/>
    <n v="-3"/>
    <n v="3"/>
    <s v="Clothing"/>
    <x v="6"/>
    <x v="0"/>
    <x v="17"/>
    <x v="21"/>
  </r>
  <r>
    <x v="469"/>
    <n v="35"/>
    <n v="14"/>
    <n v="2"/>
    <s v="Clothing"/>
    <x v="11"/>
    <x v="2"/>
    <x v="5"/>
    <x v="6"/>
  </r>
  <r>
    <x v="18"/>
    <n v="579"/>
    <n v="139"/>
    <n v="3"/>
    <s v="Electronics"/>
    <x v="3"/>
    <x v="4"/>
    <x v="7"/>
    <x v="9"/>
  </r>
  <r>
    <x v="13"/>
    <n v="29"/>
    <n v="-24"/>
    <n v="4"/>
    <s v="Clothing"/>
    <x v="12"/>
    <x v="0"/>
    <x v="2"/>
    <x v="4"/>
  </r>
  <r>
    <x v="40"/>
    <n v="593"/>
    <n v="213"/>
    <n v="4"/>
    <s v="Furniture"/>
    <x v="2"/>
    <x v="4"/>
    <x v="10"/>
    <x v="13"/>
  </r>
  <r>
    <x v="141"/>
    <n v="217"/>
    <n v="72"/>
    <n v="2"/>
    <s v="Furniture"/>
    <x v="15"/>
    <x v="0"/>
    <x v="8"/>
    <x v="11"/>
  </r>
  <r>
    <x v="470"/>
    <n v="353"/>
    <n v="90"/>
    <n v="8"/>
    <s v="Clothing"/>
    <x v="6"/>
    <x v="0"/>
    <x v="7"/>
    <x v="9"/>
  </r>
  <r>
    <x v="198"/>
    <n v="382"/>
    <n v="92"/>
    <n v="2"/>
    <s v="Electronics"/>
    <x v="3"/>
    <x v="0"/>
    <x v="6"/>
    <x v="8"/>
  </r>
  <r>
    <x v="160"/>
    <n v="597"/>
    <n v="93"/>
    <n v="4"/>
    <s v="Furniture"/>
    <x v="1"/>
    <x v="4"/>
    <x v="8"/>
    <x v="11"/>
  </r>
  <r>
    <x v="471"/>
    <n v="212"/>
    <n v="97"/>
    <n v="7"/>
    <s v="Clothing"/>
    <x v="7"/>
    <x v="0"/>
    <x v="13"/>
    <x v="16"/>
  </r>
  <r>
    <x v="237"/>
    <n v="689"/>
    <n v="90"/>
    <n v="5"/>
    <s v="Clothing"/>
    <x v="6"/>
    <x v="0"/>
    <x v="2"/>
    <x v="4"/>
  </r>
  <r>
    <x v="472"/>
    <n v="28"/>
    <n v="-10"/>
    <n v="3"/>
    <s v="Clothing"/>
    <x v="9"/>
    <x v="0"/>
    <x v="16"/>
    <x v="20"/>
  </r>
  <r>
    <x v="173"/>
    <n v="34"/>
    <n v="12"/>
    <n v="3"/>
    <s v="Clothing"/>
    <x v="7"/>
    <x v="2"/>
    <x v="2"/>
    <x v="4"/>
  </r>
  <r>
    <x v="58"/>
    <n v="600"/>
    <n v="-102"/>
    <n v="5"/>
    <s v="Electronics"/>
    <x v="0"/>
    <x v="4"/>
    <x v="17"/>
    <x v="21"/>
  </r>
  <r>
    <x v="473"/>
    <n v="637"/>
    <n v="113"/>
    <n v="5"/>
    <s v="Clothing"/>
    <x v="6"/>
    <x v="3"/>
    <x v="2"/>
    <x v="4"/>
  </r>
  <r>
    <x v="36"/>
    <n v="616"/>
    <n v="-69"/>
    <n v="7"/>
    <s v="Furniture"/>
    <x v="15"/>
    <x v="4"/>
    <x v="2"/>
    <x v="2"/>
  </r>
  <r>
    <x v="93"/>
    <n v="624"/>
    <n v="37"/>
    <n v="2"/>
    <s v="Electronics"/>
    <x v="0"/>
    <x v="4"/>
    <x v="2"/>
    <x v="2"/>
  </r>
  <r>
    <x v="353"/>
    <n v="28"/>
    <n v="4"/>
    <n v="1"/>
    <s v="Clothing"/>
    <x v="14"/>
    <x v="0"/>
    <x v="6"/>
    <x v="23"/>
  </r>
  <r>
    <x v="244"/>
    <n v="584"/>
    <n v="-444"/>
    <n v="7"/>
    <s v="Electronics"/>
    <x v="3"/>
    <x v="3"/>
    <x v="7"/>
    <x v="9"/>
  </r>
  <r>
    <x v="146"/>
    <n v="28"/>
    <n v="6"/>
    <n v="4"/>
    <s v="Clothing"/>
    <x v="9"/>
    <x v="0"/>
    <x v="1"/>
    <x v="7"/>
  </r>
  <r>
    <x v="3"/>
    <n v="33"/>
    <n v="-1"/>
    <n v="1"/>
    <s v="Clothing"/>
    <x v="6"/>
    <x v="2"/>
    <x v="2"/>
    <x v="2"/>
  </r>
  <r>
    <x v="256"/>
    <n v="27"/>
    <n v="-20"/>
    <n v="2"/>
    <s v="Clothing"/>
    <x v="7"/>
    <x v="0"/>
    <x v="1"/>
    <x v="10"/>
  </r>
  <r>
    <x v="155"/>
    <n v="27"/>
    <n v="5"/>
    <n v="2"/>
    <s v="Clothing"/>
    <x v="9"/>
    <x v="0"/>
    <x v="2"/>
    <x v="4"/>
  </r>
  <r>
    <x v="61"/>
    <n v="27"/>
    <n v="4"/>
    <n v="3"/>
    <s v="Clothing"/>
    <x v="9"/>
    <x v="0"/>
    <x v="0"/>
    <x v="0"/>
  </r>
  <r>
    <x v="266"/>
    <n v="635"/>
    <n v="-349"/>
    <n v="5"/>
    <s v="Clothing"/>
    <x v="6"/>
    <x v="4"/>
    <x v="4"/>
    <x v="5"/>
  </r>
  <r>
    <x v="259"/>
    <n v="598"/>
    <n v="166"/>
    <n v="4"/>
    <s v="Furniture"/>
    <x v="2"/>
    <x v="3"/>
    <x v="0"/>
    <x v="0"/>
  </r>
  <r>
    <x v="353"/>
    <n v="636"/>
    <n v="-204"/>
    <n v="2"/>
    <s v="Electronics"/>
    <x v="3"/>
    <x v="4"/>
    <x v="6"/>
    <x v="23"/>
  </r>
  <r>
    <x v="350"/>
    <n v="27"/>
    <n v="9"/>
    <n v="2"/>
    <s v="Clothing"/>
    <x v="7"/>
    <x v="0"/>
    <x v="2"/>
    <x v="4"/>
  </r>
  <r>
    <x v="150"/>
    <n v="27"/>
    <n v="-6"/>
    <n v="4"/>
    <s v="Clothing"/>
    <x v="7"/>
    <x v="0"/>
    <x v="14"/>
    <x v="19"/>
  </r>
  <r>
    <x v="125"/>
    <n v="637"/>
    <n v="212"/>
    <n v="8"/>
    <s v="Electronics"/>
    <x v="4"/>
    <x v="4"/>
    <x v="0"/>
    <x v="0"/>
  </r>
  <r>
    <x v="221"/>
    <n v="290"/>
    <n v="110"/>
    <n v="9"/>
    <s v="Clothing"/>
    <x v="11"/>
    <x v="3"/>
    <x v="0"/>
    <x v="0"/>
  </r>
  <r>
    <x v="474"/>
    <n v="27"/>
    <n v="-25"/>
    <n v="2"/>
    <s v="Clothing"/>
    <x v="11"/>
    <x v="0"/>
    <x v="15"/>
    <x v="16"/>
  </r>
  <r>
    <x v="475"/>
    <n v="632"/>
    <n v="-114"/>
    <n v="4"/>
    <s v="Furniture"/>
    <x v="10"/>
    <x v="3"/>
    <x v="0"/>
    <x v="0"/>
  </r>
  <r>
    <x v="13"/>
    <n v="643"/>
    <n v="-45"/>
    <n v="2"/>
    <s v="Electronics"/>
    <x v="3"/>
    <x v="4"/>
    <x v="2"/>
    <x v="4"/>
  </r>
  <r>
    <x v="34"/>
    <n v="652"/>
    <n v="13"/>
    <n v="6"/>
    <s v="Furniture"/>
    <x v="15"/>
    <x v="4"/>
    <x v="0"/>
    <x v="18"/>
  </r>
  <r>
    <x v="97"/>
    <n v="33"/>
    <n v="-27"/>
    <n v="1"/>
    <s v="Furniture"/>
    <x v="1"/>
    <x v="2"/>
    <x v="0"/>
    <x v="0"/>
  </r>
  <r>
    <x v="356"/>
    <n v="26"/>
    <n v="2"/>
    <n v="2"/>
    <s v="Clothing"/>
    <x v="7"/>
    <x v="0"/>
    <x v="0"/>
    <x v="0"/>
  </r>
  <r>
    <x v="339"/>
    <n v="633"/>
    <n v="-633"/>
    <n v="11"/>
    <s v="Electronics"/>
    <x v="13"/>
    <x v="3"/>
    <x v="2"/>
    <x v="4"/>
  </r>
  <r>
    <x v="5"/>
    <n v="26"/>
    <n v="9"/>
    <n v="2"/>
    <s v="Clothing"/>
    <x v="12"/>
    <x v="0"/>
    <x v="1"/>
    <x v="1"/>
  </r>
  <r>
    <x v="85"/>
    <n v="191"/>
    <n v="93"/>
    <n v="4"/>
    <s v="Clothing"/>
    <x v="16"/>
    <x v="3"/>
    <x v="6"/>
    <x v="23"/>
  </r>
  <r>
    <x v="6"/>
    <n v="887"/>
    <n v="80"/>
    <n v="3"/>
    <s v="Electronics"/>
    <x v="3"/>
    <x v="3"/>
    <x v="3"/>
    <x v="3"/>
  </r>
  <r>
    <x v="476"/>
    <n v="637"/>
    <n v="261"/>
    <n v="2"/>
    <s v="Electronics"/>
    <x v="3"/>
    <x v="0"/>
    <x v="2"/>
    <x v="4"/>
  </r>
  <r>
    <x v="220"/>
    <n v="670"/>
    <n v="15"/>
    <n v="5"/>
    <s v="Furniture"/>
    <x v="2"/>
    <x v="4"/>
    <x v="7"/>
    <x v="9"/>
  </r>
  <r>
    <x v="45"/>
    <n v="26"/>
    <n v="7"/>
    <n v="4"/>
    <s v="Clothing"/>
    <x v="7"/>
    <x v="0"/>
    <x v="7"/>
    <x v="9"/>
  </r>
  <r>
    <x v="58"/>
    <n v="676"/>
    <n v="195"/>
    <n v="5"/>
    <s v="Furniture"/>
    <x v="2"/>
    <x v="4"/>
    <x v="17"/>
    <x v="21"/>
  </r>
  <r>
    <x v="477"/>
    <n v="26"/>
    <n v="12"/>
    <n v="3"/>
    <s v="Clothing"/>
    <x v="7"/>
    <x v="0"/>
    <x v="3"/>
    <x v="3"/>
  </r>
  <r>
    <x v="39"/>
    <n v="26"/>
    <n v="-24"/>
    <n v="1"/>
    <s v="Clothing"/>
    <x v="11"/>
    <x v="0"/>
    <x v="2"/>
    <x v="4"/>
  </r>
  <r>
    <x v="92"/>
    <n v="25"/>
    <n v="7"/>
    <n v="2"/>
    <s v="Clothing"/>
    <x v="11"/>
    <x v="0"/>
    <x v="3"/>
    <x v="3"/>
  </r>
  <r>
    <x v="117"/>
    <n v="24"/>
    <n v="-30"/>
    <n v="1"/>
    <s v="Furniture"/>
    <x v="1"/>
    <x v="0"/>
    <x v="0"/>
    <x v="18"/>
  </r>
  <r>
    <x v="191"/>
    <n v="32"/>
    <n v="-12"/>
    <n v="1"/>
    <s v="Furniture"/>
    <x v="1"/>
    <x v="2"/>
    <x v="8"/>
    <x v="11"/>
  </r>
  <r>
    <x v="104"/>
    <n v="31"/>
    <n v="-2"/>
    <n v="2"/>
    <s v="Clothing"/>
    <x v="6"/>
    <x v="2"/>
    <x v="2"/>
    <x v="4"/>
  </r>
  <r>
    <x v="93"/>
    <n v="651"/>
    <n v="169"/>
    <n v="5"/>
    <s v="Electronics"/>
    <x v="3"/>
    <x v="0"/>
    <x v="2"/>
    <x v="2"/>
  </r>
  <r>
    <x v="277"/>
    <n v="326"/>
    <n v="107"/>
    <n v="3"/>
    <s v="Furniture"/>
    <x v="15"/>
    <x v="3"/>
    <x v="14"/>
    <x v="19"/>
  </r>
  <r>
    <x v="356"/>
    <n v="30"/>
    <n v="-6"/>
    <n v="2"/>
    <s v="Clothing"/>
    <x v="7"/>
    <x v="3"/>
    <x v="0"/>
    <x v="0"/>
  </r>
  <r>
    <x v="147"/>
    <n v="30"/>
    <n v="5"/>
    <n v="2"/>
    <s v="Clothing"/>
    <x v="8"/>
    <x v="3"/>
    <x v="17"/>
    <x v="21"/>
  </r>
  <r>
    <x v="478"/>
    <n v="662"/>
    <n v="240"/>
    <n v="2"/>
    <s v="Furniture"/>
    <x v="2"/>
    <x v="0"/>
    <x v="6"/>
    <x v="23"/>
  </r>
  <r>
    <x v="29"/>
    <n v="30"/>
    <n v="-23"/>
    <n v="2"/>
    <s v="Clothing"/>
    <x v="6"/>
    <x v="3"/>
    <x v="12"/>
    <x v="15"/>
  </r>
  <r>
    <x v="221"/>
    <n v="29"/>
    <n v="9"/>
    <n v="3"/>
    <s v="Clothing"/>
    <x v="6"/>
    <x v="3"/>
    <x v="0"/>
    <x v="0"/>
  </r>
  <r>
    <x v="131"/>
    <n v="28"/>
    <n v="1"/>
    <n v="1"/>
    <s v="Electronics"/>
    <x v="13"/>
    <x v="3"/>
    <x v="2"/>
    <x v="4"/>
  </r>
  <r>
    <x v="87"/>
    <n v="28"/>
    <n v="-3"/>
    <n v="2"/>
    <s v="Clothing"/>
    <x v="6"/>
    <x v="3"/>
    <x v="5"/>
    <x v="6"/>
  </r>
  <r>
    <x v="479"/>
    <n v="24"/>
    <n v="2"/>
    <n v="4"/>
    <s v="Clothing"/>
    <x v="7"/>
    <x v="0"/>
    <x v="2"/>
    <x v="4"/>
  </r>
  <r>
    <x v="104"/>
    <n v="28"/>
    <n v="-26"/>
    <n v="2"/>
    <s v="Clothing"/>
    <x v="11"/>
    <x v="3"/>
    <x v="2"/>
    <x v="4"/>
  </r>
  <r>
    <x v="243"/>
    <n v="27"/>
    <n v="5"/>
    <n v="1"/>
    <s v="Clothing"/>
    <x v="11"/>
    <x v="3"/>
    <x v="5"/>
    <x v="6"/>
  </r>
  <r>
    <x v="480"/>
    <n v="27"/>
    <n v="-15"/>
    <n v="1"/>
    <s v="Clothing"/>
    <x v="11"/>
    <x v="3"/>
    <x v="9"/>
    <x v="12"/>
  </r>
  <r>
    <x v="351"/>
    <n v="24"/>
    <n v="11"/>
    <n v="3"/>
    <s v="Clothing"/>
    <x v="7"/>
    <x v="0"/>
    <x v="2"/>
    <x v="4"/>
  </r>
  <r>
    <x v="234"/>
    <n v="23"/>
    <n v="-6"/>
    <n v="4"/>
    <s v="Clothing"/>
    <x v="7"/>
    <x v="0"/>
    <x v="2"/>
    <x v="4"/>
  </r>
  <r>
    <x v="69"/>
    <n v="322"/>
    <n v="193"/>
    <n v="5"/>
    <s v="Electronics"/>
    <x v="3"/>
    <x v="0"/>
    <x v="4"/>
    <x v="5"/>
  </r>
  <r>
    <x v="170"/>
    <n v="688"/>
    <n v="-103"/>
    <n v="6"/>
    <s v="Electronics"/>
    <x v="13"/>
    <x v="4"/>
    <x v="1"/>
    <x v="1"/>
  </r>
  <r>
    <x v="339"/>
    <n v="23"/>
    <n v="-3"/>
    <n v="1"/>
    <s v="Clothing"/>
    <x v="16"/>
    <x v="0"/>
    <x v="2"/>
    <x v="4"/>
  </r>
  <r>
    <x v="177"/>
    <n v="26"/>
    <n v="3"/>
    <n v="3"/>
    <s v="Clothing"/>
    <x v="9"/>
    <x v="3"/>
    <x v="7"/>
    <x v="9"/>
  </r>
  <r>
    <x v="230"/>
    <n v="68"/>
    <n v="-56"/>
    <n v="2"/>
    <s v="Electronics"/>
    <x v="4"/>
    <x v="0"/>
    <x v="2"/>
    <x v="4"/>
  </r>
  <r>
    <x v="360"/>
    <n v="462"/>
    <n v="169"/>
    <n v="4"/>
    <s v="Clothing"/>
    <x v="6"/>
    <x v="0"/>
    <x v="0"/>
    <x v="0"/>
  </r>
  <r>
    <x v="437"/>
    <n v="941"/>
    <n v="203"/>
    <n v="3"/>
    <s v="Furniture"/>
    <x v="10"/>
    <x v="3"/>
    <x v="2"/>
    <x v="4"/>
  </r>
  <r>
    <x v="159"/>
    <n v="23"/>
    <n v="4"/>
    <n v="2"/>
    <s v="Clothing"/>
    <x v="9"/>
    <x v="0"/>
    <x v="2"/>
    <x v="4"/>
  </r>
  <r>
    <x v="404"/>
    <n v="720"/>
    <n v="43"/>
    <n v="2"/>
    <s v="Electronics"/>
    <x v="3"/>
    <x v="3"/>
    <x v="7"/>
    <x v="17"/>
  </r>
  <r>
    <x v="27"/>
    <n v="724"/>
    <n v="-447"/>
    <n v="4"/>
    <s v="Electronics"/>
    <x v="0"/>
    <x v="3"/>
    <x v="2"/>
    <x v="4"/>
  </r>
  <r>
    <x v="481"/>
    <n v="724"/>
    <n v="253"/>
    <n v="2"/>
    <s v="Furniture"/>
    <x v="2"/>
    <x v="3"/>
    <x v="0"/>
    <x v="0"/>
  </r>
  <r>
    <x v="51"/>
    <n v="26"/>
    <n v="10"/>
    <n v="4"/>
    <s v="Clothing"/>
    <x v="7"/>
    <x v="3"/>
    <x v="13"/>
    <x v="16"/>
  </r>
  <r>
    <x v="77"/>
    <n v="22"/>
    <n v="-2"/>
    <n v="3"/>
    <s v="Clothing"/>
    <x v="7"/>
    <x v="0"/>
    <x v="16"/>
    <x v="20"/>
  </r>
  <r>
    <x v="157"/>
    <n v="711"/>
    <n v="-8"/>
    <n v="4"/>
    <s v="Clothing"/>
    <x v="6"/>
    <x v="4"/>
    <x v="18"/>
    <x v="24"/>
  </r>
  <r>
    <x v="256"/>
    <n v="107"/>
    <n v="31"/>
    <n v="5"/>
    <s v="Clothing"/>
    <x v="14"/>
    <x v="0"/>
    <x v="1"/>
    <x v="10"/>
  </r>
  <r>
    <x v="309"/>
    <n v="765"/>
    <n v="-153"/>
    <n v="2"/>
    <s v="Electronics"/>
    <x v="4"/>
    <x v="4"/>
    <x v="2"/>
    <x v="2"/>
  </r>
  <r>
    <x v="350"/>
    <n v="22"/>
    <n v="8"/>
    <n v="2"/>
    <s v="Clothing"/>
    <x v="12"/>
    <x v="0"/>
    <x v="2"/>
    <x v="4"/>
  </r>
  <r>
    <x v="386"/>
    <n v="26"/>
    <n v="-5"/>
    <n v="2"/>
    <s v="Clothing"/>
    <x v="11"/>
    <x v="3"/>
    <x v="5"/>
    <x v="6"/>
  </r>
  <r>
    <x v="155"/>
    <n v="22"/>
    <n v="8"/>
    <n v="3"/>
    <s v="Clothing"/>
    <x v="7"/>
    <x v="0"/>
    <x v="2"/>
    <x v="4"/>
  </r>
  <r>
    <x v="482"/>
    <n v="743"/>
    <n v="89"/>
    <n v="5"/>
    <s v="Electronics"/>
    <x v="3"/>
    <x v="3"/>
    <x v="2"/>
    <x v="4"/>
  </r>
  <r>
    <x v="10"/>
    <n v="22"/>
    <n v="-15"/>
    <n v="4"/>
    <s v="Clothing"/>
    <x v="8"/>
    <x v="0"/>
    <x v="0"/>
    <x v="0"/>
  </r>
  <r>
    <x v="233"/>
    <n v="781"/>
    <n v="594"/>
    <n v="6"/>
    <s v="Electronics"/>
    <x v="3"/>
    <x v="4"/>
    <x v="12"/>
    <x v="15"/>
  </r>
  <r>
    <x v="276"/>
    <n v="25"/>
    <n v="-2"/>
    <n v="5"/>
    <s v="Clothing"/>
    <x v="7"/>
    <x v="3"/>
    <x v="16"/>
    <x v="20"/>
  </r>
  <r>
    <x v="205"/>
    <n v="25"/>
    <n v="2"/>
    <n v="2"/>
    <s v="Clothing"/>
    <x v="7"/>
    <x v="3"/>
    <x v="0"/>
    <x v="0"/>
  </r>
  <r>
    <x v="309"/>
    <n v="119"/>
    <n v="43"/>
    <n v="5"/>
    <s v="Clothing"/>
    <x v="14"/>
    <x v="0"/>
    <x v="2"/>
    <x v="2"/>
  </r>
  <r>
    <x v="214"/>
    <n v="785"/>
    <n v="52"/>
    <n v="2"/>
    <s v="Electronics"/>
    <x v="4"/>
    <x v="4"/>
    <x v="12"/>
    <x v="15"/>
  </r>
  <r>
    <x v="226"/>
    <n v="183"/>
    <n v="-66"/>
    <n v="5"/>
    <s v="Electronics"/>
    <x v="4"/>
    <x v="3"/>
    <x v="0"/>
    <x v="0"/>
  </r>
  <r>
    <x v="300"/>
    <n v="22"/>
    <n v="4"/>
    <n v="1"/>
    <s v="Clothing"/>
    <x v="11"/>
    <x v="0"/>
    <x v="14"/>
    <x v="19"/>
  </r>
  <r>
    <x v="76"/>
    <n v="642"/>
    <n v="180"/>
    <n v="5"/>
    <s v="Clothing"/>
    <x v="6"/>
    <x v="0"/>
    <x v="0"/>
    <x v="0"/>
  </r>
  <r>
    <x v="244"/>
    <n v="767"/>
    <n v="-353"/>
    <n v="5"/>
    <s v="Clothing"/>
    <x v="5"/>
    <x v="0"/>
    <x v="7"/>
    <x v="9"/>
  </r>
  <r>
    <x v="260"/>
    <n v="770"/>
    <n v="323"/>
    <n v="3"/>
    <s v="Electronics"/>
    <x v="13"/>
    <x v="0"/>
    <x v="8"/>
    <x v="11"/>
  </r>
  <r>
    <x v="356"/>
    <n v="21"/>
    <n v="-17"/>
    <n v="3"/>
    <s v="Clothing"/>
    <x v="16"/>
    <x v="0"/>
    <x v="0"/>
    <x v="0"/>
  </r>
  <r>
    <x v="305"/>
    <n v="21"/>
    <n v="-6"/>
    <n v="3"/>
    <s v="Clothing"/>
    <x v="12"/>
    <x v="0"/>
    <x v="2"/>
    <x v="2"/>
  </r>
  <r>
    <x v="3"/>
    <n v="492"/>
    <n v="187"/>
    <n v="2"/>
    <s v="Electronics"/>
    <x v="13"/>
    <x v="3"/>
    <x v="2"/>
    <x v="2"/>
  </r>
  <r>
    <x v="327"/>
    <n v="816"/>
    <n v="-96"/>
    <n v="3"/>
    <s v="Electronics"/>
    <x v="3"/>
    <x v="4"/>
    <x v="2"/>
    <x v="2"/>
  </r>
  <r>
    <x v="238"/>
    <n v="25"/>
    <n v="2"/>
    <n v="3"/>
    <s v="Clothing"/>
    <x v="8"/>
    <x v="2"/>
    <x v="16"/>
    <x v="20"/>
  </r>
  <r>
    <x v="274"/>
    <n v="802"/>
    <n v="120"/>
    <n v="7"/>
    <s v="Electronics"/>
    <x v="13"/>
    <x v="0"/>
    <x v="2"/>
    <x v="4"/>
  </r>
  <r>
    <x v="483"/>
    <n v="811"/>
    <n v="154"/>
    <n v="7"/>
    <s v="Electronics"/>
    <x v="13"/>
    <x v="3"/>
    <x v="13"/>
    <x v="22"/>
  </r>
  <r>
    <x v="426"/>
    <n v="835"/>
    <n v="267"/>
    <n v="5"/>
    <s v="Electronics"/>
    <x v="4"/>
    <x v="4"/>
    <x v="2"/>
    <x v="4"/>
  </r>
  <r>
    <x v="247"/>
    <n v="21"/>
    <n v="-5"/>
    <n v="1"/>
    <s v="Electronics"/>
    <x v="13"/>
    <x v="0"/>
    <x v="1"/>
    <x v="10"/>
  </r>
  <r>
    <x v="262"/>
    <n v="450"/>
    <n v="-190"/>
    <n v="4"/>
    <s v="Furniture"/>
    <x v="2"/>
    <x v="0"/>
    <x v="0"/>
    <x v="18"/>
  </r>
  <r>
    <x v="275"/>
    <n v="24"/>
    <n v="-1"/>
    <n v="4"/>
    <s v="Clothing"/>
    <x v="9"/>
    <x v="2"/>
    <x v="0"/>
    <x v="0"/>
  </r>
  <r>
    <x v="484"/>
    <n v="832"/>
    <n v="0"/>
    <n v="3"/>
    <s v="Clothing"/>
    <x v="5"/>
    <x v="3"/>
    <x v="5"/>
    <x v="6"/>
  </r>
  <r>
    <x v="329"/>
    <n v="833"/>
    <n v="93"/>
    <n v="3"/>
    <s v="Clothing"/>
    <x v="5"/>
    <x v="3"/>
    <x v="13"/>
    <x v="16"/>
  </r>
  <r>
    <x v="485"/>
    <n v="20"/>
    <n v="6"/>
    <n v="1"/>
    <s v="Clothing"/>
    <x v="14"/>
    <x v="0"/>
    <x v="15"/>
    <x v="16"/>
  </r>
  <r>
    <x v="386"/>
    <n v="23"/>
    <n v="-5"/>
    <n v="7"/>
    <s v="Clothing"/>
    <x v="7"/>
    <x v="2"/>
    <x v="5"/>
    <x v="6"/>
  </r>
  <r>
    <x v="139"/>
    <n v="550"/>
    <n v="-242"/>
    <n v="5"/>
    <s v="Furniture"/>
    <x v="15"/>
    <x v="3"/>
    <x v="0"/>
    <x v="18"/>
  </r>
  <r>
    <x v="312"/>
    <n v="148"/>
    <n v="-91"/>
    <n v="2"/>
    <s v="Electronics"/>
    <x v="4"/>
    <x v="0"/>
    <x v="13"/>
    <x v="16"/>
  </r>
  <r>
    <x v="146"/>
    <n v="846"/>
    <n v="9"/>
    <n v="2"/>
    <s v="Furniture"/>
    <x v="1"/>
    <x v="4"/>
    <x v="1"/>
    <x v="7"/>
  </r>
  <r>
    <x v="57"/>
    <n v="856"/>
    <n v="385"/>
    <n v="6"/>
    <s v="Electronics"/>
    <x v="3"/>
    <x v="0"/>
    <x v="14"/>
    <x v="19"/>
  </r>
  <r>
    <x v="342"/>
    <n v="871"/>
    <n v="131"/>
    <n v="2"/>
    <s v="Furniture"/>
    <x v="2"/>
    <x v="3"/>
    <x v="8"/>
    <x v="11"/>
  </r>
  <r>
    <x v="179"/>
    <n v="19"/>
    <n v="-18"/>
    <n v="4"/>
    <s v="Clothing"/>
    <x v="8"/>
    <x v="0"/>
    <x v="12"/>
    <x v="15"/>
  </r>
  <r>
    <x v="486"/>
    <n v="610"/>
    <n v="-66"/>
    <n v="2"/>
    <s v="Furniture"/>
    <x v="10"/>
    <x v="0"/>
    <x v="18"/>
    <x v="24"/>
  </r>
  <r>
    <x v="327"/>
    <n v="880"/>
    <n v="97"/>
    <n v="8"/>
    <s v="Furniture"/>
    <x v="15"/>
    <x v="4"/>
    <x v="2"/>
    <x v="2"/>
  </r>
  <r>
    <x v="101"/>
    <n v="22"/>
    <n v="-8"/>
    <n v="4"/>
    <s v="Clothing"/>
    <x v="7"/>
    <x v="2"/>
    <x v="9"/>
    <x v="12"/>
  </r>
  <r>
    <x v="487"/>
    <n v="22"/>
    <n v="11"/>
    <n v="2"/>
    <s v="Clothing"/>
    <x v="9"/>
    <x v="2"/>
    <x v="2"/>
    <x v="4"/>
  </r>
  <r>
    <x v="488"/>
    <n v="21"/>
    <n v="4"/>
    <n v="3"/>
    <s v="Clothing"/>
    <x v="7"/>
    <x v="2"/>
    <x v="4"/>
    <x v="5"/>
  </r>
  <r>
    <x v="275"/>
    <n v="18"/>
    <n v="1"/>
    <n v="3"/>
    <s v="Clothing"/>
    <x v="7"/>
    <x v="0"/>
    <x v="0"/>
    <x v="0"/>
  </r>
  <r>
    <x v="489"/>
    <n v="911"/>
    <n v="202"/>
    <n v="7"/>
    <s v="Furniture"/>
    <x v="1"/>
    <x v="0"/>
    <x v="2"/>
    <x v="4"/>
  </r>
  <r>
    <x v="267"/>
    <n v="18"/>
    <n v="2"/>
    <n v="3"/>
    <s v="Clothing"/>
    <x v="7"/>
    <x v="0"/>
    <x v="12"/>
    <x v="15"/>
  </r>
  <r>
    <x v="317"/>
    <n v="911"/>
    <n v="355"/>
    <n v="5"/>
    <s v="Electronics"/>
    <x v="4"/>
    <x v="4"/>
    <x v="0"/>
    <x v="0"/>
  </r>
  <r>
    <x v="197"/>
    <n v="143"/>
    <n v="-129"/>
    <n v="2"/>
    <s v="Electronics"/>
    <x v="4"/>
    <x v="0"/>
    <x v="13"/>
    <x v="16"/>
  </r>
  <r>
    <x v="100"/>
    <n v="918"/>
    <n v="22"/>
    <n v="9"/>
    <s v="Electronics"/>
    <x v="0"/>
    <x v="0"/>
    <x v="6"/>
    <x v="23"/>
  </r>
  <r>
    <x v="104"/>
    <n v="925"/>
    <n v="-447"/>
    <n v="5"/>
    <s v="Electronics"/>
    <x v="0"/>
    <x v="0"/>
    <x v="2"/>
    <x v="4"/>
  </r>
  <r>
    <x v="142"/>
    <n v="17"/>
    <n v="8"/>
    <n v="2"/>
    <s v="Clothing"/>
    <x v="9"/>
    <x v="0"/>
    <x v="17"/>
    <x v="21"/>
  </r>
  <r>
    <x v="490"/>
    <n v="465"/>
    <n v="207"/>
    <n v="9"/>
    <s v="Clothing"/>
    <x v="6"/>
    <x v="0"/>
    <x v="2"/>
    <x v="4"/>
  </r>
  <r>
    <x v="118"/>
    <n v="17"/>
    <n v="-9"/>
    <n v="3"/>
    <s v="Clothing"/>
    <x v="11"/>
    <x v="0"/>
    <x v="2"/>
    <x v="4"/>
  </r>
  <r>
    <x v="102"/>
    <n v="935"/>
    <n v="114"/>
    <n v="4"/>
    <s v="Electronics"/>
    <x v="0"/>
    <x v="3"/>
    <x v="0"/>
    <x v="0"/>
  </r>
  <r>
    <x v="89"/>
    <n v="16"/>
    <n v="-10"/>
    <n v="2"/>
    <s v="Clothing"/>
    <x v="14"/>
    <x v="0"/>
    <x v="0"/>
    <x v="0"/>
  </r>
  <r>
    <x v="2"/>
    <n v="954"/>
    <n v="95"/>
    <n v="3"/>
    <s v="Electronics"/>
    <x v="3"/>
    <x v="3"/>
    <x v="2"/>
    <x v="2"/>
  </r>
  <r>
    <x v="85"/>
    <n v="915"/>
    <n v="-99"/>
    <n v="3"/>
    <s v="Furniture"/>
    <x v="10"/>
    <x v="4"/>
    <x v="6"/>
    <x v="23"/>
  </r>
  <r>
    <x v="298"/>
    <n v="955"/>
    <n v="305"/>
    <n v="3"/>
    <s v="Electronics"/>
    <x v="3"/>
    <x v="4"/>
    <x v="0"/>
    <x v="0"/>
  </r>
  <r>
    <x v="37"/>
    <n v="976"/>
    <n v="293"/>
    <n v="4"/>
    <s v="Electronics"/>
    <x v="13"/>
    <x v="0"/>
    <x v="0"/>
    <x v="0"/>
  </r>
  <r>
    <x v="312"/>
    <n v="1069"/>
    <n v="0"/>
    <n v="6"/>
    <s v="Clothing"/>
    <x v="6"/>
    <x v="1"/>
    <x v="13"/>
    <x v="16"/>
  </r>
  <r>
    <x v="258"/>
    <n v="19"/>
    <n v="-15"/>
    <n v="3"/>
    <s v="Clothing"/>
    <x v="7"/>
    <x v="2"/>
    <x v="4"/>
    <x v="5"/>
  </r>
  <r>
    <x v="289"/>
    <n v="16"/>
    <n v="6"/>
    <n v="3"/>
    <s v="Clothing"/>
    <x v="7"/>
    <x v="0"/>
    <x v="2"/>
    <x v="2"/>
  </r>
  <r>
    <x v="70"/>
    <n v="1030"/>
    <n v="206"/>
    <n v="8"/>
    <s v="Electronics"/>
    <x v="3"/>
    <x v="3"/>
    <x v="15"/>
    <x v="16"/>
  </r>
  <r>
    <x v="256"/>
    <n v="620"/>
    <n v="82"/>
    <n v="6"/>
    <s v="Electronics"/>
    <x v="13"/>
    <x v="0"/>
    <x v="1"/>
    <x v="10"/>
  </r>
  <r>
    <x v="182"/>
    <n v="16"/>
    <n v="8"/>
    <n v="2"/>
    <s v="Clothing"/>
    <x v="7"/>
    <x v="0"/>
    <x v="11"/>
    <x v="14"/>
  </r>
  <r>
    <x v="35"/>
    <n v="19"/>
    <n v="8"/>
    <n v="2"/>
    <s v="Clothing"/>
    <x v="7"/>
    <x v="2"/>
    <x v="3"/>
    <x v="3"/>
  </r>
  <r>
    <x v="157"/>
    <n v="249"/>
    <n v="-130"/>
    <n v="4"/>
    <s v="Electronics"/>
    <x v="4"/>
    <x v="3"/>
    <x v="18"/>
    <x v="24"/>
  </r>
  <r>
    <x v="491"/>
    <n v="16"/>
    <n v="6"/>
    <n v="1"/>
    <s v="Clothing"/>
    <x v="11"/>
    <x v="0"/>
    <x v="1"/>
    <x v="10"/>
  </r>
  <r>
    <x v="97"/>
    <n v="1361"/>
    <n v="197"/>
    <n v="9"/>
    <s v="Furniture"/>
    <x v="2"/>
    <x v="0"/>
    <x v="0"/>
    <x v="0"/>
  </r>
  <r>
    <x v="92"/>
    <n v="15"/>
    <n v="1"/>
    <n v="1"/>
    <s v="Clothing"/>
    <x v="16"/>
    <x v="0"/>
    <x v="3"/>
    <x v="3"/>
  </r>
  <r>
    <x v="233"/>
    <n v="1076"/>
    <n v="-38"/>
    <n v="4"/>
    <s v="Electronics"/>
    <x v="3"/>
    <x v="0"/>
    <x v="12"/>
    <x v="15"/>
  </r>
  <r>
    <x v="127"/>
    <n v="18"/>
    <n v="2"/>
    <n v="3"/>
    <s v="Clothing"/>
    <x v="7"/>
    <x v="2"/>
    <x v="13"/>
    <x v="22"/>
  </r>
  <r>
    <x v="492"/>
    <n v="1101"/>
    <n v="352"/>
    <n v="3"/>
    <s v="Furniture"/>
    <x v="2"/>
    <x v="3"/>
    <x v="15"/>
    <x v="16"/>
  </r>
  <r>
    <x v="148"/>
    <n v="15"/>
    <n v="2"/>
    <n v="1"/>
    <s v="Clothing"/>
    <x v="12"/>
    <x v="0"/>
    <x v="13"/>
    <x v="16"/>
  </r>
  <r>
    <x v="30"/>
    <n v="1104"/>
    <n v="209"/>
    <n v="4"/>
    <s v="Clothing"/>
    <x v="5"/>
    <x v="3"/>
    <x v="2"/>
    <x v="2"/>
  </r>
  <r>
    <x v="123"/>
    <n v="14"/>
    <n v="2"/>
    <n v="1"/>
    <s v="Clothing"/>
    <x v="7"/>
    <x v="0"/>
    <x v="16"/>
    <x v="20"/>
  </r>
  <r>
    <x v="74"/>
    <n v="14"/>
    <n v="5"/>
    <n v="1"/>
    <s v="Clothing"/>
    <x v="7"/>
    <x v="0"/>
    <x v="0"/>
    <x v="0"/>
  </r>
  <r>
    <x v="230"/>
    <n v="14"/>
    <n v="-3"/>
    <n v="2"/>
    <s v="Clothing"/>
    <x v="12"/>
    <x v="0"/>
    <x v="2"/>
    <x v="4"/>
  </r>
  <r>
    <x v="7"/>
    <n v="14"/>
    <n v="-1"/>
    <n v="4"/>
    <s v="Clothing"/>
    <x v="8"/>
    <x v="0"/>
    <x v="2"/>
    <x v="4"/>
  </r>
  <r>
    <x v="36"/>
    <n v="13"/>
    <n v="-8"/>
    <n v="1"/>
    <s v="Clothing"/>
    <x v="14"/>
    <x v="0"/>
    <x v="2"/>
    <x v="2"/>
  </r>
  <r>
    <x v="93"/>
    <n v="13"/>
    <n v="-1"/>
    <n v="3"/>
    <s v="Clothing"/>
    <x v="7"/>
    <x v="0"/>
    <x v="2"/>
    <x v="2"/>
  </r>
  <r>
    <x v="314"/>
    <n v="1275"/>
    <n v="1148"/>
    <n v="7"/>
    <s v="Furniture"/>
    <x v="2"/>
    <x v="1"/>
    <x v="7"/>
    <x v="9"/>
  </r>
  <r>
    <x v="135"/>
    <n v="17"/>
    <n v="1"/>
    <n v="2"/>
    <s v="Clothing"/>
    <x v="9"/>
    <x v="2"/>
    <x v="4"/>
    <x v="5"/>
  </r>
  <r>
    <x v="24"/>
    <n v="13"/>
    <n v="0"/>
    <n v="2"/>
    <s v="Clothing"/>
    <x v="7"/>
    <x v="0"/>
    <x v="8"/>
    <x v="11"/>
  </r>
  <r>
    <x v="203"/>
    <n v="1270"/>
    <n v="546"/>
    <n v="11"/>
    <s v="Electronics"/>
    <x v="0"/>
    <x v="1"/>
    <x v="2"/>
    <x v="2"/>
  </r>
  <r>
    <x v="106"/>
    <n v="13"/>
    <n v="-2"/>
    <n v="1"/>
    <s v="Clothing"/>
    <x v="11"/>
    <x v="0"/>
    <x v="16"/>
    <x v="20"/>
  </r>
  <r>
    <x v="493"/>
    <n v="13"/>
    <n v="3"/>
    <n v="1"/>
    <s v="Clothing"/>
    <x v="12"/>
    <x v="0"/>
    <x v="8"/>
    <x v="11"/>
  </r>
  <r>
    <x v="350"/>
    <n v="17"/>
    <n v="5"/>
    <n v="1"/>
    <s v="Clothing"/>
    <x v="7"/>
    <x v="3"/>
    <x v="2"/>
    <x v="4"/>
  </r>
  <r>
    <x v="82"/>
    <n v="13"/>
    <n v="-13"/>
    <n v="2"/>
    <s v="Clothing"/>
    <x v="9"/>
    <x v="0"/>
    <x v="0"/>
    <x v="18"/>
  </r>
  <r>
    <x v="339"/>
    <n v="13"/>
    <n v="-9"/>
    <n v="2"/>
    <s v="Clothing"/>
    <x v="9"/>
    <x v="0"/>
    <x v="2"/>
    <x v="4"/>
  </r>
  <r>
    <x v="126"/>
    <n v="1263"/>
    <n v="-56"/>
    <n v="5"/>
    <s v="Clothing"/>
    <x v="5"/>
    <x v="1"/>
    <x v="6"/>
    <x v="8"/>
  </r>
  <r>
    <x v="494"/>
    <n v="1629"/>
    <n v="-153"/>
    <n v="3"/>
    <s v="Electronics"/>
    <x v="4"/>
    <x v="0"/>
    <x v="0"/>
    <x v="18"/>
  </r>
  <r>
    <x v="74"/>
    <n v="17"/>
    <n v="7"/>
    <n v="3"/>
    <s v="Clothing"/>
    <x v="7"/>
    <x v="3"/>
    <x v="0"/>
    <x v="0"/>
  </r>
  <r>
    <x v="34"/>
    <n v="17"/>
    <n v="2"/>
    <n v="2"/>
    <s v="Clothing"/>
    <x v="9"/>
    <x v="3"/>
    <x v="0"/>
    <x v="18"/>
  </r>
  <r>
    <x v="1"/>
    <n v="1250"/>
    <n v="-12"/>
    <n v="2"/>
    <s v="Electronics"/>
    <x v="3"/>
    <x v="1"/>
    <x v="1"/>
    <x v="1"/>
  </r>
  <r>
    <x v="16"/>
    <n v="17"/>
    <n v="-11"/>
    <n v="3"/>
    <s v="Clothing"/>
    <x v="9"/>
    <x v="3"/>
    <x v="1"/>
    <x v="1"/>
  </r>
  <r>
    <x v="353"/>
    <n v="977"/>
    <n v="-244"/>
    <n v="7"/>
    <s v="Electronics"/>
    <x v="4"/>
    <x v="0"/>
    <x v="6"/>
    <x v="23"/>
  </r>
  <r>
    <x v="495"/>
    <n v="1246"/>
    <n v="62"/>
    <n v="3"/>
    <s v="Furniture"/>
    <x v="2"/>
    <x v="1"/>
    <x v="13"/>
    <x v="22"/>
  </r>
  <r>
    <x v="268"/>
    <n v="12"/>
    <n v="1"/>
    <n v="2"/>
    <s v="Clothing"/>
    <x v="7"/>
    <x v="0"/>
    <x v="0"/>
    <x v="0"/>
  </r>
  <r>
    <x v="89"/>
    <n v="11"/>
    <n v="-4"/>
    <n v="2"/>
    <s v="Clothing"/>
    <x v="9"/>
    <x v="0"/>
    <x v="0"/>
    <x v="0"/>
  </r>
  <r>
    <x v="87"/>
    <n v="1327"/>
    <n v="318"/>
    <n v="8"/>
    <s v="Furniture"/>
    <x v="1"/>
    <x v="1"/>
    <x v="5"/>
    <x v="6"/>
  </r>
  <r>
    <x v="139"/>
    <n v="1319"/>
    <n v="567"/>
    <n v="5"/>
    <s v="Electronics"/>
    <x v="3"/>
    <x v="0"/>
    <x v="0"/>
    <x v="18"/>
  </r>
  <r>
    <x v="275"/>
    <n v="1402"/>
    <n v="109"/>
    <n v="11"/>
    <s v="Clothing"/>
    <x v="6"/>
    <x v="1"/>
    <x v="0"/>
    <x v="0"/>
  </r>
  <r>
    <x v="221"/>
    <n v="1514"/>
    <n v="742"/>
    <n v="4"/>
    <s v="Electronics"/>
    <x v="3"/>
    <x v="1"/>
    <x v="0"/>
    <x v="0"/>
  </r>
  <r>
    <x v="5"/>
    <n v="1351"/>
    <n v="111"/>
    <n v="6"/>
    <s v="Electronics"/>
    <x v="0"/>
    <x v="0"/>
    <x v="1"/>
    <x v="1"/>
  </r>
  <r>
    <x v="117"/>
    <n v="1355"/>
    <n v="-60"/>
    <n v="5"/>
    <s v="Clothing"/>
    <x v="5"/>
    <x v="0"/>
    <x v="0"/>
    <x v="18"/>
  </r>
  <r>
    <x v="9"/>
    <n v="10"/>
    <n v="2"/>
    <n v="2"/>
    <s v="Clothing"/>
    <x v="7"/>
    <x v="0"/>
    <x v="5"/>
    <x v="6"/>
  </r>
  <r>
    <x v="33"/>
    <n v="10"/>
    <n v="-2"/>
    <n v="2"/>
    <s v="Clothing"/>
    <x v="12"/>
    <x v="0"/>
    <x v="7"/>
    <x v="17"/>
  </r>
  <r>
    <x v="496"/>
    <n v="1582"/>
    <n v="-443"/>
    <n v="6"/>
    <s v="Clothing"/>
    <x v="5"/>
    <x v="1"/>
    <x v="3"/>
    <x v="3"/>
  </r>
  <r>
    <x v="101"/>
    <n v="1218"/>
    <n v="352"/>
    <n v="9"/>
    <s v="Furniture"/>
    <x v="2"/>
    <x v="1"/>
    <x v="9"/>
    <x v="12"/>
  </r>
  <r>
    <x v="40"/>
    <n v="321"/>
    <n v="315"/>
    <n v="5"/>
    <s v="Clothing"/>
    <x v="6"/>
    <x v="3"/>
    <x v="10"/>
    <x v="13"/>
  </r>
  <r>
    <x v="175"/>
    <n v="736"/>
    <n v="346"/>
    <n v="5"/>
    <s v="Electronics"/>
    <x v="3"/>
    <x v="0"/>
    <x v="10"/>
    <x v="13"/>
  </r>
  <r>
    <x v="1"/>
    <n v="1218"/>
    <n v="-420"/>
    <n v="8"/>
    <s v="Furniture"/>
    <x v="2"/>
    <x v="0"/>
    <x v="1"/>
    <x v="1"/>
  </r>
  <r>
    <x v="139"/>
    <n v="1027"/>
    <n v="441"/>
    <n v="8"/>
    <s v="Clothing"/>
    <x v="6"/>
    <x v="0"/>
    <x v="0"/>
    <x v="18"/>
  </r>
  <r>
    <x v="223"/>
    <n v="10"/>
    <n v="5"/>
    <n v="1"/>
    <s v="Clothing"/>
    <x v="11"/>
    <x v="0"/>
    <x v="8"/>
    <x v="11"/>
  </r>
  <r>
    <x v="426"/>
    <n v="2366"/>
    <n v="552"/>
    <n v="5"/>
    <s v="Clothing"/>
    <x v="5"/>
    <x v="3"/>
    <x v="2"/>
    <x v="4"/>
  </r>
  <r>
    <x v="276"/>
    <n v="9"/>
    <n v="-6"/>
    <n v="2"/>
    <s v="Clothing"/>
    <x v="7"/>
    <x v="0"/>
    <x v="16"/>
    <x v="20"/>
  </r>
  <r>
    <x v="39"/>
    <n v="16"/>
    <n v="-12"/>
    <n v="2"/>
    <s v="Clothing"/>
    <x v="11"/>
    <x v="3"/>
    <x v="2"/>
    <x v="4"/>
  </r>
  <r>
    <x v="426"/>
    <n v="9"/>
    <n v="3"/>
    <n v="1"/>
    <s v="Clothing"/>
    <x v="9"/>
    <x v="0"/>
    <x v="2"/>
    <x v="4"/>
  </r>
  <r>
    <x v="497"/>
    <n v="1560"/>
    <n v="421"/>
    <n v="3"/>
    <s v="Clothing"/>
    <x v="5"/>
    <x v="0"/>
    <x v="10"/>
    <x v="13"/>
  </r>
  <r>
    <x v="164"/>
    <n v="1137"/>
    <n v="568"/>
    <n v="2"/>
    <s v="Clothing"/>
    <x v="5"/>
    <x v="1"/>
    <x v="7"/>
    <x v="17"/>
  </r>
  <r>
    <x v="252"/>
    <n v="9"/>
    <n v="-9"/>
    <n v="2"/>
    <s v="Clothing"/>
    <x v="8"/>
    <x v="0"/>
    <x v="17"/>
    <x v="21"/>
  </r>
  <r>
    <x v="19"/>
    <n v="15"/>
    <n v="-7"/>
    <n v="1"/>
    <s v="Clothing"/>
    <x v="7"/>
    <x v="3"/>
    <x v="1"/>
    <x v="10"/>
  </r>
  <r>
    <x v="35"/>
    <n v="14"/>
    <n v="5"/>
    <n v="1"/>
    <s v="Clothing"/>
    <x v="7"/>
    <x v="3"/>
    <x v="3"/>
    <x v="3"/>
  </r>
  <r>
    <x v="137"/>
    <n v="14"/>
    <n v="7"/>
    <n v="2"/>
    <s v="Clothing"/>
    <x v="7"/>
    <x v="3"/>
    <x v="3"/>
    <x v="3"/>
  </r>
  <r>
    <x v="97"/>
    <n v="8"/>
    <n v="-2"/>
    <n v="2"/>
    <s v="Clothing"/>
    <x v="7"/>
    <x v="0"/>
    <x v="0"/>
    <x v="0"/>
  </r>
  <r>
    <x v="93"/>
    <n v="1389"/>
    <n v="680"/>
    <n v="7"/>
    <s v="Clothing"/>
    <x v="6"/>
    <x v="0"/>
    <x v="2"/>
    <x v="2"/>
  </r>
  <r>
    <x v="294"/>
    <n v="8"/>
    <n v="-1"/>
    <n v="2"/>
    <s v="Clothing"/>
    <x v="12"/>
    <x v="0"/>
    <x v="6"/>
    <x v="8"/>
  </r>
  <r>
    <x v="498"/>
    <n v="8"/>
    <n v="-2"/>
    <n v="1"/>
    <s v="Clothing"/>
    <x v="11"/>
    <x v="0"/>
    <x v="11"/>
    <x v="14"/>
  </r>
  <r>
    <x v="21"/>
    <n v="13"/>
    <n v="4"/>
    <n v="1"/>
    <s v="Clothing"/>
    <x v="12"/>
    <x v="3"/>
    <x v="0"/>
    <x v="0"/>
  </r>
  <r>
    <x v="499"/>
    <n v="8"/>
    <n v="-6"/>
    <n v="1"/>
    <s v="Clothing"/>
    <x v="11"/>
    <x v="0"/>
    <x v="2"/>
    <x v="4"/>
  </r>
  <r>
    <x v="44"/>
    <n v="12"/>
    <n v="2"/>
    <n v="2"/>
    <s v="Clothing"/>
    <x v="9"/>
    <x v="2"/>
    <x v="2"/>
    <x v="2"/>
  </r>
  <r>
    <x v="2"/>
    <n v="1716"/>
    <n v="309"/>
    <n v="7"/>
    <s v="Electronics"/>
    <x v="13"/>
    <x v="0"/>
    <x v="2"/>
    <x v="2"/>
  </r>
  <r>
    <x v="253"/>
    <n v="1117"/>
    <n v="447"/>
    <n v="10"/>
    <s v="Furniture"/>
    <x v="2"/>
    <x v="1"/>
    <x v="15"/>
    <x v="16"/>
  </r>
  <r>
    <x v="15"/>
    <n v="9"/>
    <n v="-6"/>
    <n v="2"/>
    <s v="Clothing"/>
    <x v="9"/>
    <x v="2"/>
    <x v="0"/>
    <x v="0"/>
  </r>
  <r>
    <x v="28"/>
    <n v="332"/>
    <n v="503"/>
    <n v="3"/>
    <s v="Electronics"/>
    <x v="3"/>
    <x v="0"/>
    <x v="11"/>
    <x v="14"/>
  </r>
  <r>
    <x v="15"/>
    <n v="7"/>
    <n v="-4"/>
    <n v="3"/>
    <s v="Clothing"/>
    <x v="7"/>
    <x v="0"/>
    <x v="0"/>
    <x v="0"/>
  </r>
  <r>
    <x v="314"/>
    <n v="8"/>
    <n v="-2"/>
    <n v="3"/>
    <s v="Clothing"/>
    <x v="7"/>
    <x v="2"/>
    <x v="7"/>
    <x v="9"/>
  </r>
  <r>
    <x v="363"/>
    <n v="2061"/>
    <n v="701"/>
    <n v="5"/>
    <s v="Furniture"/>
    <x v="2"/>
    <x v="3"/>
    <x v="12"/>
    <x v="15"/>
  </r>
  <r>
    <x v="438"/>
    <n v="1103"/>
    <n v="276"/>
    <n v="3"/>
    <s v="Furniture"/>
    <x v="1"/>
    <x v="1"/>
    <x v="2"/>
    <x v="4"/>
  </r>
  <r>
    <x v="278"/>
    <n v="2103"/>
    <n v="322"/>
    <n v="8"/>
    <s v="Electronics"/>
    <x v="0"/>
    <x v="3"/>
    <x v="2"/>
    <x v="4"/>
  </r>
  <r>
    <x v="5"/>
    <n v="2115"/>
    <n v="23"/>
    <n v="5"/>
    <s v="Furniture"/>
    <x v="1"/>
    <x v="0"/>
    <x v="1"/>
    <x v="1"/>
  </r>
  <r>
    <x v="20"/>
    <n v="850"/>
    <n v="-289"/>
    <n v="5"/>
    <s v="Electronics"/>
    <x v="0"/>
    <x v="0"/>
    <x v="8"/>
    <x v="11"/>
  </r>
  <r>
    <x v="25"/>
    <n v="1063"/>
    <n v="64"/>
    <n v="7"/>
    <s v="Electronics"/>
    <x v="4"/>
    <x v="1"/>
    <x v="11"/>
    <x v="14"/>
  </r>
  <r>
    <x v="446"/>
    <n v="1063"/>
    <n v="-175"/>
    <n v="4"/>
    <s v="Electronics"/>
    <x v="0"/>
    <x v="1"/>
    <x v="2"/>
    <x v="4"/>
  </r>
  <r>
    <x v="289"/>
    <n v="2292"/>
    <n v="127"/>
    <n v="7"/>
    <s v="Furniture"/>
    <x v="2"/>
    <x v="0"/>
    <x v="2"/>
    <x v="2"/>
  </r>
  <r>
    <x v="258"/>
    <n v="7"/>
    <n v="-1"/>
    <n v="2"/>
    <s v="Clothing"/>
    <x v="7"/>
    <x v="2"/>
    <x v="4"/>
    <x v="5"/>
  </r>
  <r>
    <x v="404"/>
    <n v="2452"/>
    <n v="191"/>
    <n v="7"/>
    <s v="Furniture"/>
    <x v="2"/>
    <x v="3"/>
    <x v="7"/>
    <x v="17"/>
  </r>
  <r>
    <x v="155"/>
    <n v="2457"/>
    <n v="665"/>
    <n v="11"/>
    <s v="Electronics"/>
    <x v="0"/>
    <x v="1"/>
    <x v="2"/>
    <x v="4"/>
  </r>
  <r>
    <x v="69"/>
    <n v="4"/>
    <n v="-3"/>
    <n v="1"/>
    <s v="Clothing"/>
    <x v="9"/>
    <x v="2"/>
    <x v="4"/>
    <x v="5"/>
  </r>
  <r>
    <x v="176"/>
    <n v="2830"/>
    <n v="-1981"/>
    <n v="13"/>
    <s v="Furniture"/>
    <x v="2"/>
    <x v="1"/>
    <x v="9"/>
    <x v="12"/>
  </r>
  <r>
    <x v="154"/>
    <n v="7"/>
    <n v="1"/>
    <n v="1"/>
    <s v="Clothing"/>
    <x v="7"/>
    <x v="0"/>
    <x v="0"/>
    <x v="0"/>
  </r>
  <r>
    <x v="406"/>
    <n v="7"/>
    <n v="0"/>
    <n v="2"/>
    <s v="Clothing"/>
    <x v="9"/>
    <x v="0"/>
    <x v="2"/>
    <x v="4"/>
  </r>
  <r>
    <x v="236"/>
    <n v="7"/>
    <n v="-3"/>
    <n v="2"/>
    <s v="Clothing"/>
    <x v="7"/>
    <x v="0"/>
    <x v="2"/>
    <x v="4"/>
  </r>
  <r>
    <x v="74"/>
    <n v="3151"/>
    <n v="-35"/>
    <n v="7"/>
    <s v="Clothing"/>
    <x v="5"/>
    <x v="1"/>
    <x v="0"/>
    <x v="0"/>
  </r>
  <r>
    <x v="193"/>
    <n v="4141"/>
    <n v="1698"/>
    <n v="13"/>
    <s v="Electronics"/>
    <x v="3"/>
    <x v="0"/>
    <x v="1"/>
    <x v="1"/>
  </r>
  <r>
    <x v="150"/>
    <n v="7"/>
    <n v="-2"/>
    <n v="1"/>
    <s v="Clothing"/>
    <x v="7"/>
    <x v="0"/>
    <x v="14"/>
    <x v="19"/>
  </r>
  <r>
    <x v="132"/>
    <n v="4363"/>
    <n v="305"/>
    <n v="5"/>
    <s v="Furniture"/>
    <x v="10"/>
    <x v="1"/>
    <x v="8"/>
    <x v="1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B-26055"/>
    <d v="2018-03-10T00:00:00"/>
    <s v="Harivansh"/>
    <s v="Uttar Pradesh"/>
    <s v="Mathura"/>
    <x v="0"/>
    <x v="0"/>
  </r>
  <r>
    <s v="B-25993"/>
    <d v="2018-02-03T00:00:00"/>
    <s v="Madhav"/>
    <s v="Delhi"/>
    <s v="Delhi"/>
    <x v="1"/>
    <x v="0"/>
  </r>
  <r>
    <s v="B-25973"/>
    <d v="2018-01-24T00:00:00"/>
    <s v="Madan Mohan"/>
    <s v="Uttar Pradesh"/>
    <s v="Mathura"/>
    <x v="2"/>
    <x v="0"/>
  </r>
  <r>
    <s v="B-25923"/>
    <d v="2018-12-27T00:00:00"/>
    <s v="Gopal"/>
    <s v="Maharashtra"/>
    <s v="Mumbai"/>
    <x v="3"/>
    <x v="0"/>
  </r>
  <r>
    <s v="B-25757"/>
    <d v="2018-08-21T00:00:00"/>
    <s v="Vishakha"/>
    <s v="Madhya Pradesh"/>
    <s v="Indore"/>
    <x v="4"/>
    <x v="0"/>
  </r>
  <r>
    <s v="B-25967"/>
    <d v="2018-01-21T00:00:00"/>
    <s v="Sudevi"/>
    <s v="Uttar Pradesh"/>
    <s v="Prayagraj"/>
    <x v="2"/>
    <x v="0"/>
  </r>
  <r>
    <s v="B-25955"/>
    <d v="2018-01-16T00:00:00"/>
    <s v="Shiva"/>
    <s v="Maharashtra"/>
    <s v="Pune"/>
    <x v="2"/>
    <x v="0"/>
  </r>
  <r>
    <s v="B-26093"/>
    <d v="2018-03-27T00:00:00"/>
    <s v="Sarita"/>
    <s v="Maharashtra"/>
    <s v="Pune"/>
    <x v="0"/>
    <x v="0"/>
  </r>
  <r>
    <s v="B-25798"/>
    <d v="2018-10-01T00:00:00"/>
    <s v="Shishu"/>
    <s v="Andhra Pradesh"/>
    <s v="Hyderabad"/>
    <x v="5"/>
    <x v="0"/>
  </r>
  <r>
    <s v="B-25602"/>
    <d v="2018-04-01T00:00:00"/>
    <s v="Vrinda"/>
    <s v="Maharashtra"/>
    <s v="Pune"/>
    <x v="6"/>
    <x v="0"/>
  </r>
  <r>
    <s v="B-25858"/>
    <d v="2018-11-13T00:00:00"/>
    <s v="Uudhav"/>
    <s v="Maharashtra"/>
    <s v="Mumbai"/>
    <x v="7"/>
    <x v="0"/>
  </r>
  <r>
    <s v="B-25969"/>
    <d v="2018-01-21T00:00:00"/>
    <s v="Shreyshi"/>
    <s v="Gujarat"/>
    <s v="Surat"/>
    <x v="2"/>
    <x v="0"/>
  </r>
  <r>
    <s v="B-26099"/>
    <d v="2018-03-30T00:00:00"/>
    <s v="Bhishm"/>
    <s v="Maharashtra"/>
    <s v="Mumbai"/>
    <x v="0"/>
    <x v="0"/>
  </r>
  <r>
    <s v="B-25997"/>
    <d v="2018-02-04T00:00:00"/>
    <s v="Yogesh"/>
    <s v="Maharashtra"/>
    <s v="Pune"/>
    <x v="1"/>
    <x v="0"/>
  </r>
  <r>
    <s v="B-25881"/>
    <d v="2018-11-25T00:00:00"/>
    <s v="Lalita"/>
    <s v="Uttar Pradesh"/>
    <s v="Mathura"/>
    <x v="7"/>
    <x v="0"/>
  </r>
  <r>
    <s v="B-25761"/>
    <d v="2018-08-25T00:00:00"/>
    <s v="Madhav"/>
    <s v="Uttar Pradesh"/>
    <s v="Mathura"/>
    <x v="4"/>
    <x v="0"/>
  </r>
  <r>
    <s v="B-25887"/>
    <d v="2018-12-01T00:00:00"/>
    <s v="Vishakha"/>
    <s v="Uttar Pradesh"/>
    <s v="Prayagraj"/>
    <x v="3"/>
    <x v="0"/>
  </r>
  <r>
    <s v="B-25823"/>
    <d v="2018-10-18T00:00:00"/>
    <s v="Rohan"/>
    <s v="Maharashtra"/>
    <s v="Mumbai"/>
    <x v="5"/>
    <x v="0"/>
  </r>
  <r>
    <s v="B-25853"/>
    <d v="2018-11-08T00:00:00"/>
    <s v="Gaurav"/>
    <s v="Gujarat"/>
    <s v="Ahmedabad"/>
    <x v="7"/>
    <x v="0"/>
  </r>
  <r>
    <s v="B-25862"/>
    <d v="2018-11-15T00:00:00"/>
    <s v="Amol"/>
    <s v="Bihar"/>
    <s v="Patna"/>
    <x v="7"/>
    <x v="0"/>
  </r>
  <r>
    <s v="B-25830"/>
    <d v="2018-10-26T00:00:00"/>
    <s v="Aastha"/>
    <s v="Himachal Pradesh"/>
    <s v="Simla"/>
    <x v="5"/>
    <x v="0"/>
  </r>
  <r>
    <s v="B-25786"/>
    <d v="2018-09-19T00:00:00"/>
    <s v="Madan Mohan"/>
    <s v="Uttar Pradesh"/>
    <s v="Mathura"/>
    <x v="8"/>
    <x v="0"/>
  </r>
  <r>
    <s v="B-25686"/>
    <d v="2018-06-11T00:00:00"/>
    <s v="Pooja"/>
    <s v="Himachal Pradesh"/>
    <s v="Simla"/>
    <x v="9"/>
    <x v="0"/>
  </r>
  <r>
    <s v="B-26022"/>
    <d v="2018-02-18T00:00:00"/>
    <s v="Shrichand"/>
    <s v="Punjab"/>
    <s v="Chandigarh"/>
    <x v="1"/>
    <x v="0"/>
  </r>
  <r>
    <s v="B-26003"/>
    <d v="2018-02-08T00:00:00"/>
    <s v="Hitesh"/>
    <s v="Madhya Pradesh"/>
    <s v="Bhopal"/>
    <x v="1"/>
    <x v="0"/>
  </r>
  <r>
    <s v="B-25755"/>
    <d v="2018-08-19T00:00:00"/>
    <s v="Shourya"/>
    <s v="Kerala"/>
    <s v="Thiruvananthapuram"/>
    <x v="4"/>
    <x v="0"/>
  </r>
  <r>
    <s v="B-25902"/>
    <d v="2018-12-10T00:00:00"/>
    <s v="Ishpreet"/>
    <s v="Maharashtra"/>
    <s v="Mumbai"/>
    <x v="3"/>
    <x v="0"/>
  </r>
  <r>
    <s v="B-25935"/>
    <d v="2018-01-04T00:00:00"/>
    <s v="Sudhir"/>
    <s v="Nagaland"/>
    <s v="Kohima"/>
    <x v="2"/>
    <x v="0"/>
  </r>
  <r>
    <s v="B-25797"/>
    <d v="2018-09-30T00:00:00"/>
    <s v="Sauptik"/>
    <s v="Madhya Pradesh"/>
    <s v="Indore"/>
    <x v="8"/>
    <x v="0"/>
  </r>
  <r>
    <s v="B-25639"/>
    <d v="2018-04-27T00:00:00"/>
    <s v="Lisha"/>
    <s v="Madhya Pradesh"/>
    <s v="Bhopal"/>
    <x v="6"/>
    <x v="0"/>
  </r>
  <r>
    <s v="B-25681"/>
    <d v="2018-06-04T00:00:00"/>
    <s v="Bhawna"/>
    <s v="Madhya Pradesh"/>
    <s v="Indore"/>
    <x v="9"/>
    <x v="0"/>
  </r>
  <r>
    <s v="B-25909"/>
    <d v="2018-12-13T00:00:00"/>
    <s v="Sujay"/>
    <s v="Maharashtra"/>
    <s v="Pune"/>
    <x v="3"/>
    <x v="0"/>
  </r>
  <r>
    <s v="B-25910"/>
    <d v="2018-12-14T00:00:00"/>
    <s v="Jay"/>
    <s v="Delhi"/>
    <s v="Delhi"/>
    <x v="3"/>
    <x v="0"/>
  </r>
  <r>
    <s v="B-25950"/>
    <d v="2018-01-13T00:00:00"/>
    <s v="Shruti"/>
    <s v="Madhya Pradesh"/>
    <s v="Indore"/>
    <x v="2"/>
    <x v="0"/>
  </r>
  <r>
    <s v="B-25613"/>
    <d v="2018-04-12T00:00:00"/>
    <s v="Mohan"/>
    <s v="Haryana"/>
    <s v="Chandigarh"/>
    <x v="6"/>
    <x v="0"/>
  </r>
  <r>
    <s v="B-25919"/>
    <d v="2018-12-23T00:00:00"/>
    <s v="Neha"/>
    <s v="Rajasthan"/>
    <s v="Udaipur"/>
    <x v="3"/>
    <x v="0"/>
  </r>
  <r>
    <s v="B-25768"/>
    <d v="2018-09-01T00:00:00"/>
    <s v="Shreyoshe"/>
    <s v="Karnataka"/>
    <s v="Bangalore"/>
    <x v="8"/>
    <x v="0"/>
  </r>
  <r>
    <s v="B-25629"/>
    <d v="2018-04-24T00:00:00"/>
    <s v="Hemant"/>
    <s v="Kerala"/>
    <s v="Thiruvananthapuram"/>
    <x v="6"/>
    <x v="0"/>
  </r>
  <r>
    <s v="B-25729"/>
    <d v="2018-07-22T00:00:00"/>
    <s v="Madhulika"/>
    <s v="Madhya Pradesh"/>
    <s v="Bhopal"/>
    <x v="10"/>
    <x v="0"/>
  </r>
  <r>
    <s v="B-25943"/>
    <d v="2018-01-09T00:00:00"/>
    <s v="Shardul"/>
    <s v="Gujarat"/>
    <s v="Ahmedabad"/>
    <x v="2"/>
    <x v="0"/>
  </r>
  <r>
    <s v="B-25842"/>
    <d v="2018-11-02T00:00:00"/>
    <s v="Sheetal"/>
    <s v="Maharashtra"/>
    <s v="Pune"/>
    <x v="7"/>
    <x v="0"/>
  </r>
  <r>
    <s v="B-26073"/>
    <d v="2018-03-21T00:00:00"/>
    <s v="Pournamasi"/>
    <s v="Madhya Pradesh"/>
    <s v="Indore"/>
    <x v="0"/>
    <x v="0"/>
  </r>
  <r>
    <s v="B-25778"/>
    <d v="2018-09-11T00:00:00"/>
    <s v="Surabhi"/>
    <s v="Maharashtra"/>
    <s v="Mumbai"/>
    <x v="8"/>
    <x v="0"/>
  </r>
  <r>
    <s v="B-25717"/>
    <d v="2018-07-12T00:00:00"/>
    <s v="Manshul"/>
    <s v="Uttar Pradesh"/>
    <s v="Lucknow"/>
    <x v="10"/>
    <x v="0"/>
  </r>
  <r>
    <s v="B-26085"/>
    <d v="2018-03-26T00:00:00"/>
    <s v="Shrichand"/>
    <s v="Punjab"/>
    <s v="Chandigarh"/>
    <x v="0"/>
    <x v="0"/>
  </r>
  <r>
    <s v="B-26048"/>
    <d v="2018-03-04T00:00:00"/>
    <s v="Parth"/>
    <s v="Maharashtra"/>
    <s v="Pune"/>
    <x v="0"/>
    <x v="0"/>
  </r>
  <r>
    <s v="B-25793"/>
    <d v="2018-09-24T00:00:00"/>
    <s v="Siddharth"/>
    <s v="Madhya Pradesh"/>
    <s v="Indore"/>
    <x v="8"/>
    <x v="0"/>
  </r>
  <r>
    <s v="B-25656"/>
    <d v="2018-05-11T00:00:00"/>
    <s v="Priyanka"/>
    <s v="Maharashtra"/>
    <s v="Pune"/>
    <x v="11"/>
    <x v="0"/>
  </r>
  <r>
    <s v="B-25608"/>
    <d v="2018-04-08T00:00:00"/>
    <s v="Aarushi"/>
    <s v="Tamil Nadu"/>
    <s v="Chennai"/>
    <x v="6"/>
    <x v="0"/>
  </r>
  <r>
    <s v="B-25752"/>
    <d v="2018-08-14T00:00:00"/>
    <s v="Vaibhav"/>
    <s v="Madhya Pradesh"/>
    <s v="Indore"/>
    <x v="4"/>
    <x v="0"/>
  </r>
  <r>
    <s v="B-25779"/>
    <d v="2018-09-12T00:00:00"/>
    <s v="Savi"/>
    <s v="Maharashtra"/>
    <s v="Pune"/>
    <x v="8"/>
    <x v="0"/>
  </r>
  <r>
    <s v="B-25603"/>
    <d v="2018-04-03T00:00:00"/>
    <s v="Jahan"/>
    <s v="Madhya Pradesh"/>
    <s v="Bhopal"/>
    <x v="6"/>
    <x v="0"/>
  </r>
  <r>
    <s v="B-26051"/>
    <d v="2018-03-07T00:00:00"/>
    <s v="Parishi"/>
    <s v="West Bengal"/>
    <s v="Kolkata"/>
    <x v="0"/>
    <x v="0"/>
  </r>
  <r>
    <s v="B-25653"/>
    <d v="2018-05-08T00:00:00"/>
    <s v="Farah"/>
    <s v="Nagaland"/>
    <s v="Kohima"/>
    <x v="11"/>
    <x v="0"/>
  </r>
  <r>
    <s v="B-25855"/>
    <d v="2018-11-08T00:00:00"/>
    <s v="Abhijeet"/>
    <s v="Madhya Pradesh"/>
    <s v="Bhopal"/>
    <x v="7"/>
    <x v="0"/>
  </r>
  <r>
    <s v="B-25762"/>
    <d v="2018-08-26T00:00:00"/>
    <s v="Anudeep"/>
    <s v="Madhya Pradesh"/>
    <s v="Indore"/>
    <x v="4"/>
    <x v="0"/>
  </r>
  <r>
    <s v="B-25995"/>
    <d v="2018-02-04T00:00:00"/>
    <s v="Yohann"/>
    <s v="Delhi"/>
    <s v="Delhi"/>
    <x v="1"/>
    <x v="0"/>
  </r>
  <r>
    <s v="B-25929"/>
    <d v="2018-01-02T00:00:00"/>
    <s v="Girase"/>
    <s v="Kerala"/>
    <s v="Thiruvananthapuram"/>
    <x v="2"/>
    <x v="0"/>
  </r>
  <r>
    <s v="B-26006"/>
    <d v="2018-02-09T00:00:00"/>
    <s v="Arpita"/>
    <s v="Karnataka"/>
    <s v="Bangalore"/>
    <x v="1"/>
    <x v="0"/>
  </r>
  <r>
    <s v="B-25697"/>
    <d v="2018-06-22T00:00:00"/>
    <s v="Vijay"/>
    <s v="Jammu and Kashmir"/>
    <s v="Kashmir"/>
    <x v="9"/>
    <x v="0"/>
  </r>
  <r>
    <s v="B-25836"/>
    <d v="2018-10-29T00:00:00"/>
    <s v="Arti"/>
    <s v="Maharashtra"/>
    <s v="Pune"/>
    <x v="5"/>
    <x v="0"/>
  </r>
  <r>
    <s v="B-25601"/>
    <d v="2018-04-01T00:00:00"/>
    <s v="Bharat"/>
    <s v="Gujarat"/>
    <s v="Ahmedabad"/>
    <x v="6"/>
    <x v="0"/>
  </r>
  <r>
    <s v="B-25873"/>
    <d v="2018-11-23T00:00:00"/>
    <s v="Divyeta"/>
    <s v="Madhya Pradesh"/>
    <s v="Indore"/>
    <x v="7"/>
    <x v="0"/>
  </r>
  <r>
    <s v="B-26028"/>
    <d v="2018-02-20T00:00:00"/>
    <s v="Manju"/>
    <s v="Andhra Pradesh"/>
    <s v="Hyderabad"/>
    <x v="1"/>
    <x v="0"/>
  </r>
  <r>
    <s v="B-25964"/>
    <d v="2018-01-20T00:00:00"/>
    <s v="Oshin"/>
    <s v="Maharashtra"/>
    <s v="Pune"/>
    <x v="2"/>
    <x v="0"/>
  </r>
  <r>
    <s v="B-25676"/>
    <d v="2018-06-01T00:00:00"/>
    <s v="Chandni"/>
    <s v="Rajasthan"/>
    <s v="Jaipur"/>
    <x v="9"/>
    <x v="0"/>
  </r>
  <r>
    <s v="B-25839"/>
    <d v="2018-10-30T00:00:00"/>
    <s v="Pranjali"/>
    <s v="West Bengal"/>
    <s v="Kolkata"/>
    <x v="5"/>
    <x v="0"/>
  </r>
  <r>
    <s v="B-25894"/>
    <d v="2018-12-04T00:00:00"/>
    <s v="Monu"/>
    <s v="Punjab"/>
    <s v="Amritsar"/>
    <x v="3"/>
    <x v="0"/>
  </r>
  <r>
    <s v="B-25925"/>
    <d v="2018-12-29T00:00:00"/>
    <s v="Shruti"/>
    <s v="Maharashtra"/>
    <s v="Mumbai"/>
    <x v="3"/>
    <x v="0"/>
  </r>
  <r>
    <s v="B-25953"/>
    <d v="2018-01-14T00:00:00"/>
    <s v="Krutika"/>
    <s v="Andhra Pradesh"/>
    <s v="Hyderabad"/>
    <x v="2"/>
    <x v="0"/>
  </r>
  <r>
    <s v="B-25772"/>
    <d v="2018-09-02T00:00:00"/>
    <s v="Sanjana"/>
    <s v="Bihar"/>
    <s v="Patna"/>
    <x v="8"/>
    <x v="0"/>
  </r>
  <r>
    <s v="B-25957"/>
    <d v="2018-01-18T00:00:00"/>
    <s v="Mahima"/>
    <s v="Madhya Pradesh"/>
    <s v="Indore"/>
    <x v="2"/>
    <x v="0"/>
  </r>
  <r>
    <s v="B-25730"/>
    <d v="2018-07-22T00:00:00"/>
    <s v="Rishabh"/>
    <s v="Rajasthan"/>
    <s v="Jaipur"/>
    <x v="10"/>
    <x v="0"/>
  </r>
  <r>
    <s v="B-25877"/>
    <d v="2018-11-24T00:00:00"/>
    <s v="Dashyam"/>
    <s v="Gujarat"/>
    <s v="Surat"/>
    <x v="7"/>
    <x v="0"/>
  </r>
  <r>
    <s v="B-26067"/>
    <d v="2018-03-16T00:00:00"/>
    <s v="Tulika"/>
    <s v="Madhya Pradesh"/>
    <s v="Bhopal"/>
    <x v="0"/>
    <x v="0"/>
  </r>
  <r>
    <s v="B-25810"/>
    <d v="2018-10-10T00:00:00"/>
    <s v="Nripraj"/>
    <s v="Punjab"/>
    <s v="Chandigarh"/>
    <x v="5"/>
    <x v="0"/>
  </r>
  <r>
    <s v="B-25868"/>
    <d v="2018-11-18T00:00:00"/>
    <s v="Vikash"/>
    <s v="Goa"/>
    <s v="Goa"/>
    <x v="7"/>
    <x v="0"/>
  </r>
  <r>
    <s v="B-26023"/>
    <d v="2018-02-19T00:00:00"/>
    <s v="Mukesh"/>
    <s v="Haryana"/>
    <s v="Chandigarh"/>
    <x v="1"/>
    <x v="0"/>
  </r>
  <r>
    <s v="B-25626"/>
    <d v="2018-04-23T00:00:00"/>
    <s v="Bhishm"/>
    <s v="Maharashtra"/>
    <s v="Mumbai"/>
    <x v="6"/>
    <x v="0"/>
  </r>
  <r>
    <s v="B-25937"/>
    <d v="2018-01-05T00:00:00"/>
    <s v="Ankit"/>
    <s v="Haryana"/>
    <s v="Chandigarh"/>
    <x v="2"/>
    <x v="0"/>
  </r>
  <r>
    <s v="B-25610"/>
    <d v="2018-04-09T00:00:00"/>
    <s v="Yogesh"/>
    <s v="Bihar"/>
    <s v="Patna"/>
    <x v="6"/>
    <x v="0"/>
  </r>
  <r>
    <s v="B-25777"/>
    <d v="2018-09-10T00:00:00"/>
    <s v="Aditi"/>
    <s v="Madhya Pradesh"/>
    <s v="Indore"/>
    <x v="8"/>
    <x v="0"/>
  </r>
  <r>
    <s v="B-25738"/>
    <d v="2018-08-02T00:00:00"/>
    <s v="Ayush"/>
    <s v="Punjab"/>
    <s v="Chandigarh"/>
    <x v="4"/>
    <x v="0"/>
  </r>
  <r>
    <s v="B-25978"/>
    <d v="2018-01-27T00:00:00"/>
    <s v="Parin"/>
    <s v="Maharashtra"/>
    <s v="Mumbai"/>
    <x v="2"/>
    <x v="0"/>
  </r>
  <r>
    <s v="B-25643"/>
    <d v="2018-04-29T00:00:00"/>
    <s v="Kirti"/>
    <s v="Jammu and Kashmir"/>
    <s v="Kashmir"/>
    <x v="6"/>
    <x v="0"/>
  </r>
  <r>
    <s v="B-25728"/>
    <d v="2018-07-22T00:00:00"/>
    <s v="Ameesha"/>
    <s v="Maharashtra"/>
    <s v="Pune"/>
    <x v="10"/>
    <x v="0"/>
  </r>
  <r>
    <s v="B-25749"/>
    <d v="2018-08-13T00:00:00"/>
    <s v="Ayush"/>
    <s v="Maharashtra"/>
    <s v="Mumbai"/>
    <x v="4"/>
    <x v="0"/>
  </r>
  <r>
    <s v="B-25667"/>
    <d v="2018-05-23T00:00:00"/>
    <s v="Anjali"/>
    <s v="Haryana"/>
    <s v="Chandigarh"/>
    <x v="11"/>
    <x v="0"/>
  </r>
  <r>
    <s v="B-25657"/>
    <d v="2018-05-13T00:00:00"/>
    <s v="Tulika"/>
    <s v="Madhya Pradesh"/>
    <s v="Bhopal"/>
    <x v="11"/>
    <x v="0"/>
  </r>
  <r>
    <s v="B-25753"/>
    <d v="2018-08-17T00:00:00"/>
    <s v="Shivam"/>
    <s v="Uttar Pradesh"/>
    <s v="Lucknow"/>
    <x v="4"/>
    <x v="0"/>
  </r>
  <r>
    <s v="B-26061"/>
    <d v="2018-03-14T00:00:00"/>
    <s v="Anurag"/>
    <s v="Madhya Pradesh"/>
    <s v="Indore"/>
    <x v="0"/>
    <x v="0"/>
  </r>
  <r>
    <s v="B-25838"/>
    <d v="2018-10-29T00:00:00"/>
    <s v="Sanjana"/>
    <s v="Madhya Pradesh"/>
    <s v="Indore"/>
    <x v="5"/>
    <x v="0"/>
  </r>
  <r>
    <s v="B-25702"/>
    <d v="2018-06-27T00:00:00"/>
    <s v="Shaily"/>
    <s v="Maharashtra"/>
    <s v="Mumbai"/>
    <x v="9"/>
    <x v="0"/>
  </r>
  <r>
    <s v="B-25952"/>
    <d v="2018-01-13T00:00:00"/>
    <s v="Priyanka"/>
    <s v="Madhya Pradesh"/>
    <s v="Indore"/>
    <x v="2"/>
    <x v="0"/>
  </r>
  <r>
    <s v="B-25666"/>
    <d v="2018-05-22T00:00:00"/>
    <s v="Tanvi"/>
    <s v="Punjab"/>
    <s v="Chandigarh"/>
    <x v="11"/>
    <x v="0"/>
  </r>
  <r>
    <s v="B-25675"/>
    <d v="2018-05-31T00:00:00"/>
    <s v="Shreya"/>
    <s v="Madhya Pradesh"/>
    <s v="Bhopal"/>
    <x v="11"/>
    <x v="0"/>
  </r>
  <r>
    <s v="B-25650"/>
    <d v="2018-05-06T00:00:00"/>
    <s v="Chirag"/>
    <s v="Maharashtra"/>
    <s v="Mumbai"/>
    <x v="11"/>
    <x v="0"/>
  </r>
  <r>
    <s v="B-25986"/>
    <d v="2018-01-31T00:00:00"/>
    <s v="Shweta"/>
    <s v="Rajasthan"/>
    <s v="Udaipur"/>
    <x v="2"/>
    <x v="0"/>
  </r>
  <r>
    <s v="B-25850"/>
    <d v="2018-11-05T00:00:00"/>
    <s v="Abhishek"/>
    <s v="Goa"/>
    <s v="Goa"/>
    <x v="7"/>
    <x v="0"/>
  </r>
  <r>
    <s v="B-25898"/>
    <d v="2018-12-07T00:00:00"/>
    <s v="Abhishek"/>
    <s v="Rajasthan"/>
    <s v="Udaipur"/>
    <x v="3"/>
    <x v="0"/>
  </r>
  <r>
    <s v="B-25813"/>
    <d v="2018-10-10T00:00:00"/>
    <s v="Hrisheekesh"/>
    <s v="Maharashtra"/>
    <s v="Mumbai"/>
    <x v="5"/>
    <x v="0"/>
  </r>
  <r>
    <s v="B-25825"/>
    <d v="2018-10-21T00:00:00"/>
    <s v="Kartik"/>
    <s v="Madhya Pradesh"/>
    <s v="Indore"/>
    <x v="5"/>
    <x v="0"/>
  </r>
  <r>
    <s v="B-25954"/>
    <d v="2018-01-14T00:00:00"/>
    <s v="Trupti"/>
    <s v="Gujarat"/>
    <s v="Ahmedabad"/>
    <x v="2"/>
    <x v="0"/>
  </r>
  <r>
    <s v="B-25696"/>
    <d v="2018-06-21T00:00:00"/>
    <s v="Noopur"/>
    <s v="Karnataka"/>
    <s v="Bangalore"/>
    <x v="9"/>
    <x v="0"/>
  </r>
  <r>
    <s v="B-25638"/>
    <d v="2018-04-26T00:00:00"/>
    <s v="Parth"/>
    <s v="Maharashtra"/>
    <s v="Pune"/>
    <x v="6"/>
    <x v="0"/>
  </r>
  <r>
    <s v="B-25747"/>
    <d v="2018-08-11T00:00:00"/>
    <s v="Harsh"/>
    <s v="Madhya Pradesh"/>
    <s v="Bhopal"/>
    <x v="4"/>
    <x v="0"/>
  </r>
  <r>
    <s v="B-25904"/>
    <d v="2018-12-10T00:00:00"/>
    <s v="Swapnil"/>
    <s v="Delhi"/>
    <s v="Delhi"/>
    <x v="3"/>
    <x v="0"/>
  </r>
  <r>
    <s v="B-25852"/>
    <d v="2018-11-07T00:00:00"/>
    <s v="Soumyabrata"/>
    <s v="Andhra Pradesh"/>
    <s v="Hyderabad"/>
    <x v="7"/>
    <x v="0"/>
  </r>
  <r>
    <s v="B-25981"/>
    <d v="2018-01-28T00:00:00"/>
    <s v="Amruta"/>
    <s v="Delhi"/>
    <s v="Delhi"/>
    <x v="2"/>
    <x v="0"/>
  </r>
  <r>
    <s v="B-25899"/>
    <d v="2018-12-08T00:00:00"/>
    <s v="Aishwarya"/>
    <s v="Uttar Pradesh"/>
    <s v="Prayagraj"/>
    <x v="3"/>
    <x v="0"/>
  </r>
  <r>
    <s v="B-25870"/>
    <d v="2018-11-20T00:00:00"/>
    <s v="Pranav"/>
    <s v="Andhra Pradesh"/>
    <s v="Hyderabad"/>
    <x v="7"/>
    <x v="0"/>
  </r>
  <r>
    <s v="B-26040"/>
    <d v="2018-02-26T00:00:00"/>
    <s v="Sahil"/>
    <s v="Punjab"/>
    <s v="Chandigarh"/>
    <x v="1"/>
    <x v="0"/>
  </r>
  <r>
    <s v="B-25671"/>
    <d v="2018-05-27T00:00:00"/>
    <s v="Mitali"/>
    <s v="Nagaland"/>
    <s v="Kohima"/>
    <x v="11"/>
    <x v="0"/>
  </r>
  <r>
    <s v="B-26100"/>
    <d v="2018-03-31T00:00:00"/>
    <s v="Hitika"/>
    <s v="Madhya Pradesh"/>
    <s v="Indore"/>
    <x v="0"/>
    <x v="0"/>
  </r>
  <r>
    <s v="B-25651"/>
    <d v="2018-05-07T00:00:00"/>
    <s v="Anurag"/>
    <s v="Madhya Pradesh"/>
    <s v="Indore"/>
    <x v="11"/>
    <x v="0"/>
  </r>
  <r>
    <s v="B-25968"/>
    <d v="2018-01-21T00:00:00"/>
    <s v="Paromita"/>
    <s v="Punjab"/>
    <s v="Amritsar"/>
    <x v="2"/>
    <x v="0"/>
  </r>
  <r>
    <s v="B-26019"/>
    <d v="2018-02-15T00:00:00"/>
    <s v="Jitesh"/>
    <s v="Uttar Pradesh"/>
    <s v="Lucknow"/>
    <x v="1"/>
    <x v="0"/>
  </r>
  <r>
    <s v="B-25664"/>
    <d v="2018-05-20T00:00:00"/>
    <s v="Pratyusmita"/>
    <s v="Bihar"/>
    <s v="Patna"/>
    <x v="11"/>
    <x v="0"/>
  </r>
  <r>
    <s v="B-26033"/>
    <d v="2018-02-22T00:00:00"/>
    <s v="Atharv"/>
    <s v="West Bengal"/>
    <s v="Kolkata"/>
    <x v="1"/>
    <x v="0"/>
  </r>
  <r>
    <s v="B-26052"/>
    <d v="2018-03-08T00:00:00"/>
    <s v="Ajay"/>
    <s v="Karnataka"/>
    <s v="Bangalore"/>
    <x v="0"/>
    <x v="0"/>
  </r>
  <r>
    <s v="B-25999"/>
    <d v="2018-02-05T00:00:00"/>
    <s v="Diwakar"/>
    <s v="Delhi"/>
    <s v="Delhi"/>
    <x v="1"/>
    <x v="0"/>
  </r>
  <r>
    <s v="B-25781"/>
    <d v="2018-09-14T00:00:00"/>
    <s v="Rutuja"/>
    <s v="Gujarat"/>
    <s v="Ahmedabad"/>
    <x v="8"/>
    <x v="0"/>
  </r>
  <r>
    <s v="B-25764"/>
    <d v="2018-08-28T00:00:00"/>
    <s v="Sanjova"/>
    <s v="Maharashtra"/>
    <s v="Pune"/>
    <x v="4"/>
    <x v="0"/>
  </r>
  <r>
    <s v="B-25803"/>
    <d v="2018-10-05T00:00:00"/>
    <s v="Shivanshu"/>
    <s v="Madhya Pradesh"/>
    <s v="Indore"/>
    <x v="5"/>
    <x v="0"/>
  </r>
  <r>
    <s v="B-25945"/>
    <d v="2018-01-11T00:00:00"/>
    <s v="Mhatre"/>
    <s v="Madhya Pradesh"/>
    <s v="Indore"/>
    <x v="2"/>
    <x v="0"/>
  </r>
  <r>
    <s v="B-26086"/>
    <d v="2018-03-26T00:00:00"/>
    <s v="Mukesh"/>
    <s v="Haryana"/>
    <s v="Chandigarh"/>
    <x v="0"/>
    <x v="0"/>
  </r>
  <r>
    <s v="B-25845"/>
    <d v="2018-11-03T00:00:00"/>
    <s v="Snel"/>
    <s v="Kerala"/>
    <s v="Thiruvananthapuram"/>
    <x v="7"/>
    <x v="0"/>
  </r>
  <r>
    <s v="B-25817"/>
    <d v="2018-10-13T00:00:00"/>
    <s v="Praneet"/>
    <s v="Maharashtra"/>
    <s v="Mumbai"/>
    <x v="5"/>
    <x v="0"/>
  </r>
  <r>
    <s v="B-25951"/>
    <d v="2018-01-13T00:00:00"/>
    <s v="Jesal"/>
    <s v="West Bengal"/>
    <s v="Kolkata"/>
    <x v="2"/>
    <x v="0"/>
  </r>
  <r>
    <s v="B-25970"/>
    <d v="2018-01-22T00:00:00"/>
    <s v="Rhea"/>
    <s v="Maharashtra"/>
    <s v="Mumbai"/>
    <x v="2"/>
    <x v="0"/>
  </r>
  <r>
    <s v="B-25878"/>
    <d v="2018-11-24T00:00:00"/>
    <s v="Mrinal"/>
    <s v="Maharashtra"/>
    <s v="Mumbai"/>
    <x v="7"/>
    <x v="0"/>
  </r>
  <r>
    <s v="B-26057"/>
    <d v="2018-03-10T00:00:00"/>
    <s v="Sharda"/>
    <s v="Kerala"/>
    <s v="Thiruvananthapuram"/>
    <x v="0"/>
    <x v="0"/>
  </r>
  <r>
    <s v="B-25885"/>
    <d v="2018-11-28T00:00:00"/>
    <s v="Shatayu"/>
    <s v="Madhya Pradesh"/>
    <s v="Indore"/>
    <x v="7"/>
    <x v="0"/>
  </r>
  <r>
    <s v="B-25897"/>
    <d v="2018-12-06T00:00:00"/>
    <s v="Rohan"/>
    <s v="Madhya Pradesh"/>
    <s v="Indore"/>
    <x v="3"/>
    <x v="0"/>
  </r>
  <r>
    <s v="B-25756"/>
    <d v="2018-08-20T00:00:00"/>
    <s v="Mohan"/>
    <s v="Maharashtra"/>
    <s v="Mumbai"/>
    <x v="4"/>
    <x v="0"/>
  </r>
  <r>
    <s v="B-25859"/>
    <d v="2018-11-14T00:00:00"/>
    <s v="Chikku"/>
    <s v="Madhya Pradesh"/>
    <s v="Indore"/>
    <x v="7"/>
    <x v="0"/>
  </r>
  <r>
    <s v="B-25691"/>
    <d v="2018-06-16T00:00:00"/>
    <s v="Akancha"/>
    <s v="Maharashtra"/>
    <s v="Mumbai"/>
    <x v="9"/>
    <x v="0"/>
  </r>
  <r>
    <s v="B-25633"/>
    <d v="2018-04-26T00:00:00"/>
    <s v="Amit"/>
    <s v="Sikkim"/>
    <s v="Gangtok"/>
    <x v="6"/>
    <x v="0"/>
  </r>
  <r>
    <s v="B-25708"/>
    <d v="2018-07-01T00:00:00"/>
    <s v="Kishwar"/>
    <s v="Madhya Pradesh"/>
    <s v="Indore"/>
    <x v="10"/>
    <x v="0"/>
  </r>
  <r>
    <s v="B-25831"/>
    <d v="2018-10-27T00:00:00"/>
    <s v="Mahima"/>
    <s v="Sikkim"/>
    <s v="Gangtok"/>
    <x v="5"/>
    <x v="0"/>
  </r>
  <r>
    <s v="B-25856"/>
    <d v="2018-11-10T00:00:00"/>
    <s v="Abhijeet"/>
    <s v="Maharashtra"/>
    <s v="Mumbai"/>
    <x v="7"/>
    <x v="0"/>
  </r>
  <r>
    <s v="B-25893"/>
    <d v="2018-12-04T00:00:00"/>
    <s v="Vrinda"/>
    <s v="Uttar Pradesh"/>
    <s v="Mathura"/>
    <x v="3"/>
    <x v="0"/>
  </r>
  <r>
    <s v="B-25959"/>
    <d v="2018-01-18T00:00:00"/>
    <s v="Muskan"/>
    <s v="Madhya Pradesh"/>
    <s v="Indore"/>
    <x v="2"/>
    <x v="0"/>
  </r>
  <r>
    <s v="B-26000"/>
    <d v="2018-02-06T00:00:00"/>
    <s v="Shubham"/>
    <s v="Delhi"/>
    <s v="Delhi"/>
    <x v="1"/>
    <x v="0"/>
  </r>
  <r>
    <s v="B-26097"/>
    <d v="2018-03-28T00:00:00"/>
    <s v="Vini"/>
    <s v="Karnataka"/>
    <s v="Bangalore"/>
    <x v="0"/>
    <x v="0"/>
  </r>
  <r>
    <s v="B-25745"/>
    <d v="2018-08-09T00:00:00"/>
    <s v="Kartik"/>
    <s v="Gujarat"/>
    <s v="Ahmedabad"/>
    <x v="4"/>
    <x v="0"/>
  </r>
  <r>
    <s v="B-25974"/>
    <d v="2018-01-25T00:00:00"/>
    <s v="Manisha"/>
    <s v="Rajasthan"/>
    <s v="Udaipur"/>
    <x v="2"/>
    <x v="0"/>
  </r>
  <r>
    <s v="B-25670"/>
    <d v="2018-05-25T00:00:00"/>
    <s v="Charika"/>
    <s v="Goa"/>
    <s v="Goa"/>
    <x v="11"/>
    <x v="0"/>
  </r>
  <r>
    <s v="B-25848"/>
    <d v="2018-11-03T00:00:00"/>
    <s v="Rohan"/>
    <s v="Himachal Pradesh"/>
    <s v="Simla"/>
    <x v="7"/>
    <x v="0"/>
  </r>
  <r>
    <s v="B-25888"/>
    <d v="2018-12-02T00:00:00"/>
    <s v="Rohan"/>
    <s v="Punjab"/>
    <s v="Amritsar"/>
    <x v="3"/>
    <x v="0"/>
  </r>
  <r>
    <s v="B-25942"/>
    <d v="2018-01-08T00:00:00"/>
    <s v="Ankur"/>
    <s v="Andhra Pradesh"/>
    <s v="Hyderabad"/>
    <x v="2"/>
    <x v="0"/>
  </r>
  <r>
    <s v="B-25847"/>
    <d v="2018-11-03T00:00:00"/>
    <s v="Aniket"/>
    <s v="Haryana"/>
    <s v="Chandigarh"/>
    <x v="7"/>
    <x v="0"/>
  </r>
  <r>
    <s v="B-25636"/>
    <d v="2018-04-26T00:00:00"/>
    <s v="Nishi"/>
    <s v="Maharashtra"/>
    <s v="Mumbai"/>
    <x v="6"/>
    <x v="0"/>
  </r>
  <r>
    <s v="B-25826"/>
    <d v="2018-10-22T00:00:00"/>
    <s v="Tanushree"/>
    <s v="Maharashtra"/>
    <s v="Mumbai"/>
    <x v="5"/>
    <x v="0"/>
  </r>
  <r>
    <s v="B-26081"/>
    <d v="2018-03-22T00:00:00"/>
    <s v="Aarushi"/>
    <s v="Tamil Nadu"/>
    <s v="Chennai"/>
    <x v="0"/>
    <x v="0"/>
  </r>
  <r>
    <s v="B-25625"/>
    <d v="2018-04-23T00:00:00"/>
    <s v="Pinky"/>
    <s v="Jammu and Kashmir"/>
    <s v="Kashmir"/>
    <x v="6"/>
    <x v="0"/>
  </r>
  <r>
    <s v="B-25802"/>
    <d v="2018-10-05T00:00:00"/>
    <s v="Yash"/>
    <s v="Maharashtra"/>
    <s v="Mumbai"/>
    <x v="5"/>
    <x v="0"/>
  </r>
  <r>
    <s v="B-25693"/>
    <d v="2018-06-18T00:00:00"/>
    <s v="Parna"/>
    <s v="Madhya Pradesh"/>
    <s v="Bhopal"/>
    <x v="9"/>
    <x v="0"/>
  </r>
  <r>
    <s v="B-25796"/>
    <d v="2018-09-24T00:00:00"/>
    <s v="Sukrith"/>
    <s v="Maharashtra"/>
    <s v="Mumbai"/>
    <x v="8"/>
    <x v="0"/>
  </r>
  <r>
    <s v="B-25806"/>
    <d v="2018-10-06T00:00:00"/>
    <s v="Dhanraj"/>
    <s v="Madhya Pradesh"/>
    <s v="Indore"/>
    <x v="5"/>
    <x v="0"/>
  </r>
  <r>
    <s v="B-25710"/>
    <d v="2018-07-05T00:00:00"/>
    <s v="Megha"/>
    <s v="Maharashtra"/>
    <s v="Pune"/>
    <x v="10"/>
    <x v="0"/>
  </r>
  <r>
    <s v="B-25669"/>
    <d v="2018-05-25T00:00:00"/>
    <s v="Piyali"/>
    <s v="Sikkim"/>
    <s v="Gangtok"/>
    <x v="11"/>
    <x v="0"/>
  </r>
  <r>
    <s v="B-25857"/>
    <d v="2018-11-10T00:00:00"/>
    <s v="Anand"/>
    <s v="Madhya Pradesh"/>
    <s v="Indore"/>
    <x v="7"/>
    <x v="0"/>
  </r>
  <r>
    <s v="B-25785"/>
    <d v="2018-09-15T00:00:00"/>
    <s v="Ayush"/>
    <s v="West Bengal"/>
    <s v="Kolkata"/>
    <x v="8"/>
    <x v="0"/>
  </r>
  <r>
    <s v="B-25930"/>
    <d v="2018-01-03T00:00:00"/>
    <s v="Monica"/>
    <s v="Punjab"/>
    <s v="Chandigarh"/>
    <x v="2"/>
    <x v="0"/>
  </r>
  <r>
    <s v="B-26053"/>
    <d v="2018-03-09T00:00:00"/>
    <s v="Kirti"/>
    <s v="Jammu and Kashmir"/>
    <s v="Kashmir"/>
    <x v="0"/>
    <x v="0"/>
  </r>
  <r>
    <s v="B-26070"/>
    <d v="2018-03-18T00:00:00"/>
    <s v="Shruti"/>
    <s v="Karnataka"/>
    <s v="Bangalore"/>
    <x v="0"/>
    <x v="0"/>
  </r>
  <r>
    <s v="B-25791"/>
    <d v="2018-09-24T00:00:00"/>
    <s v="Avish"/>
    <s v="Kerala"/>
    <s v="Thiruvananthapuram"/>
    <x v="8"/>
    <x v="0"/>
  </r>
  <r>
    <s v="B-25983"/>
    <d v="2018-01-30T00:00:00"/>
    <s v="Atul"/>
    <s v="Delhi"/>
    <s v="Delhi"/>
    <x v="2"/>
    <x v="0"/>
  </r>
  <r>
    <s v="B-25979"/>
    <d v="2018-01-27T00:00:00"/>
    <s v="Shivangi"/>
    <s v="Madhya Pradesh"/>
    <s v="Indore"/>
    <x v="2"/>
    <x v="0"/>
  </r>
  <r>
    <s v="B-26054"/>
    <d v="2018-03-10T00:00:00"/>
    <s v="Mayank"/>
    <s v="Maharashtra"/>
    <s v="Mumbai"/>
    <x v="0"/>
    <x v="0"/>
  </r>
  <r>
    <s v="B-26078"/>
    <d v="2018-03-22T00:00:00"/>
    <s v="Kasheen"/>
    <s v="West Bengal"/>
    <s v="Kolkata"/>
    <x v="0"/>
    <x v="0"/>
  </r>
  <r>
    <s v="B-25787"/>
    <d v="2018-09-20T00:00:00"/>
    <s v="Asish"/>
    <s v="Jammu and Kashmir"/>
    <s v="Kashmir"/>
    <x v="8"/>
    <x v="0"/>
  </r>
  <r>
    <s v="B-25682"/>
    <d v="2018-06-07T00:00:00"/>
    <s v="Krutika"/>
    <s v="Bihar"/>
    <s v="Patna"/>
    <x v="9"/>
    <x v="0"/>
  </r>
  <r>
    <s v="B-25962"/>
    <d v="2018-01-19T00:00:00"/>
    <s v="Tejeswini"/>
    <s v="Maharashtra"/>
    <s v="Pune"/>
    <x v="2"/>
    <x v="0"/>
  </r>
  <r>
    <s v="B-25750"/>
    <d v="2018-08-14T00:00:00"/>
    <s v="Priyanshu"/>
    <s v="Madhya Pradesh"/>
    <s v="Indore"/>
    <x v="4"/>
    <x v="0"/>
  </r>
  <r>
    <s v="B-25828"/>
    <d v="2018-10-24T00:00:00"/>
    <s v="Nikita"/>
    <s v="Punjab"/>
    <s v="Chandigarh"/>
    <x v="5"/>
    <x v="0"/>
  </r>
  <r>
    <s v="B-25622"/>
    <d v="2018-04-22T00:00:00"/>
    <s v="Monisha"/>
    <s v="Rajasthan"/>
    <s v="Jaipur"/>
    <x v="6"/>
    <x v="0"/>
  </r>
  <r>
    <s v="B-25751"/>
    <d v="2018-08-14T00:00:00"/>
    <s v="Nishant"/>
    <s v="Maharashtra"/>
    <s v="Mumbai"/>
    <x v="4"/>
    <x v="0"/>
  </r>
  <r>
    <s v="B-25685"/>
    <d v="2018-06-10T00:00:00"/>
    <s v="Sheetal"/>
    <s v="Madhya Pradesh"/>
    <s v="Indore"/>
    <x v="9"/>
    <x v="0"/>
  </r>
  <r>
    <s v="B-26010"/>
    <d v="2018-02-11T00:00:00"/>
    <s v="Kartikay"/>
    <s v="Bihar"/>
    <s v="Patna"/>
    <x v="1"/>
    <x v="0"/>
  </r>
  <r>
    <s v="B-26035"/>
    <d v="2018-02-23T00:00:00"/>
    <s v="Pinky"/>
    <s v="Jammu and Kashmir"/>
    <s v="Kashmir"/>
    <x v="1"/>
    <x v="0"/>
  </r>
  <r>
    <s v="B-25698"/>
    <d v="2018-06-23T00:00:00"/>
    <s v="Amisha"/>
    <s v="Tamil Nadu"/>
    <s v="Chennai"/>
    <x v="9"/>
    <x v="0"/>
  </r>
  <r>
    <s v="B-25966"/>
    <d v="2018-01-21T00:00:00"/>
    <s v="Soumya"/>
    <s v="Rajasthan"/>
    <s v="Udaipur"/>
    <x v="2"/>
    <x v="0"/>
  </r>
  <r>
    <s v="B-25832"/>
    <d v="2018-10-28T00:00:00"/>
    <s v="Harshita"/>
    <s v="Maharashtra"/>
    <s v="Mumbai"/>
    <x v="5"/>
    <x v="0"/>
  </r>
  <r>
    <s v="B-25743"/>
    <d v="2018-08-07T00:00:00"/>
    <s v="Aman"/>
    <s v="Nagaland"/>
    <s v="Kohima"/>
    <x v="4"/>
    <x v="0"/>
  </r>
  <r>
    <s v="B-25886"/>
    <d v="2018-11-28T00:00:00"/>
    <s v="Brijesh"/>
    <s v="Rajasthan"/>
    <s v="Udaipur"/>
    <x v="7"/>
    <x v="0"/>
  </r>
  <r>
    <s v="B-25975"/>
    <d v="2018-01-25T00:00:00"/>
    <s v="Priyanka"/>
    <s v="Uttar Pradesh"/>
    <s v="Prayagraj"/>
    <x v="2"/>
    <x v="0"/>
  </r>
  <r>
    <s v="B-26098"/>
    <d v="2018-03-29T00:00:00"/>
    <s v="Pinky"/>
    <s v="Jammu and Kashmir"/>
    <s v="Kashmir"/>
    <x v="0"/>
    <x v="0"/>
  </r>
  <r>
    <s v="B-25614"/>
    <d v="2018-04-13T00:00:00"/>
    <s v="Vandana"/>
    <s v="Himachal Pradesh"/>
    <s v="Simla"/>
    <x v="6"/>
    <x v="0"/>
  </r>
  <r>
    <s v="B-25726"/>
    <d v="2018-07-21T00:00:00"/>
    <s v="Kiran"/>
    <s v="Maharashtra"/>
    <s v="Mumbai"/>
    <x v="10"/>
    <x v="0"/>
  </r>
  <r>
    <s v="B-26050"/>
    <d v="2018-03-06T00:00:00"/>
    <s v="Paridhi"/>
    <s v="Rajasthan"/>
    <s v="Jaipur"/>
    <x v="0"/>
    <x v="0"/>
  </r>
  <r>
    <s v="B-25609"/>
    <d v="2018-04-09T00:00:00"/>
    <s v="Jitesh"/>
    <s v="Uttar Pradesh"/>
    <s v="Lucknow"/>
    <x v="6"/>
    <x v="0"/>
  </r>
  <r>
    <s v="B-25741"/>
    <d v="2018-08-03T00:00:00"/>
    <s v="Navdeep"/>
    <s v="Madhya Pradesh"/>
    <s v="Indore"/>
    <x v="4"/>
    <x v="0"/>
  </r>
  <r>
    <s v="B-25956"/>
    <d v="2018-01-17T00:00:00"/>
    <s v="Shreya"/>
    <s v="Maharashtra"/>
    <s v="Mumbai"/>
    <x v="2"/>
    <x v="0"/>
  </r>
  <r>
    <s v="B-25689"/>
    <d v="2018-06-14T00:00:00"/>
    <s v="Bhaggyasree"/>
    <s v="Maharashtra"/>
    <s v="Mumbai"/>
    <x v="9"/>
    <x v="0"/>
  </r>
  <r>
    <s v="B-25939"/>
    <d v="2018-01-05T00:00:00"/>
    <s v="Vineet"/>
    <s v="Sikkim"/>
    <s v="Gangtok"/>
    <x v="2"/>
    <x v="0"/>
  </r>
  <r>
    <s v="B-25890"/>
    <d v="2018-12-04T00:00:00"/>
    <s v="Divyansha"/>
    <s v="Maharashtra"/>
    <s v="Mumbai"/>
    <x v="3"/>
    <x v="0"/>
  </r>
  <r>
    <s v="B-25814"/>
    <d v="2018-10-10T00:00:00"/>
    <s v="Swapnil"/>
    <s v="Madhya Pradesh"/>
    <s v="Indore"/>
    <x v="5"/>
    <x v="0"/>
  </r>
  <r>
    <s v="B-25718"/>
    <d v="2018-07-12T00:00:00"/>
    <s v="Anjali"/>
    <s v="Maharashtra"/>
    <s v="Mumbai"/>
    <x v="10"/>
    <x v="0"/>
  </r>
  <r>
    <s v="B-25914"/>
    <d v="2018-12-18T00:00:00"/>
    <s v="Kajal"/>
    <s v="Delhi"/>
    <s v="Delhi"/>
    <x v="3"/>
    <x v="0"/>
  </r>
  <r>
    <s v="B-25903"/>
    <d v="2018-12-10T00:00:00"/>
    <s v="Amlan"/>
    <s v="Madhya Pradesh"/>
    <s v="Indore"/>
    <x v="3"/>
    <x v="0"/>
  </r>
  <r>
    <s v="B-26096"/>
    <d v="2018-03-28T00:00:00"/>
    <s v="Atharv"/>
    <s v="West Bengal"/>
    <s v="Kolkata"/>
    <x v="0"/>
    <x v="0"/>
  </r>
  <r>
    <s v="B-25654"/>
    <d v="2018-05-10T00:00:00"/>
    <s v="Sabah"/>
    <s v="Maharashtra"/>
    <s v="Mumbai"/>
    <x v="11"/>
    <x v="0"/>
  </r>
  <r>
    <s v="B-26076"/>
    <d v="2018-03-21T00:00:00"/>
    <s v="Jahan"/>
    <s v="Madhya Pradesh"/>
    <s v="Bhopal"/>
    <x v="0"/>
    <x v="0"/>
  </r>
  <r>
    <s v="B-25961"/>
    <d v="2018-01-18T00:00:00"/>
    <s v="Surbhi"/>
    <s v="Gujarat"/>
    <s v="Ahmedabad"/>
    <x v="2"/>
    <x v="0"/>
  </r>
  <r>
    <s v="B-25854"/>
    <d v="2018-11-08T00:00:00"/>
    <s v="Shubham"/>
    <s v="Maharashtra"/>
    <s v="Pune"/>
    <x v="7"/>
    <x v="0"/>
  </r>
  <r>
    <s v="B-25642"/>
    <d v="2018-04-28T00:00:00"/>
    <s v="Ajay"/>
    <s v="Karnataka"/>
    <s v="Bangalore"/>
    <x v="6"/>
    <x v="0"/>
  </r>
  <r>
    <s v="B-25683"/>
    <d v="2018-06-08T00:00:00"/>
    <s v="Shreya"/>
    <s v="Kerala"/>
    <s v="Thiruvananthapuram"/>
    <x v="9"/>
    <x v="0"/>
  </r>
  <r>
    <s v="B-26016"/>
    <d v="2018-02-14T00:00:00"/>
    <s v="Hazel"/>
    <s v="Karnataka"/>
    <s v="Bangalore"/>
    <x v="1"/>
    <x v="0"/>
  </r>
  <r>
    <s v="B-26034"/>
    <d v="2018-02-23T00:00:00"/>
    <s v="Vini"/>
    <s v="Karnataka"/>
    <s v="Bangalore"/>
    <x v="1"/>
    <x v="0"/>
  </r>
  <r>
    <s v="B-26056"/>
    <d v="2018-03-10T00:00:00"/>
    <s v="Sonal"/>
    <s v="Bihar"/>
    <s v="Patna"/>
    <x v="0"/>
    <x v="0"/>
  </r>
  <r>
    <s v="B-25819"/>
    <d v="2018-10-15T00:00:00"/>
    <s v="Ankur"/>
    <s v="Madhya Pradesh"/>
    <s v="Bhopal"/>
    <x v="5"/>
    <x v="0"/>
  </r>
  <r>
    <s v="B-25715"/>
    <d v="2018-07-10T00:00:00"/>
    <s v="Srishti"/>
    <s v="Jammu and Kashmir"/>
    <s v="Kashmir"/>
    <x v="10"/>
    <x v="0"/>
  </r>
  <r>
    <s v="B-25933"/>
    <d v="2018-01-04T00:00:00"/>
    <s v="Shikhar"/>
    <s v="Maharashtra"/>
    <s v="Mumbai"/>
    <x v="2"/>
    <x v="0"/>
  </r>
  <r>
    <s v="B-26014"/>
    <d v="2018-02-13T00:00:00"/>
    <s v="Divsha"/>
    <s v="Rajasthan"/>
    <s v="Jaipur"/>
    <x v="1"/>
    <x v="0"/>
  </r>
  <r>
    <s v="B-25655"/>
    <d v="2018-05-11T00:00:00"/>
    <s v="Nida"/>
    <s v="Madhya Pradesh"/>
    <s v="Indore"/>
    <x v="11"/>
    <x v="0"/>
  </r>
  <r>
    <s v="B-25816"/>
    <d v="2018-10-12T00:00:00"/>
    <s v="Mane"/>
    <s v="Andhra Pradesh"/>
    <s v="Hyderabad"/>
    <x v="5"/>
    <x v="0"/>
  </r>
  <r>
    <s v="B-25634"/>
    <d v="2018-04-26T00:00:00"/>
    <s v="Sanjay"/>
    <s v="Goa"/>
    <s v="Goa"/>
    <x v="6"/>
    <x v="0"/>
  </r>
  <r>
    <s v="B-25895"/>
    <d v="2018-12-04T00:00:00"/>
    <s v="Sathya"/>
    <s v="Gujarat"/>
    <s v="Surat"/>
    <x v="3"/>
    <x v="0"/>
  </r>
  <r>
    <s v="B-25687"/>
    <d v="2018-06-11T00:00:00"/>
    <s v="Sanjna"/>
    <s v="Maharashtra"/>
    <s v="Mumbai"/>
    <x v="9"/>
    <x v="0"/>
  </r>
  <r>
    <s v="B-25662"/>
    <d v="2018-05-17T00:00:00"/>
    <s v="Sweta"/>
    <s v="Maharashtra"/>
    <s v="Mumbai"/>
    <x v="11"/>
    <x v="0"/>
  </r>
  <r>
    <s v="B-25635"/>
    <d v="2018-04-26T00:00:00"/>
    <s v="Nidhi"/>
    <s v="Nagaland"/>
    <s v="Kohima"/>
    <x v="6"/>
    <x v="0"/>
  </r>
  <r>
    <s v="B-26060"/>
    <d v="2018-03-13T00:00:00"/>
    <s v="Chirag"/>
    <s v="Maharashtra"/>
    <s v="Mumbai"/>
    <x v="0"/>
    <x v="0"/>
  </r>
  <r>
    <s v="B-26045"/>
    <d v="2018-03-03T00:00:00"/>
    <s v="Nidhi"/>
    <s v="Nagaland"/>
    <s v="Kohima"/>
    <x v="0"/>
    <x v="0"/>
  </r>
  <r>
    <s v="B-25770"/>
    <d v="2018-09-02T00:00:00"/>
    <s v="Sakshi"/>
    <s v="Madhya Pradesh"/>
    <s v="Indore"/>
    <x v="8"/>
    <x v="0"/>
  </r>
  <r>
    <s v="B-25744"/>
    <d v="2018-08-08T00:00:00"/>
    <s v="Devendra"/>
    <s v="Andhra Pradesh"/>
    <s v="Hyderabad"/>
    <x v="4"/>
    <x v="0"/>
  </r>
  <r>
    <s v="B-25618"/>
    <d v="2018-04-18T00:00:00"/>
    <s v="Manju"/>
    <s v="Andhra Pradesh"/>
    <s v="Hyderabad"/>
    <x v="6"/>
    <x v="0"/>
  </r>
  <r>
    <s v="B-25958"/>
    <d v="2018-01-18T00:00:00"/>
    <s v="Aparajita"/>
    <s v="West Bengal"/>
    <s v="Kolkata"/>
    <x v="2"/>
    <x v="0"/>
  </r>
  <r>
    <s v="B-25769"/>
    <d v="2018-09-02T00:00:00"/>
    <s v="Surbhi"/>
    <s v="Maharashtra"/>
    <s v="Mumbai"/>
    <x v="8"/>
    <x v="0"/>
  </r>
  <r>
    <s v="B-25619"/>
    <d v="2018-04-18T00:00:00"/>
    <s v="Ramesh"/>
    <s v="Gujarat"/>
    <s v="Ahmedabad"/>
    <x v="6"/>
    <x v="0"/>
  </r>
  <r>
    <s v="B-25688"/>
    <d v="2018-06-11T00:00:00"/>
    <s v="Swetha"/>
    <s v="Madhya Pradesh"/>
    <s v="Indore"/>
    <x v="9"/>
    <x v="0"/>
  </r>
  <r>
    <s v="B-25829"/>
    <d v="2018-10-25T00:00:00"/>
    <s v="Apoorva"/>
    <s v="Haryana"/>
    <s v="Chandigarh"/>
    <x v="5"/>
    <x v="0"/>
  </r>
  <r>
    <s v="B-26036"/>
    <d v="2018-02-23T00:00:00"/>
    <s v="Bhishm"/>
    <s v="Maharashtra"/>
    <s v="Mumbai"/>
    <x v="1"/>
    <x v="0"/>
  </r>
  <r>
    <s v="B-25714"/>
    <d v="2018-07-09T00:00:00"/>
    <s v="Stuti"/>
    <s v="Karnataka"/>
    <s v="Bangalore"/>
    <x v="10"/>
    <x v="0"/>
  </r>
  <r>
    <s v="B-25989"/>
    <d v="2018-02-01T00:00:00"/>
    <s v="Anjali"/>
    <s v="Delhi"/>
    <s v="Delhi"/>
    <x v="1"/>
    <x v="0"/>
  </r>
  <r>
    <s v="B-25849"/>
    <d v="2018-11-04T00:00:00"/>
    <s v="K"/>
    <s v="Sikkim"/>
    <s v="Gangtok"/>
    <x v="7"/>
    <x v="0"/>
  </r>
  <r>
    <s v="B-25851"/>
    <d v="2018-11-06T00:00:00"/>
    <s v="Kushal"/>
    <s v="Nagaland"/>
    <s v="Kohima"/>
    <x v="7"/>
    <x v="0"/>
  </r>
  <r>
    <s v="B-25782"/>
    <d v="2018-09-15T00:00:00"/>
    <s v="Aayushi"/>
    <s v="Maharashtra"/>
    <s v="Mumbai"/>
    <x v="8"/>
    <x v="0"/>
  </r>
  <r>
    <s v="B-25621"/>
    <d v="2018-04-20T00:00:00"/>
    <s v="Deepak"/>
    <s v="Madhya Pradesh"/>
    <s v="Bhopal"/>
    <x v="6"/>
    <x v="0"/>
  </r>
  <r>
    <s v="B-25996"/>
    <d v="2018-02-04T00:00:00"/>
    <s v="Prashant"/>
    <s v="Delhi"/>
    <s v="Delhi"/>
    <x v="1"/>
    <x v="0"/>
  </r>
  <r>
    <s v="B-25678"/>
    <d v="2018-06-03T00:00:00"/>
    <s v="Bathina"/>
    <s v="Karnataka"/>
    <s v="Bangalore"/>
    <x v="9"/>
    <x v="0"/>
  </r>
  <r>
    <s v="B-25727"/>
    <d v="2018-07-22T00:00:00"/>
    <s v="Turumella"/>
    <s v="Madhya Pradesh"/>
    <s v="Indore"/>
    <x v="10"/>
    <x v="0"/>
  </r>
  <r>
    <s v="B-26018"/>
    <d v="2018-02-14T00:00:00"/>
    <s v="Aarushi"/>
    <s v="Tamil Nadu"/>
    <s v="Chennai"/>
    <x v="1"/>
    <x v="0"/>
  </r>
  <r>
    <s v="B-25760"/>
    <d v="2018-08-24T00:00:00"/>
    <s v="Pooja"/>
    <s v="Goa"/>
    <s v="Goa"/>
    <x v="4"/>
    <x v="0"/>
  </r>
  <r>
    <s v="B-25804"/>
    <d v="2018-10-05T00:00:00"/>
    <s v="Sudheer"/>
    <s v="Karnataka"/>
    <s v="Bangalore"/>
    <x v="5"/>
    <x v="0"/>
  </r>
  <r>
    <s v="B-25754"/>
    <d v="2018-08-18T00:00:00"/>
    <s v="Akshay"/>
    <s v="Bihar"/>
    <s v="Patna"/>
    <x v="4"/>
    <x v="0"/>
  </r>
  <r>
    <s v="B-26020"/>
    <d v="2018-02-16T00:00:00"/>
    <s v="Yogesh"/>
    <s v="Bihar"/>
    <s v="Patna"/>
    <x v="1"/>
    <x v="0"/>
  </r>
  <r>
    <s v="B-25640"/>
    <d v="2018-04-27T00:00:00"/>
    <s v="Paridhi"/>
    <s v="Rajasthan"/>
    <s v="Jaipur"/>
    <x v="6"/>
    <x v="0"/>
  </r>
  <r>
    <s v="B-25789"/>
    <d v="2018-09-22T00:00:00"/>
    <s v="Akshay"/>
    <s v="Uttar Pradesh"/>
    <s v="Lucknow"/>
    <x v="8"/>
    <x v="0"/>
  </r>
  <r>
    <s v="B-26072"/>
    <d v="2018-03-20T00:00:00"/>
    <s v="Sweta"/>
    <s v="Maharashtra"/>
    <s v="Mumbai"/>
    <x v="0"/>
    <x v="0"/>
  </r>
  <r>
    <s v="B-26007"/>
    <d v="2018-02-09T00:00:00"/>
    <s v="Shubham"/>
    <s v="Jammu and Kashmir"/>
    <s v="Kashmir"/>
    <x v="1"/>
    <x v="0"/>
  </r>
  <r>
    <s v="B-26087"/>
    <d v="2018-03-26T00:00:00"/>
    <s v="Vandana"/>
    <s v="Himachal Pradesh"/>
    <s v="Simla"/>
    <x v="0"/>
    <x v="0"/>
  </r>
  <r>
    <s v="B-25617"/>
    <d v="2018-04-17T00:00:00"/>
    <s v="Sagar"/>
    <s v="Nagaland"/>
    <s v="Kohima"/>
    <x v="6"/>
    <x v="0"/>
  </r>
  <r>
    <s v="B-25984"/>
    <d v="2018-01-30T00:00:00"/>
    <s v="Kajal"/>
    <s v="Delhi"/>
    <s v="Delhi"/>
    <x v="2"/>
    <x v="0"/>
  </r>
  <r>
    <s v="B-25767"/>
    <d v="2018-08-31T00:00:00"/>
    <s v="Ashmeet"/>
    <s v="West Bengal"/>
    <s v="Kolkata"/>
    <x v="4"/>
    <x v="0"/>
  </r>
  <r>
    <s v="B-25987"/>
    <d v="2018-01-31T00:00:00"/>
    <s v="Manjiri"/>
    <s v="Delhi"/>
    <s v="Delhi"/>
    <x v="2"/>
    <x v="0"/>
  </r>
  <r>
    <s v="B-25840"/>
    <d v="2018-10-31T00:00:00"/>
    <s v="Sneha"/>
    <s v="Karnataka"/>
    <s v="Bangalore"/>
    <x v="5"/>
    <x v="0"/>
  </r>
  <r>
    <s v="B-25663"/>
    <d v="2018-05-19T00:00:00"/>
    <s v="Pournamasi"/>
    <s v="Madhya Pradesh"/>
    <s v="Indore"/>
    <x v="11"/>
    <x v="0"/>
  </r>
  <r>
    <s v="B-26030"/>
    <d v="2018-02-21T00:00:00"/>
    <s v="Sarita"/>
    <s v="Maharashtra"/>
    <s v="Pune"/>
    <x v="1"/>
    <x v="0"/>
  </r>
  <r>
    <s v="B-25947"/>
    <d v="2018-01-13T00:00:00"/>
    <s v="Chetan"/>
    <s v="Gujarat"/>
    <s v="Ahmedabad"/>
    <x v="2"/>
    <x v="0"/>
  </r>
  <r>
    <s v="B-25896"/>
    <d v="2018-12-05T00:00:00"/>
    <s v="Aman"/>
    <s v="Maharashtra"/>
    <s v="Mumbai"/>
    <x v="3"/>
    <x v="0"/>
  </r>
  <r>
    <s v="B-26009"/>
    <d v="2018-02-10T00:00:00"/>
    <s v="Komal"/>
    <s v="Uttar Pradesh"/>
    <s v="Lucknow"/>
    <x v="1"/>
    <x v="0"/>
  </r>
  <r>
    <s v="B-25876"/>
    <d v="2018-11-24T00:00:00"/>
    <s v="Bhosale"/>
    <s v="Punjab"/>
    <s v="Amritsar"/>
    <x v="7"/>
    <x v="0"/>
  </r>
  <r>
    <s v="B-25915"/>
    <d v="2018-12-19T00:00:00"/>
    <s v="Sukruta"/>
    <s v="Punjab"/>
    <s v="Amritsar"/>
    <x v="3"/>
    <x v="0"/>
  </r>
  <r>
    <s v="B-25795"/>
    <d v="2018-09-24T00:00:00"/>
    <s v="Sukant"/>
    <s v="Sikkim"/>
    <s v="Gangtok"/>
    <x v="8"/>
    <x v="0"/>
  </r>
  <r>
    <s v="B-26002"/>
    <d v="2018-02-08T00:00:00"/>
    <s v="Harsh"/>
    <s v="Delhi"/>
    <s v="Delhi"/>
    <x v="1"/>
    <x v="0"/>
  </r>
  <r>
    <s v="B-25645"/>
    <d v="2018-05-01T00:00:00"/>
    <s v="Yaanvi"/>
    <s v="Madhya Pradesh"/>
    <s v="Indore"/>
    <x v="11"/>
    <x v="0"/>
  </r>
  <r>
    <s v="B-25837"/>
    <d v="2018-10-29T00:00:00"/>
    <s v="Palak"/>
    <s v="Maharashtra"/>
    <s v="Mumbai"/>
    <x v="5"/>
    <x v="0"/>
  </r>
  <r>
    <s v="B-25612"/>
    <d v="2018-04-12T00:00:00"/>
    <s v="Shrichand"/>
    <s v="Punjab"/>
    <s v="Chandigarh"/>
    <x v="6"/>
    <x v="0"/>
  </r>
  <r>
    <s v="B-25812"/>
    <d v="2018-10-10T00:00:00"/>
    <s v="Kshitij"/>
    <s v="Madhya Pradesh"/>
    <s v="Indore"/>
    <x v="5"/>
    <x v="0"/>
  </r>
  <r>
    <s v="B-25843"/>
    <d v="2018-11-03T00:00:00"/>
    <s v="Mrunal"/>
    <s v="Maharashtra"/>
    <s v="Mumbai"/>
    <x v="7"/>
    <x v="0"/>
  </r>
  <r>
    <s v="B-26026"/>
    <d v="2018-02-19T00:00:00"/>
    <s v="Kanak"/>
    <s v="Goa"/>
    <s v="Goa"/>
    <x v="1"/>
    <x v="0"/>
  </r>
  <r>
    <s v="B-25773"/>
    <d v="2018-09-06T00:00:00"/>
    <s v="Shreya"/>
    <s v="Kerala"/>
    <s v="Thiruvananthapuram"/>
    <x v="8"/>
    <x v="0"/>
  </r>
  <r>
    <s v="B-25875"/>
    <d v="2018-11-24T00:00:00"/>
    <s v="Divyeshkumar"/>
    <s v="Uttar Pradesh"/>
    <s v="Prayagraj"/>
    <x v="7"/>
    <x v="0"/>
  </r>
  <r>
    <s v="B-25660"/>
    <d v="2018-05-16T00:00:00"/>
    <s v="Shruti"/>
    <s v="Karnataka"/>
    <s v="Bangalore"/>
    <x v="11"/>
    <x v="0"/>
  </r>
  <r>
    <s v="B-25918"/>
    <d v="2018-12-22T00:00:00"/>
    <s v="Karandeep"/>
    <s v="Madhya Pradesh"/>
    <s v="Indore"/>
    <x v="3"/>
    <x v="0"/>
  </r>
  <r>
    <s v="B-25971"/>
    <d v="2018-01-22T00:00:00"/>
    <s v="Mitali"/>
    <s v="Madhya Pradesh"/>
    <s v="Indore"/>
    <x v="2"/>
    <x v="0"/>
  </r>
  <r>
    <s v="B-26063"/>
    <d v="2018-03-15T00:00:00"/>
    <s v="Farah"/>
    <s v="Nagaland"/>
    <s v="Kohima"/>
    <x v="0"/>
    <x v="0"/>
  </r>
  <r>
    <s v="B-25867"/>
    <d v="2018-11-17T00:00:00"/>
    <s v="Ankit"/>
    <s v="Sikkim"/>
    <s v="Gangtok"/>
    <x v="7"/>
    <x v="0"/>
  </r>
  <r>
    <s v="B-25703"/>
    <d v="2018-06-28T00:00:00"/>
    <s v="Ekta"/>
    <s v="Madhya Pradesh"/>
    <s v="Indore"/>
    <x v="9"/>
    <x v="0"/>
  </r>
  <r>
    <s v="B-25661"/>
    <d v="2018-05-17T00:00:00"/>
    <s v="Subhashree"/>
    <s v="Jammu and Kashmir"/>
    <s v="Kashmir"/>
    <x v="11"/>
    <x v="0"/>
  </r>
  <r>
    <s v="B-25748"/>
    <d v="2018-08-12T00:00:00"/>
    <s v="Nitant"/>
    <s v="Rajasthan"/>
    <s v="Jaipur"/>
    <x v="4"/>
    <x v="0"/>
  </r>
  <r>
    <s v="B-25766"/>
    <d v="2018-08-30T00:00:00"/>
    <s v="Surabhi"/>
    <s v="Rajasthan"/>
    <s v="Jaipur"/>
    <x v="4"/>
    <x v="0"/>
  </r>
  <r>
    <s v="B-25861"/>
    <d v="2018-11-15T00:00:00"/>
    <s v="Aayush"/>
    <s v="Uttar Pradesh"/>
    <s v="Lucknow"/>
    <x v="7"/>
    <x v="0"/>
  </r>
  <r>
    <s v="B-26058"/>
    <d v="2018-03-11T00:00:00"/>
    <s v="Aditya"/>
    <s v="Punjab"/>
    <s v="Chandigarh"/>
    <x v="0"/>
    <x v="0"/>
  </r>
  <r>
    <s v="B-25808"/>
    <d v="2018-10-08T00:00:00"/>
    <s v="Apsingekar"/>
    <s v="Bihar"/>
    <s v="Patna"/>
    <x v="5"/>
    <x v="0"/>
  </r>
  <r>
    <s v="B-25900"/>
    <d v="2018-12-09T00:00:00"/>
    <s v="Anand"/>
    <s v="Punjab"/>
    <s v="Amritsar"/>
    <x v="3"/>
    <x v="0"/>
  </r>
  <r>
    <s v="B-26084"/>
    <d v="2018-03-25T00:00:00"/>
    <s v="Anita"/>
    <s v="Kerala"/>
    <s v="Thiruvananthapuram"/>
    <x v="0"/>
    <x v="0"/>
  </r>
  <r>
    <s v="B-25652"/>
    <d v="2018-05-08T00:00:00"/>
    <s v="Tushina"/>
    <s v="Goa"/>
    <s v="Goa"/>
    <x v="11"/>
    <x v="0"/>
  </r>
  <r>
    <s v="B-26008"/>
    <d v="2018-02-09T00:00:00"/>
    <s v="Kalyani"/>
    <s v="Tamil Nadu"/>
    <s v="Chennai"/>
    <x v="1"/>
    <x v="0"/>
  </r>
  <r>
    <s v="B-25799"/>
    <d v="2018-10-01T00:00:00"/>
    <s v="Divyansh"/>
    <s v="Gujarat"/>
    <s v="Ahmedabad"/>
    <x v="5"/>
    <x v="0"/>
  </r>
  <r>
    <s v="B-25927"/>
    <d v="2018-12-31T00:00:00"/>
    <s v="Shreya"/>
    <s v="Uttar Pradesh"/>
    <s v="Lucknow"/>
    <x v="3"/>
    <x v="0"/>
  </r>
  <r>
    <s v="B-25985"/>
    <d v="2018-01-31T00:00:00"/>
    <s v="Ginny"/>
    <s v="Madhya Pradesh"/>
    <s v="Indore"/>
    <x v="2"/>
    <x v="0"/>
  </r>
  <r>
    <s v="B-25994"/>
    <d v="2018-02-03T00:00:00"/>
    <s v="Omkar"/>
    <s v="Delhi"/>
    <s v="Delhi"/>
    <x v="1"/>
    <x v="0"/>
  </r>
  <r>
    <s v="B-25620"/>
    <d v="2018-04-20T00:00:00"/>
    <s v="Sarita"/>
    <s v="Maharashtra"/>
    <s v="Pune"/>
    <x v="6"/>
    <x v="0"/>
  </r>
  <r>
    <s v="B-25712"/>
    <d v="2018-07-07T00:00:00"/>
    <s v="Adhvaita"/>
    <s v="Rajasthan"/>
    <s v="Jaipur"/>
    <x v="10"/>
    <x v="0"/>
  </r>
  <r>
    <s v="B-25976"/>
    <d v="2018-01-25T00:00:00"/>
    <s v="Piyam"/>
    <s v="Punjab"/>
    <s v="Amritsar"/>
    <x v="2"/>
    <x v="0"/>
  </r>
  <r>
    <s v="B-26068"/>
    <d v="2018-03-16T00:00:00"/>
    <s v="Shefali"/>
    <s v="Rajasthan"/>
    <s v="Jaipur"/>
    <x v="0"/>
    <x v="0"/>
  </r>
  <r>
    <s v="B-25721"/>
    <d v="2018-07-16T00:00:00"/>
    <s v="Anchal"/>
    <s v="Haryana"/>
    <s v="Chandigarh"/>
    <x v="10"/>
    <x v="0"/>
  </r>
  <r>
    <s v="B-25863"/>
    <d v="2018-11-15T00:00:00"/>
    <s v="Manibalan"/>
    <s v="Kerala"/>
    <s v="Thiruvananthapuram"/>
    <x v="7"/>
    <x v="0"/>
  </r>
  <r>
    <s v="B-25991"/>
    <d v="2018-02-03T00:00:00"/>
    <s v="Mansi"/>
    <s v="Madhya Pradesh"/>
    <s v="Indore"/>
    <x v="1"/>
    <x v="0"/>
  </r>
  <r>
    <s v="B-25737"/>
    <d v="2018-08-01T00:00:00"/>
    <s v="Shubham"/>
    <s v="Madhya Pradesh"/>
    <s v="Indore"/>
    <x v="4"/>
    <x v="0"/>
  </r>
  <r>
    <s v="B-26043"/>
    <d v="2018-03-01T00:00:00"/>
    <s v="Amit"/>
    <s v="Sikkim"/>
    <s v="Gangtok"/>
    <x v="0"/>
    <x v="0"/>
  </r>
  <r>
    <s v="B-25977"/>
    <d v="2018-01-27T00:00:00"/>
    <s v="Aayushi"/>
    <s v="Gujarat"/>
    <s v="Surat"/>
    <x v="2"/>
    <x v="0"/>
  </r>
  <r>
    <s v="B-25908"/>
    <d v="2018-12-12T00:00:00"/>
    <s v="Pradeep"/>
    <s v="Delhi"/>
    <s v="Delhi"/>
    <x v="3"/>
    <x v="0"/>
  </r>
  <r>
    <s v="B-25941"/>
    <d v="2018-01-07T00:00:00"/>
    <s v="Jaideep"/>
    <s v="Nagaland"/>
    <s v="Kohima"/>
    <x v="2"/>
    <x v="0"/>
  </r>
  <r>
    <s v="B-25794"/>
    <d v="2018-09-24T00:00:00"/>
    <s v="Aditya"/>
    <s v="Himachal Pradesh"/>
    <s v="Simla"/>
    <x v="8"/>
    <x v="0"/>
  </r>
  <r>
    <s v="B-26041"/>
    <d v="2018-02-27T00:00:00"/>
    <s v="Ritu"/>
    <s v="Haryana"/>
    <s v="Chandigarh"/>
    <x v="1"/>
    <x v="0"/>
  </r>
  <r>
    <s v="B-25695"/>
    <d v="2018-06-18T00:00:00"/>
    <s v="Suhani"/>
    <s v="West Bengal"/>
    <s v="Kolkata"/>
    <x v="9"/>
    <x v="0"/>
  </r>
  <r>
    <s v="B-25960"/>
    <d v="2018-01-18T00:00:00"/>
    <s v="Shreya"/>
    <s v="Andhra Pradesh"/>
    <s v="Hyderabad"/>
    <x v="2"/>
    <x v="0"/>
  </r>
  <r>
    <s v="B-26037"/>
    <d v="2018-02-23T00:00:00"/>
    <s v="Hitika"/>
    <s v="Madhya Pradesh"/>
    <s v="Indore"/>
    <x v="1"/>
    <x v="0"/>
  </r>
  <r>
    <s v="B-25921"/>
    <d v="2018-12-25T00:00:00"/>
    <s v="Sandra"/>
    <s v="Punjab"/>
    <s v="Amritsar"/>
    <x v="3"/>
    <x v="0"/>
  </r>
  <r>
    <s v="B-25944"/>
    <d v="2018-01-10T00:00:00"/>
    <s v="Syed"/>
    <s v="Maharashtra"/>
    <s v="Pune"/>
    <x v="2"/>
    <x v="0"/>
  </r>
  <r>
    <s v="B-25724"/>
    <d v="2018-07-19T00:00:00"/>
    <s v="Sheetal"/>
    <s v="Madhya Pradesh"/>
    <s v="Indore"/>
    <x v="10"/>
    <x v="0"/>
  </r>
  <r>
    <s v="B-26024"/>
    <d v="2018-02-19T00:00:00"/>
    <s v="Vandana"/>
    <s v="Himachal Pradesh"/>
    <s v="Simla"/>
    <x v="1"/>
    <x v="0"/>
  </r>
  <r>
    <s v="B-25694"/>
    <d v="2018-06-18T00:00:00"/>
    <s v="Subhasmita"/>
    <s v="Rajasthan"/>
    <s v="Jaipur"/>
    <x v="9"/>
    <x v="0"/>
  </r>
  <r>
    <s v="B-25665"/>
    <d v="2018-05-21T00:00:00"/>
    <s v="Chayanika"/>
    <s v="Kerala"/>
    <s v="Thiruvananthapuram"/>
    <x v="11"/>
    <x v="0"/>
  </r>
  <r>
    <s v="B-26004"/>
    <d v="2018-02-08T00:00:00"/>
    <s v="Nandita"/>
    <s v="Rajasthan"/>
    <s v="Jaipur"/>
    <x v="1"/>
    <x v="0"/>
  </r>
  <r>
    <s v="B-25611"/>
    <d v="2018-04-11T00:00:00"/>
    <s v="Anita"/>
    <s v="Kerala"/>
    <s v="Thiruvananthapuram"/>
    <x v="6"/>
    <x v="0"/>
  </r>
  <r>
    <s v="B-25901"/>
    <d v="2018-12-10T00:00:00"/>
    <s v="Suraj"/>
    <s v="Gujarat"/>
    <s v="Surat"/>
    <x v="3"/>
    <x v="0"/>
  </r>
  <r>
    <s v="B-25623"/>
    <d v="2018-04-22T00:00:00"/>
    <s v="Atharv"/>
    <s v="West Bengal"/>
    <s v="Kolkata"/>
    <x v="6"/>
    <x v="0"/>
  </r>
  <r>
    <s v="B-25713"/>
    <d v="2018-07-08T00:00:00"/>
    <s v="Raksha"/>
    <s v="West Bengal"/>
    <s v="Kolkata"/>
    <x v="10"/>
    <x v="0"/>
  </r>
  <r>
    <s v="B-26091"/>
    <d v="2018-03-27T00:00:00"/>
    <s v="Manju"/>
    <s v="Andhra Pradesh"/>
    <s v="Hyderabad"/>
    <x v="0"/>
    <x v="0"/>
  </r>
  <r>
    <s v="B-25604"/>
    <d v="2018-04-03T00:00:00"/>
    <s v="Divsha"/>
    <s v="Rajasthan"/>
    <s v="Jaipur"/>
    <x v="6"/>
    <x v="0"/>
  </r>
  <r>
    <s v="B-25827"/>
    <d v="2018-10-23T00:00:00"/>
    <s v="Sheetal"/>
    <s v="Madhya Pradesh"/>
    <s v="Indore"/>
    <x v="5"/>
    <x v="0"/>
  </r>
  <r>
    <s v="B-25835"/>
    <d v="2018-10-29T00:00:00"/>
    <s v="Moumita"/>
    <s v="Gujarat"/>
    <s v="Ahmedabad"/>
    <x v="5"/>
    <x v="0"/>
  </r>
  <r>
    <s v="B-26025"/>
    <d v="2018-02-19T00:00:00"/>
    <s v="Bhavna"/>
    <s v="Sikkim"/>
    <s v="Gangtok"/>
    <x v="1"/>
    <x v="0"/>
  </r>
  <r>
    <s v="B-25809"/>
    <d v="2018-10-09T00:00:00"/>
    <s v="Suman"/>
    <s v="Kerala"/>
    <s v="Thiruvananthapuram"/>
    <x v="5"/>
    <x v="0"/>
  </r>
  <r>
    <s v="B-25905"/>
    <d v="2018-12-11T00:00:00"/>
    <s v="Bhargav"/>
    <s v="Delhi"/>
    <s v="Delhi"/>
    <x v="3"/>
    <x v="0"/>
  </r>
  <r>
    <s v="B-25948"/>
    <d v="2018-01-13T00:00:00"/>
    <s v="Mukund"/>
    <s v="Maharashtra"/>
    <s v="Pune"/>
    <x v="2"/>
    <x v="0"/>
  </r>
  <r>
    <s v="B-26094"/>
    <d v="2018-03-27T00:00:00"/>
    <s v="Deepak"/>
    <s v="Madhya Pradesh"/>
    <s v="Bhopal"/>
    <x v="0"/>
    <x v="0"/>
  </r>
  <r>
    <s v="B-25949"/>
    <d v="2018-01-13T00:00:00"/>
    <s v="Shantanu"/>
    <s v="Maharashtra"/>
    <s v="Mumbai"/>
    <x v="2"/>
    <x v="0"/>
  </r>
  <r>
    <s v="B-26001"/>
    <d v="2018-02-07T00:00:00"/>
    <s v="Patil"/>
    <s v="Delhi"/>
    <s v="Delhi"/>
    <x v="1"/>
    <x v="0"/>
  </r>
  <r>
    <s v="B-25771"/>
    <d v="2018-09-02T00:00:00"/>
    <s v="Vaibhavi"/>
    <s v="Uttar Pradesh"/>
    <s v="Lucknow"/>
    <x v="8"/>
    <x v="0"/>
  </r>
  <r>
    <s v="B-25659"/>
    <d v="2018-05-15T00:00:00"/>
    <s v="Sanskriti"/>
    <s v="West Bengal"/>
    <s v="Kolkata"/>
    <x v="11"/>
    <x v="0"/>
  </r>
  <r>
    <s v="B-25924"/>
    <d v="2018-12-28T00:00:00"/>
    <s v="Prajakta"/>
    <s v="Karnataka"/>
    <s v="Bangalore"/>
    <x v="3"/>
    <x v="0"/>
  </r>
  <r>
    <s v="B-25883"/>
    <d v="2018-11-27T00:00:00"/>
    <s v="Saptadeep"/>
    <s v="Gujarat"/>
    <s v="Surat"/>
    <x v="7"/>
    <x v="0"/>
  </r>
  <r>
    <s v="B-25946"/>
    <d v="2018-01-12T00:00:00"/>
    <s v="Saurabh"/>
    <s v="Andhra Pradesh"/>
    <s v="Hyderabad"/>
    <x v="2"/>
    <x v="0"/>
  </r>
  <r>
    <s v="B-26065"/>
    <d v="2018-03-16T00:00:00"/>
    <s v="Nida"/>
    <s v="Madhya Pradesh"/>
    <s v="Indore"/>
    <x v="0"/>
    <x v="0"/>
  </r>
  <r>
    <s v="B-26083"/>
    <d v="2018-03-24T00:00:00"/>
    <s v="Yogesh"/>
    <s v="Bihar"/>
    <s v="Patna"/>
    <x v="0"/>
    <x v="0"/>
  </r>
  <r>
    <s v="B-25725"/>
    <d v="2018-07-20T00:00:00"/>
    <s v="Anisha"/>
    <s v="Nagaland"/>
    <s v="Kohima"/>
    <x v="10"/>
    <x v="0"/>
  </r>
  <r>
    <s v="B-25630"/>
    <d v="2018-04-24T00:00:00"/>
    <s v="Sahil"/>
    <s v="Punjab"/>
    <s v="Chandigarh"/>
    <x v="6"/>
    <x v="0"/>
  </r>
  <r>
    <s v="B-25673"/>
    <d v="2018-05-28T00:00:00"/>
    <s v="Arsheen"/>
    <s v="Gujarat"/>
    <s v="Ahmedabad"/>
    <x v="11"/>
    <x v="0"/>
  </r>
  <r>
    <s v="B-25692"/>
    <d v="2018-06-17T00:00:00"/>
    <s v="Rashmi"/>
    <s v="Madhya Pradesh"/>
    <s v="Indore"/>
    <x v="9"/>
    <x v="0"/>
  </r>
  <r>
    <s v="B-25992"/>
    <d v="2018-02-03T00:00:00"/>
    <s v="Gaurav"/>
    <s v="Rajasthan"/>
    <s v="Udaipur"/>
    <x v="1"/>
    <x v="0"/>
  </r>
  <r>
    <s v="B-25765"/>
    <d v="2018-08-29T00:00:00"/>
    <s v="Meghana"/>
    <s v="Madhya Pradesh"/>
    <s v="Bhopal"/>
    <x v="4"/>
    <x v="0"/>
  </r>
  <r>
    <s v="B-25892"/>
    <d v="2018-12-04T00:00:00"/>
    <s v="Aditi"/>
    <s v="Rajasthan"/>
    <s v="Udaipur"/>
    <x v="3"/>
    <x v="0"/>
  </r>
  <r>
    <s v="B-26089"/>
    <d v="2018-03-26T00:00:00"/>
    <s v="Kanak"/>
    <s v="Goa"/>
    <s v="Goa"/>
    <x v="0"/>
    <x v="0"/>
  </r>
  <r>
    <s v="B-25780"/>
    <d v="2018-09-13T00:00:00"/>
    <s v="Teena"/>
    <s v="Andhra Pradesh"/>
    <s v="Hyderabad"/>
    <x v="8"/>
    <x v="0"/>
  </r>
  <r>
    <s v="B-25684"/>
    <d v="2018-06-09T00:00:00"/>
    <s v="Samiksha"/>
    <s v="Maharashtra"/>
    <s v="Mumbai"/>
    <x v="9"/>
    <x v="0"/>
  </r>
  <r>
    <s v="B-25739"/>
    <d v="2018-08-03T00:00:00"/>
    <s v="Daksh"/>
    <s v="Haryana"/>
    <s v="Chandigarh"/>
    <x v="4"/>
    <x v="0"/>
  </r>
  <r>
    <s v="B-25731"/>
    <d v="2018-07-26T00:00:00"/>
    <s v="Akash"/>
    <s v="West Bengal"/>
    <s v="Kolkata"/>
    <x v="10"/>
    <x v="0"/>
  </r>
  <r>
    <s v="B-25648"/>
    <d v="2018-05-04T00:00:00"/>
    <s v="Aditya"/>
    <s v="Punjab"/>
    <s v="Chandigarh"/>
    <x v="11"/>
    <x v="0"/>
  </r>
  <r>
    <s v="B-26038"/>
    <d v="2018-02-24T00:00:00"/>
    <s v="Pooja"/>
    <s v="Bihar"/>
    <s v="Patna"/>
    <x v="1"/>
    <x v="0"/>
  </r>
  <r>
    <s v="B-25700"/>
    <d v="2018-06-25T00:00:00"/>
    <s v="Shubhi"/>
    <s v="Maharashtra"/>
    <s v="Mumbai"/>
    <x v="9"/>
    <x v="0"/>
  </r>
  <r>
    <s v="B-26015"/>
    <d v="2018-02-14T00:00:00"/>
    <s v="Kasheen"/>
    <s v="West Bengal"/>
    <s v="Kolkata"/>
    <x v="1"/>
    <x v="0"/>
  </r>
  <r>
    <s v="B-25704"/>
    <d v="2018-06-29T00:00:00"/>
    <s v="Riya"/>
    <s v="Maharashtra"/>
    <s v="Mumbai"/>
    <x v="9"/>
    <x v="0"/>
  </r>
  <r>
    <s v="B-25811"/>
    <d v="2018-10-10T00:00:00"/>
    <s v="Utsav"/>
    <s v="Maharashtra"/>
    <s v="Mumbai"/>
    <x v="5"/>
    <x v="0"/>
  </r>
  <r>
    <s v="B-25821"/>
    <d v="2018-10-16T00:00:00"/>
    <s v="Ajay"/>
    <s v="West Bengal"/>
    <s v="Kolkata"/>
    <x v="5"/>
    <x v="0"/>
  </r>
  <r>
    <s v="B-25874"/>
    <d v="2018-11-24T00:00:00"/>
    <s v="Megha"/>
    <s v="Rajasthan"/>
    <s v="Udaipur"/>
    <x v="7"/>
    <x v="0"/>
  </r>
  <r>
    <s v="B-25668"/>
    <d v="2018-05-24T00:00:00"/>
    <s v="Rhea"/>
    <s v="Himachal Pradesh"/>
    <s v="Simla"/>
    <x v="11"/>
    <x v="0"/>
  </r>
  <r>
    <s v="B-25800"/>
    <d v="2018-10-01T00:00:00"/>
    <s v="Ishit"/>
    <s v="Maharashtra"/>
    <s v="Pune"/>
    <x v="5"/>
    <x v="0"/>
  </r>
  <r>
    <s v="B-25928"/>
    <d v="2018-01-01T00:00:00"/>
    <s v="Smriti"/>
    <s v="Bihar"/>
    <s v="Patna"/>
    <x v="2"/>
    <x v="0"/>
  </r>
  <r>
    <s v="B-26021"/>
    <d v="2018-02-17T00:00:00"/>
    <s v="Anita"/>
    <s v="Kerala"/>
    <s v="Thiruvananthapuram"/>
    <x v="1"/>
    <x v="0"/>
  </r>
  <r>
    <s v="B-26064"/>
    <d v="2018-03-16T00:00:00"/>
    <s v="Ankita"/>
    <s v="Maharashtra"/>
    <s v="Mumbai"/>
    <x v="0"/>
    <x v="0"/>
  </r>
  <r>
    <s v="B-25882"/>
    <d v="2018-11-26T00:00:00"/>
    <s v="Masurkar"/>
    <s v="Punjab"/>
    <s v="Amritsar"/>
    <x v="7"/>
    <x v="0"/>
  </r>
  <r>
    <s v="B-25891"/>
    <d v="2018-12-04T00:00:00"/>
    <s v="Shivani"/>
    <s v="Madhya Pradesh"/>
    <s v="Indore"/>
    <x v="3"/>
    <x v="0"/>
  </r>
  <r>
    <s v="B-25820"/>
    <d v="2018-10-16T00:00:00"/>
    <s v="Dheeraj"/>
    <s v="Rajasthan"/>
    <s v="Jaipur"/>
    <x v="5"/>
    <x v="0"/>
  </r>
  <r>
    <s v="B-25889"/>
    <d v="2018-12-03T00:00:00"/>
    <s v="Abhishek"/>
    <s v="Gujarat"/>
    <s v="Surat"/>
    <x v="3"/>
    <x v="0"/>
  </r>
  <r>
    <s v="B-25871"/>
    <d v="2018-11-21T00:00:00"/>
    <s v="Gunjal"/>
    <s v="Gujarat"/>
    <s v="Surat"/>
    <x v="7"/>
    <x v="0"/>
  </r>
  <r>
    <s v="B-25637"/>
    <d v="2018-04-26T00:00:00"/>
    <s v="Ashmi"/>
    <s v="Madhya Pradesh"/>
    <s v="Indore"/>
    <x v="6"/>
    <x v="0"/>
  </r>
  <r>
    <s v="B-25616"/>
    <d v="2018-04-15T00:00:00"/>
    <s v="Kanak"/>
    <s v="Goa"/>
    <s v="Goa"/>
    <x v="6"/>
    <x v="0"/>
  </r>
  <r>
    <s v="B-25972"/>
    <d v="2018-01-23T00:00:00"/>
    <s v="Jesslyn"/>
    <s v="Rajasthan"/>
    <s v="Udaipur"/>
    <x v="2"/>
    <x v="0"/>
  </r>
  <r>
    <s v="B-25805"/>
    <d v="2018-10-05T00:00:00"/>
    <s v="Ankit"/>
    <s v="Maharashtra"/>
    <s v="Mumbai"/>
    <x v="5"/>
    <x v="0"/>
  </r>
  <r>
    <s v="B-25860"/>
    <d v="2018-11-15T00:00:00"/>
    <s v="Akshay"/>
    <s v="Tamil Nadu"/>
    <s v="Chennai"/>
    <x v="7"/>
    <x v="0"/>
  </r>
  <r>
    <s v="B-26080"/>
    <d v="2018-03-22T00:00:00"/>
    <s v="Sonakshi"/>
    <s v="Jammu and Kashmir"/>
    <s v="Kashmir"/>
    <x v="0"/>
    <x v="0"/>
  </r>
  <r>
    <s v="B-25807"/>
    <d v="2018-10-07T00:00:00"/>
    <s v="Vipul"/>
    <s v="Uttar Pradesh"/>
    <s v="Lucknow"/>
    <x v="5"/>
    <x v="0"/>
  </r>
  <r>
    <s v="B-25734"/>
    <d v="2018-07-29T00:00:00"/>
    <s v="Pranav"/>
    <s v="Madhya Pradesh"/>
    <s v="Indore"/>
    <x v="10"/>
    <x v="0"/>
  </r>
  <r>
    <s v="B-25880"/>
    <d v="2018-11-24T00:00:00"/>
    <s v="Apoorv"/>
    <s v="Rajasthan"/>
    <s v="Udaipur"/>
    <x v="7"/>
    <x v="0"/>
  </r>
  <r>
    <s v="B-25934"/>
    <d v="2018-01-04T00:00:00"/>
    <s v="Rahul"/>
    <s v="Madhya Pradesh"/>
    <s v="Indore"/>
    <x v="2"/>
    <x v="0"/>
  </r>
  <r>
    <s v="B-25913"/>
    <d v="2018-12-17T00:00:00"/>
    <s v="Geetanjali"/>
    <s v="Delhi"/>
    <s v="Delhi"/>
    <x v="3"/>
    <x v="0"/>
  </r>
  <r>
    <s v="B-25912"/>
    <d v="2018-12-16T00:00:00"/>
    <s v="Preksha"/>
    <s v="Delhi"/>
    <s v="Delhi"/>
    <x v="3"/>
    <x v="0"/>
  </r>
  <r>
    <s v="B-25824"/>
    <d v="2018-10-20T00:00:00"/>
    <s v="Shyam"/>
    <s v="Madhya Pradesh"/>
    <s v="Indore"/>
    <x v="5"/>
    <x v="0"/>
  </r>
  <r>
    <s v="B-25711"/>
    <d v="2018-07-06T00:00:00"/>
    <s v="Sakshi"/>
    <s v="Madhya Pradesh"/>
    <s v="Bhopal"/>
    <x v="10"/>
    <x v="0"/>
  </r>
  <r>
    <s v="B-25864"/>
    <d v="2018-11-15T00:00:00"/>
    <s v="Aromal"/>
    <s v="Maharashtra"/>
    <s v="Mumbai"/>
    <x v="7"/>
    <x v="0"/>
  </r>
  <r>
    <s v="B-25917"/>
    <d v="2018-12-21T00:00:00"/>
    <s v="Sanjay"/>
    <s v="Maharashtra"/>
    <s v="Mumbai"/>
    <x v="3"/>
    <x v="0"/>
  </r>
  <r>
    <s v="B-26049"/>
    <d v="2018-03-05T00:00:00"/>
    <s v="Lisha"/>
    <s v="Madhya Pradesh"/>
    <s v="Bhopal"/>
    <x v="0"/>
    <x v="0"/>
  </r>
  <r>
    <s v="B-25920"/>
    <d v="2018-12-24T00:00:00"/>
    <s v="Jayanti"/>
    <s v="Uttar Pradesh"/>
    <s v="Prayagraj"/>
    <x v="3"/>
    <x v="0"/>
  </r>
  <r>
    <s v="B-25699"/>
    <d v="2018-06-24T00:00:00"/>
    <s v="Kritika"/>
    <s v="Uttar Pradesh"/>
    <s v="Lucknow"/>
    <x v="9"/>
    <x v="0"/>
  </r>
  <r>
    <s v="B-25735"/>
    <d v="2018-07-30T00:00:00"/>
    <s v="Arindam"/>
    <s v="Uttar Pradesh"/>
    <s v="Lucknow"/>
    <x v="10"/>
    <x v="0"/>
  </r>
  <r>
    <s v="B-25701"/>
    <d v="2018-06-26T00:00:00"/>
    <s v="Maithilee"/>
    <s v="Madhya Pradesh"/>
    <s v="Indore"/>
    <x v="9"/>
    <x v="0"/>
  </r>
  <r>
    <s v="B-26092"/>
    <d v="2018-03-27T00:00:00"/>
    <s v="Ramesh"/>
    <s v="Gujarat"/>
    <s v="Ahmedabad"/>
    <x v="0"/>
    <x v="0"/>
  </r>
  <r>
    <s v="B-26082"/>
    <d v="2018-03-23T00:00:00"/>
    <s v="Jitesh"/>
    <s v="Uttar Pradesh"/>
    <s v="Lucknow"/>
    <x v="0"/>
    <x v="0"/>
  </r>
  <r>
    <s v="B-25818"/>
    <d v="2018-10-14T00:00:00"/>
    <s v="Sandeep"/>
    <s v="Madhya Pradesh"/>
    <s v="Indore"/>
    <x v="5"/>
    <x v="0"/>
  </r>
  <r>
    <s v="B-25846"/>
    <d v="2018-11-03T00:00:00"/>
    <s v="Soodesh"/>
    <s v="Punjab"/>
    <s v="Chandigarh"/>
    <x v="7"/>
    <x v="0"/>
  </r>
  <r>
    <s v="B-26011"/>
    <d v="2018-02-12T00:00:00"/>
    <s v="Bharat"/>
    <s v="Gujarat"/>
    <s v="Ahmedabad"/>
    <x v="1"/>
    <x v="0"/>
  </r>
  <r>
    <s v="B-25631"/>
    <d v="2018-04-24T00:00:00"/>
    <s v="Ritu"/>
    <s v="Haryana"/>
    <s v="Chandigarh"/>
    <x v="6"/>
    <x v="0"/>
  </r>
  <r>
    <s v="B-25606"/>
    <d v="2018-04-06T00:00:00"/>
    <s v="Hazel"/>
    <s v="Karnataka"/>
    <s v="Bangalore"/>
    <x v="6"/>
    <x v="0"/>
  </r>
  <r>
    <s v="B-25746"/>
    <d v="2018-08-10T00:00:00"/>
    <s v="Shivam"/>
    <s v="Maharashtra"/>
    <s v="Pune"/>
    <x v="4"/>
    <x v="0"/>
  </r>
  <r>
    <s v="B-26005"/>
    <d v="2018-02-08T00:00:00"/>
    <s v="Parnavi"/>
    <s v="West Bengal"/>
    <s v="Kolkata"/>
    <x v="1"/>
    <x v="0"/>
  </r>
  <r>
    <s v="B-25844"/>
    <d v="2018-11-03T00:00:00"/>
    <s v="Swati"/>
    <s v="Madhya Pradesh"/>
    <s v="Indore"/>
    <x v="7"/>
    <x v="0"/>
  </r>
  <r>
    <s v="B-25869"/>
    <d v="2018-11-19T00:00:00"/>
    <s v="Parakh"/>
    <s v="Nagaland"/>
    <s v="Kohima"/>
    <x v="7"/>
    <x v="0"/>
  </r>
  <r>
    <s v="B-26066"/>
    <d v="2018-03-16T00:00:00"/>
    <s v="Priyanka"/>
    <s v="Maharashtra"/>
    <s v="Pune"/>
    <x v="0"/>
    <x v="0"/>
  </r>
  <r>
    <s v="B-25865"/>
    <d v="2018-11-15T00:00:00"/>
    <s v="Arun"/>
    <s v="Madhya Pradesh"/>
    <s v="Indore"/>
    <x v="7"/>
    <x v="0"/>
  </r>
  <r>
    <s v="B-26039"/>
    <d v="2018-02-25T00:00:00"/>
    <s v="Hemant"/>
    <s v="Kerala"/>
    <s v="Thiruvananthapuram"/>
    <x v="1"/>
    <x v="0"/>
  </r>
  <r>
    <s v="B-25916"/>
    <d v="2018-12-20T00:00:00"/>
    <s v="Utkarsh"/>
    <s v="Gujarat"/>
    <s v="Surat"/>
    <x v="3"/>
    <x v="0"/>
  </r>
  <r>
    <s v="B-26090"/>
    <d v="2018-03-27T00:00:00"/>
    <s v="Sagar"/>
    <s v="Nagaland"/>
    <s v="Kohima"/>
    <x v="0"/>
    <x v="0"/>
  </r>
  <r>
    <s v="B-25988"/>
    <d v="2018-01-31T00:00:00"/>
    <s v="Nirja"/>
    <s v="Delhi"/>
    <s v="Delhi"/>
    <x v="2"/>
    <x v="0"/>
  </r>
  <r>
    <s v="B-25906"/>
    <d v="2018-12-11T00:00:00"/>
    <s v="Abhijit"/>
    <s v="Delhi"/>
    <s v="Delhi"/>
    <x v="3"/>
    <x v="0"/>
  </r>
  <r>
    <s v="B-26017"/>
    <d v="2018-02-14T00:00:00"/>
    <s v="Sonakshi"/>
    <s v="Jammu and Kashmir"/>
    <s v="Kashmir"/>
    <x v="1"/>
    <x v="0"/>
  </r>
  <r>
    <s v="B-25644"/>
    <d v="2018-04-30T00:00:00"/>
    <s v="Mayank"/>
    <s v="Maharashtra"/>
    <s v="Mumbai"/>
    <x v="6"/>
    <x v="0"/>
  </r>
  <r>
    <s v="B-25679"/>
    <d v="2018-06-04T00:00:00"/>
    <s v="Avni"/>
    <s v="Maharashtra"/>
    <s v="Mumbai"/>
    <x v="9"/>
    <x v="0"/>
  </r>
  <r>
    <s v="B-25723"/>
    <d v="2018-07-18T00:00:00"/>
    <s v="Wale"/>
    <s v="Maharashtra"/>
    <s v="Mumbai"/>
    <x v="10"/>
    <x v="0"/>
  </r>
  <r>
    <s v="B-25605"/>
    <d v="2018-04-05T00:00:00"/>
    <s v="Kasheen"/>
    <s v="West Bengal"/>
    <s v="Kolkata"/>
    <x v="6"/>
    <x v="0"/>
  </r>
  <r>
    <s v="B-25792"/>
    <d v="2018-09-24T00:00:00"/>
    <s v="Abhishek"/>
    <s v="Maharashtra"/>
    <s v="Mumbai"/>
    <x v="8"/>
    <x v="0"/>
  </r>
  <r>
    <s v="B-25680"/>
    <d v="2018-06-04T00:00:00"/>
    <s v="Aayushi"/>
    <s v="Madhya Pradesh"/>
    <s v="Indore"/>
    <x v="9"/>
    <x v="0"/>
  </r>
  <r>
    <s v="B-25931"/>
    <d v="2018-01-04T00:00:00"/>
    <s v="Sidharth"/>
    <s v="Maharashtra"/>
    <s v="Mumbai"/>
    <x v="2"/>
    <x v="0"/>
  </r>
  <r>
    <s v="B-25932"/>
    <d v="2018-01-04T00:00:00"/>
    <s v="Bhutekar"/>
    <s v="Madhya Pradesh"/>
    <s v="Indore"/>
    <x v="2"/>
    <x v="0"/>
  </r>
  <r>
    <s v="B-25990"/>
    <d v="2018-02-02T00:00:00"/>
    <s v="Mugdha"/>
    <s v="Delhi"/>
    <s v="Delhi"/>
    <x v="1"/>
    <x v="0"/>
  </r>
  <r>
    <s v="B-25615"/>
    <d v="2018-04-15T00:00:00"/>
    <s v="Bhavna"/>
    <s v="Sikkim"/>
    <s v="Gangtok"/>
    <x v="6"/>
    <x v="0"/>
  </r>
  <r>
    <s v="B-26031"/>
    <d v="2018-02-22T00:00:00"/>
    <s v="Deepak"/>
    <s v="Madhya Pradesh"/>
    <s v="Bhopal"/>
    <x v="1"/>
    <x v="0"/>
  </r>
  <r>
    <s v="B-25801"/>
    <d v="2018-10-01T00:00:00"/>
    <s v="Aryan"/>
    <s v="Madhya Pradesh"/>
    <s v="Bhopal"/>
    <x v="5"/>
    <x v="0"/>
  </r>
  <r>
    <s v="B-25833"/>
    <d v="2018-10-29T00:00:00"/>
    <s v="Krishna"/>
    <s v="Madhya Pradesh"/>
    <s v="Indore"/>
    <x v="5"/>
    <x v="0"/>
  </r>
  <r>
    <s v="B-26077"/>
    <d v="2018-03-22T00:00:00"/>
    <s v="Divsha"/>
    <s v="Rajasthan"/>
    <s v="Jaipur"/>
    <x v="0"/>
    <x v="0"/>
  </r>
  <r>
    <s v="B-25936"/>
    <d v="2018-01-05T00:00:00"/>
    <s v="Nikhil"/>
    <s v="Punjab"/>
    <s v="Chandigarh"/>
    <x v="2"/>
    <x v="0"/>
  </r>
  <r>
    <s v="B-25938"/>
    <d v="2018-01-05T00:00:00"/>
    <s v="Shikhar"/>
    <s v="Himachal Pradesh"/>
    <s v="Simla"/>
    <x v="2"/>
    <x v="0"/>
  </r>
  <r>
    <s v="B-25716"/>
    <d v="2018-07-11T00:00:00"/>
    <s v="Surabhi"/>
    <s v="Tamil Nadu"/>
    <s v="Chennai"/>
    <x v="10"/>
    <x v="0"/>
  </r>
  <r>
    <s v="B-25740"/>
    <d v="2018-08-03T00:00:00"/>
    <s v="Rane"/>
    <s v="Maharashtra"/>
    <s v="Mumbai"/>
    <x v="4"/>
    <x v="0"/>
  </r>
  <r>
    <s v="B-25763"/>
    <d v="2018-08-27T00:00:00"/>
    <s v="Noshiba"/>
    <s v="Gujarat"/>
    <s v="Ahmedabad"/>
    <x v="4"/>
    <x v="0"/>
  </r>
  <r>
    <s v="B-25872"/>
    <d v="2018-11-22T00:00:00"/>
    <s v="Saurabh"/>
    <s v="Maharashtra"/>
    <s v="Mumbai"/>
    <x v="7"/>
    <x v="0"/>
  </r>
  <r>
    <s v="B-25879"/>
    <d v="2018-11-24T00:00:00"/>
    <s v="Siddharth"/>
    <s v="Madhya Pradesh"/>
    <s v="Indore"/>
    <x v="7"/>
    <x v="0"/>
  </r>
  <r>
    <s v="B-25926"/>
    <d v="2018-12-30T00:00:00"/>
    <s v="Dipali"/>
    <s v="Madhya Pradesh"/>
    <s v="Indore"/>
    <x v="3"/>
    <x v="0"/>
  </r>
  <r>
    <s v="B-26074"/>
    <d v="2018-03-21T00:00:00"/>
    <s v="Bharat"/>
    <s v="Gujarat"/>
    <s v="Ahmedabad"/>
    <x v="0"/>
    <x v="0"/>
  </r>
  <r>
    <s v="B-25627"/>
    <d v="2018-04-23T00:00:00"/>
    <s v="Hitika"/>
    <s v="Madhya Pradesh"/>
    <s v="Indore"/>
    <x v="6"/>
    <x v="0"/>
  </r>
  <r>
    <s v="B-25940"/>
    <d v="2018-01-06T00:00:00"/>
    <s v="Vivek"/>
    <s v="Goa"/>
    <s v="Goa"/>
    <x v="2"/>
    <x v="0"/>
  </r>
  <r>
    <s v="B-26047"/>
    <d v="2018-03-04T00:00:00"/>
    <s v="Ashmi"/>
    <s v="Madhya Pradesh"/>
    <s v="Indore"/>
    <x v="0"/>
    <x v="0"/>
  </r>
  <r>
    <s v="B-26069"/>
    <d v="2018-03-17T00:00:00"/>
    <s v="Sanskriti"/>
    <s v="West Bengal"/>
    <s v="Kolkata"/>
    <x v="0"/>
    <x v="0"/>
  </r>
  <r>
    <s v="B-26027"/>
    <d v="2018-02-20T00:00:00"/>
    <s v="Sagar"/>
    <s v="Nagaland"/>
    <s v="Kohima"/>
    <x v="1"/>
    <x v="0"/>
  </r>
  <r>
    <s v="B-25963"/>
    <d v="2018-01-19T00:00:00"/>
    <s v="Pratiksha"/>
    <s v="Maharashtra"/>
    <s v="Mumbai"/>
    <x v="2"/>
    <x v="0"/>
  </r>
  <r>
    <s v="B-25922"/>
    <d v="2018-12-26T00:00:00"/>
    <s v="Akshata"/>
    <s v="Gujarat"/>
    <s v="Surat"/>
    <x v="3"/>
    <x v="0"/>
  </r>
  <r>
    <s v="B-25866"/>
    <d v="2018-11-16T00:00:00"/>
    <s v="Komal"/>
    <s v="Himachal Pradesh"/>
    <s v="Simla"/>
    <x v="7"/>
    <x v="0"/>
  </r>
  <r>
    <s v="B-25607"/>
    <d v="2018-04-06T00:00:00"/>
    <s v="Sonakshi"/>
    <s v="Jammu and Kashmir"/>
    <s v="Kashmir"/>
    <x v="6"/>
    <x v="0"/>
  </r>
  <r>
    <s v="B-25775"/>
    <d v="2018-09-08T00:00:00"/>
    <s v="Duhita"/>
    <s v="Haryana"/>
    <s v="Chandigarh"/>
    <x v="8"/>
    <x v="0"/>
  </r>
  <r>
    <s v="B-25998"/>
    <d v="2018-02-04T00:00:00"/>
    <s v="Anmol"/>
    <s v="Rajasthan"/>
    <s v="Udaipur"/>
    <x v="1"/>
    <x v="0"/>
  </r>
  <r>
    <s v="B-26062"/>
    <d v="2018-03-15T00:00:00"/>
    <s v="Tushina"/>
    <s v="Goa"/>
    <s v="Goa"/>
    <x v="0"/>
    <x v="0"/>
  </r>
  <r>
    <s v="B-25722"/>
    <d v="2018-07-17T00:00:00"/>
    <s v="Inderpreet"/>
    <s v="Himachal Pradesh"/>
    <s v="Simla"/>
    <x v="10"/>
    <x v="0"/>
  </r>
  <r>
    <s v="B-25776"/>
    <d v="2018-09-09T00:00:00"/>
    <s v="Mousam"/>
    <s v="Maharashtra"/>
    <s v="Mumbai"/>
    <x v="8"/>
    <x v="0"/>
  </r>
  <r>
    <s v="B-26032"/>
    <d v="2018-02-22T00:00:00"/>
    <s v="Monisha"/>
    <s v="Rajasthan"/>
    <s v="Jaipur"/>
    <x v="1"/>
    <x v="0"/>
  </r>
  <r>
    <s v="B-25705"/>
    <d v="2018-06-30T00:00:00"/>
    <s v="Shweta"/>
    <s v="Madhya Pradesh"/>
    <s v="Indore"/>
    <x v="9"/>
    <x v="0"/>
  </r>
  <r>
    <s v="B-25628"/>
    <d v="2018-04-24T00:00:00"/>
    <s v="Pooja"/>
    <s v="Bihar"/>
    <s v="Patna"/>
    <x v="6"/>
    <x v="0"/>
  </r>
  <r>
    <s v="B-25733"/>
    <d v="2018-07-28T00:00:00"/>
    <s v="Dhirajendu"/>
    <s v="Maharashtra"/>
    <s v="Mumbai"/>
    <x v="10"/>
    <x v="0"/>
  </r>
  <r>
    <s v="B-25647"/>
    <d v="2018-05-03T00:00:00"/>
    <s v="Sharda"/>
    <s v="Kerala"/>
    <s v="Thiruvananthapuram"/>
    <x v="11"/>
    <x v="0"/>
  </r>
  <r>
    <s v="B-25790"/>
    <d v="2018-09-23T00:00:00"/>
    <s v="Sajal"/>
    <s v="Bihar"/>
    <s v="Patna"/>
    <x v="8"/>
    <x v="0"/>
  </r>
  <r>
    <s v="B-25709"/>
    <d v="2018-07-01T00:00:00"/>
    <s v="Aakanksha"/>
    <s v="Madhya Pradesh"/>
    <s v="Indore"/>
    <x v="10"/>
    <x v="0"/>
  </r>
  <r>
    <s v="B-25911"/>
    <d v="2018-12-15T00:00:00"/>
    <s v="Phalguni"/>
    <s v="Madhya Pradesh"/>
    <s v="Bhopal"/>
    <x v="3"/>
    <x v="0"/>
  </r>
  <r>
    <s v="B-25774"/>
    <d v="2018-09-07T00:00:00"/>
    <s v="Snehal"/>
    <s v="Punjab"/>
    <s v="Chandigarh"/>
    <x v="8"/>
    <x v="0"/>
  </r>
  <r>
    <s v="B-26042"/>
    <d v="2018-02-28T00:00:00"/>
    <s v="Manish"/>
    <s v="Himachal Pradesh"/>
    <s v="Simla"/>
    <x v="1"/>
    <x v="0"/>
  </r>
  <r>
    <s v="B-25815"/>
    <d v="2018-10-10T00:00:00"/>
    <s v="Harsh"/>
    <s v="Nagaland"/>
    <s v="Kohima"/>
    <x v="5"/>
    <x v="0"/>
  </r>
  <r>
    <s v="B-25822"/>
    <d v="2018-10-18T00:00:00"/>
    <s v="Tejas"/>
    <s v="Karnataka"/>
    <s v="Bangalore"/>
    <x v="5"/>
    <x v="0"/>
  </r>
  <r>
    <s v="B-26075"/>
    <d v="2018-03-21T00:00:00"/>
    <s v="Pearl"/>
    <s v="Maharashtra"/>
    <s v="Pune"/>
    <x v="0"/>
    <x v="0"/>
  </r>
  <r>
    <s v="B-25783"/>
    <d v="2018-09-15T00:00:00"/>
    <s v="Shivangi"/>
    <s v="Madhya Pradesh"/>
    <s v="Indore"/>
    <x v="8"/>
    <x v="0"/>
  </r>
  <r>
    <s v="B-26046"/>
    <d v="2018-03-04T00:00:00"/>
    <s v="Nishi"/>
    <s v="Maharashtra"/>
    <s v="Mumbai"/>
    <x v="0"/>
    <x v="0"/>
  </r>
  <r>
    <s v="B-25690"/>
    <d v="2018-06-15T00:00:00"/>
    <s v="Gunjan"/>
    <s v="Madhya Pradesh"/>
    <s v="Indore"/>
    <x v="9"/>
    <x v="0"/>
  </r>
  <r>
    <s v="B-25706"/>
    <d v="2018-07-01T00:00:00"/>
    <s v="Swetlana"/>
    <s v="Goa"/>
    <s v="Goa"/>
    <x v="10"/>
    <x v="0"/>
  </r>
  <r>
    <s v="B-25736"/>
    <d v="2018-07-31T00:00:00"/>
    <s v="Akshat"/>
    <s v="Maharashtra"/>
    <s v="Mumbai"/>
    <x v="10"/>
    <x v="0"/>
  </r>
  <r>
    <s v="B-25720"/>
    <d v="2018-07-15T00:00:00"/>
    <s v="Namrata"/>
    <s v="Punjab"/>
    <s v="Chandigarh"/>
    <x v="10"/>
    <x v="0"/>
  </r>
  <r>
    <s v="B-25907"/>
    <d v="2018-12-11T00:00:00"/>
    <s v="Jaydeep"/>
    <s v="Madhya Pradesh"/>
    <s v="Bhopal"/>
    <x v="3"/>
    <x v="0"/>
  </r>
  <r>
    <s v="B-25719"/>
    <d v="2018-07-12T00:00:00"/>
    <s v="Rashmi"/>
    <s v="Madhya Pradesh"/>
    <s v="Indore"/>
    <x v="10"/>
    <x v="0"/>
  </r>
  <r>
    <s v="B-26013"/>
    <d v="2018-02-13T00:00:00"/>
    <s v="Jahan"/>
    <s v="Madhya Pradesh"/>
    <s v="Bhopal"/>
    <x v="1"/>
    <x v="0"/>
  </r>
  <r>
    <s v="B-26044"/>
    <d v="2018-03-02T00:00:00"/>
    <s v="Sanjay"/>
    <s v="Goa"/>
    <s v="Goa"/>
    <x v="0"/>
    <x v="0"/>
  </r>
  <r>
    <s v="B-25649"/>
    <d v="2018-05-05T00:00:00"/>
    <s v="Rachna"/>
    <s v="Haryana"/>
    <s v="Chandigarh"/>
    <x v="11"/>
    <x v="0"/>
  </r>
  <r>
    <s v="B-25658"/>
    <d v="2018-05-14T00:00:00"/>
    <s v="Shefali"/>
    <s v="Rajasthan"/>
    <s v="Jaipur"/>
    <x v="11"/>
    <x v="0"/>
  </r>
  <r>
    <s v="B-25672"/>
    <d v="2018-05-28T00:00:00"/>
    <s v="Akanksha"/>
    <s v="Andhra Pradesh"/>
    <s v="Hyderabad"/>
    <x v="11"/>
    <x v="0"/>
  </r>
  <r>
    <s v="B-25624"/>
    <d v="2018-04-22T00:00:00"/>
    <s v="Vini"/>
    <s v="Karnataka"/>
    <s v="Bangalore"/>
    <x v="6"/>
    <x v="0"/>
  </r>
  <r>
    <s v="B-25884"/>
    <d v="2018-11-28T00:00:00"/>
    <s v="Sumeet"/>
    <s v="Maharashtra"/>
    <s v="Mumbai"/>
    <x v="7"/>
    <x v="0"/>
  </r>
  <r>
    <s v="B-25641"/>
    <d v="2018-04-27T00:00:00"/>
    <s v="Parishi"/>
    <s v="West Bengal"/>
    <s v="Kolkata"/>
    <x v="6"/>
    <x v="0"/>
  </r>
  <r>
    <s v="B-25841"/>
    <d v="2018-11-01T00:00:00"/>
    <s v="Ashvini"/>
    <s v="Maharashtra"/>
    <s v="Mumbai"/>
    <x v="7"/>
    <x v="0"/>
  </r>
  <r>
    <s v="B-25980"/>
    <d v="2018-01-27T00:00:00"/>
    <s v="Shweta"/>
    <s v="Rajasthan"/>
    <s v="Udaipur"/>
    <x v="2"/>
    <x v="0"/>
  </r>
  <r>
    <s v="B-26012"/>
    <d v="2018-02-13T00:00:00"/>
    <s v="Pearl"/>
    <s v="Maharashtra"/>
    <s v="Pune"/>
    <x v="1"/>
    <x v="0"/>
  </r>
  <r>
    <s v="B-26029"/>
    <d v="2018-02-20T00:00:00"/>
    <s v="Ramesh"/>
    <s v="Gujarat"/>
    <s v="Ahmedabad"/>
    <x v="1"/>
    <x v="0"/>
  </r>
  <r>
    <s v="B-26071"/>
    <d v="2018-03-19T00:00:00"/>
    <s v="Subhashree"/>
    <s v="Jammu and Kashmir"/>
    <s v="Kashmir"/>
    <x v="0"/>
    <x v="0"/>
  </r>
  <r>
    <s v="B-25646"/>
    <d v="2018-05-01T00:00:00"/>
    <s v="Sonal"/>
    <s v="Bihar"/>
    <s v="Patna"/>
    <x v="11"/>
    <x v="0"/>
  </r>
  <r>
    <s v="B-25677"/>
    <d v="2018-06-02T00:00:00"/>
    <s v="Ekta"/>
    <s v="West Bengal"/>
    <s v="Kolkata"/>
    <x v="9"/>
    <x v="0"/>
  </r>
  <r>
    <s v="B-25759"/>
    <d v="2018-08-23T00:00:00"/>
    <s v="Soumya"/>
    <s v="Sikkim"/>
    <s v="Gangtok"/>
    <x v="4"/>
    <x v="0"/>
  </r>
  <r>
    <s v="B-26059"/>
    <d v="2018-03-12T00:00:00"/>
    <s v="Rachna"/>
    <s v="Haryana"/>
    <s v="Chandigarh"/>
    <x v="0"/>
    <x v="0"/>
  </r>
  <r>
    <s v="B-25632"/>
    <d v="2018-04-25T00:00:00"/>
    <s v="Manish"/>
    <s v="Himachal Pradesh"/>
    <s v="Simla"/>
    <x v="6"/>
    <x v="0"/>
  </r>
  <r>
    <s v="B-26079"/>
    <d v="2018-03-22T00:00:00"/>
    <s v="Hazel"/>
    <s v="Karnataka"/>
    <s v="Bangalore"/>
    <x v="0"/>
    <x v="0"/>
  </r>
  <r>
    <s v="B-25674"/>
    <d v="2018-05-28T00:00:00"/>
    <s v="Mahima"/>
    <s v="Maharashtra"/>
    <s v="Pune"/>
    <x v="11"/>
    <x v="0"/>
  </r>
  <r>
    <s v="B-25965"/>
    <d v="2018-01-21T00:00:00"/>
    <s v="Saloni"/>
    <s v="West Bengal"/>
    <s v="Kolkata"/>
    <x v="2"/>
    <x v="0"/>
  </r>
  <r>
    <s v="B-25732"/>
    <d v="2018-07-27T00:00:00"/>
    <s v="Anubhaw"/>
    <s v="Karnataka"/>
    <s v="Bangalore"/>
    <x v="10"/>
    <x v="0"/>
  </r>
  <r>
    <s v="B-25834"/>
    <d v="2018-10-29T00:00:00"/>
    <s v="Ananya"/>
    <s v="Andhra Pradesh"/>
    <s v="Hyderabad"/>
    <x v="5"/>
    <x v="0"/>
  </r>
  <r>
    <s v="B-25784"/>
    <d v="2018-09-15T00:00:00"/>
    <s v="Rohit"/>
    <s v="Rajasthan"/>
    <s v="Jaipur"/>
    <x v="8"/>
    <x v="0"/>
  </r>
  <r>
    <s v="B-25982"/>
    <d v="2018-01-29T00:00:00"/>
    <s v="Hemangi"/>
    <s v="Delhi"/>
    <s v="Delhi"/>
    <x v="2"/>
    <x v="0"/>
  </r>
  <r>
    <s v="B-25788"/>
    <d v="2018-09-21T00:00:00"/>
    <s v="Dinesh"/>
    <s v="Tamil Nadu"/>
    <s v="Chennai"/>
    <x v="8"/>
    <x v="0"/>
  </r>
  <r>
    <s v="B-25742"/>
    <d v="2018-08-03T00:00:00"/>
    <s v="Ashwin"/>
    <s v="Goa"/>
    <s v="Goa"/>
    <x v="4"/>
    <x v="0"/>
  </r>
  <r>
    <s v="B-26088"/>
    <d v="2018-03-26T00:00:00"/>
    <s v="Bhavna"/>
    <s v="Sikkim"/>
    <s v="Gangtok"/>
    <x v="0"/>
    <x v="0"/>
  </r>
  <r>
    <s v="B-25707"/>
    <d v="2018-07-01T00:00:00"/>
    <s v="Shivani"/>
    <s v="Maharashtra"/>
    <s v="Mumbai"/>
    <x v="10"/>
    <x v="0"/>
  </r>
  <r>
    <s v="B-25758"/>
    <d v="2018-08-22T00:00:00"/>
    <s v="Shubham"/>
    <s v="Himachal Pradesh"/>
    <s v="Simla"/>
    <x v="4"/>
    <x v="0"/>
  </r>
  <r>
    <s v="B-26095"/>
    <d v="2018-03-28T00:00:00"/>
    <s v="Monisha"/>
    <s v="Rajasthan"/>
    <s v="Jaipur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1A39B-D5ED-4A57-9EAF-F934C73A8C2C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State" colHeaderCaption="PaymentMode">
  <location ref="B2:H23" firstHeaderRow="1" firstDataRow="2" firstDataCol="1"/>
  <pivotFields count="8">
    <pivotField dataField="1" showAll="0">
      <items count="501">
        <item x="314"/>
        <item x="4"/>
        <item x="117"/>
        <item x="292"/>
        <item x="436"/>
        <item x="364"/>
        <item x="119"/>
        <item x="57"/>
        <item x="158"/>
        <item x="233"/>
        <item x="391"/>
        <item x="235"/>
        <item x="47"/>
        <item x="408"/>
        <item x="288"/>
        <item x="77"/>
        <item x="444"/>
        <item x="38"/>
        <item x="470"/>
        <item x="307"/>
        <item x="207"/>
        <item x="463"/>
        <item x="304"/>
        <item x="477"/>
        <item x="266"/>
        <item x="438"/>
        <item x="419"/>
        <item x="204"/>
        <item x="497"/>
        <item x="197"/>
        <item x="361"/>
        <item x="107"/>
        <item x="157"/>
        <item x="457"/>
        <item x="227"/>
        <item x="473"/>
        <item x="355"/>
        <item x="327"/>
        <item x="494"/>
        <item x="50"/>
        <item x="337"/>
        <item x="215"/>
        <item x="8"/>
        <item x="379"/>
        <item x="226"/>
        <item x="325"/>
        <item x="345"/>
        <item x="186"/>
        <item x="474"/>
        <item x="104"/>
        <item x="89"/>
        <item x="276"/>
        <item x="87"/>
        <item x="173"/>
        <item x="15"/>
        <item x="93"/>
        <item x="111"/>
        <item x="149"/>
        <item x="384"/>
        <item x="242"/>
        <item x="258"/>
        <item x="129"/>
        <item x="442"/>
        <item x="214"/>
        <item x="393"/>
        <item x="78"/>
        <item x="70"/>
        <item x="395"/>
        <item x="486"/>
        <item x="123"/>
        <item x="484"/>
        <item x="480"/>
        <item x="189"/>
        <item x="65"/>
        <item x="79"/>
        <item x="126"/>
        <item x="443"/>
        <item x="183"/>
        <item x="380"/>
        <item x="281"/>
        <item x="0"/>
        <item x="143"/>
        <item x="368"/>
        <item x="320"/>
        <item x="429"/>
        <item x="28"/>
        <item x="7"/>
        <item x="255"/>
        <item x="171"/>
        <item x="464"/>
        <item x="118"/>
        <item x="461"/>
        <item x="82"/>
        <item x="394"/>
        <item x="400"/>
        <item x="6"/>
        <item x="69"/>
        <item x="150"/>
        <item x="247"/>
        <item x="236"/>
        <item x="178"/>
        <item x="437"/>
        <item x="10"/>
        <item x="90"/>
        <item x="450"/>
        <item x="403"/>
        <item x="499"/>
        <item x="120"/>
        <item x="319"/>
        <item x="36"/>
        <item x="349"/>
        <item x="311"/>
        <item x="398"/>
        <item x="55"/>
        <item x="455"/>
        <item x="385"/>
        <item x="195"/>
        <item x="454"/>
        <item x="324"/>
        <item x="174"/>
        <item x="308"/>
        <item x="433"/>
        <item x="39"/>
        <item x="293"/>
        <item x="386"/>
        <item x="465"/>
        <item x="208"/>
        <item x="73"/>
        <item x="48"/>
        <item x="91"/>
        <item x="323"/>
        <item x="389"/>
        <item x="234"/>
        <item x="348"/>
        <item x="19"/>
        <item x="335"/>
        <item x="282"/>
        <item x="312"/>
        <item x="321"/>
        <item x="406"/>
        <item x="210"/>
        <item x="336"/>
        <item x="192"/>
        <item x="22"/>
        <item x="220"/>
        <item x="434"/>
        <item x="116"/>
        <item x="294"/>
        <item x="144"/>
        <item x="110"/>
        <item x="230"/>
        <item x="97"/>
        <item x="256"/>
        <item x="29"/>
        <item x="40"/>
        <item x="13"/>
        <item x="74"/>
        <item x="498"/>
        <item x="115"/>
        <item x="60"/>
        <item x="14"/>
        <item x="61"/>
        <item x="405"/>
        <item x="309"/>
        <item x="318"/>
        <item x="416"/>
        <item x="252"/>
        <item x="496"/>
        <item x="453"/>
        <item x="217"/>
        <item x="313"/>
        <item x="49"/>
        <item x="257"/>
        <item x="341"/>
        <item x="428"/>
        <item x="248"/>
        <item x="67"/>
        <item x="27"/>
        <item x="43"/>
        <item x="373"/>
        <item x="244"/>
        <item x="452"/>
        <item x="356"/>
        <item x="56"/>
        <item x="134"/>
        <item x="16"/>
        <item x="112"/>
        <item x="41"/>
        <item x="388"/>
        <item x="448"/>
        <item x="190"/>
        <item x="381"/>
        <item x="275"/>
        <item x="287"/>
        <item x="273"/>
        <item x="131"/>
        <item x="37"/>
        <item x="176"/>
        <item x="240"/>
        <item x="305"/>
        <item x="52"/>
        <item x="339"/>
        <item x="140"/>
        <item x="347"/>
        <item x="352"/>
        <item x="475"/>
        <item x="491"/>
        <item x="113"/>
        <item x="254"/>
        <item x="51"/>
        <item x="439"/>
        <item x="435"/>
        <item x="489"/>
        <item x="360"/>
        <item x="469"/>
        <item x="31"/>
        <item x="482"/>
        <item x="166"/>
        <item x="181"/>
        <item x="358"/>
        <item x="108"/>
        <item x="459"/>
        <item x="278"/>
        <item x="424"/>
        <item x="317"/>
        <item x="476"/>
        <item x="397"/>
        <item x="148"/>
        <item x="449"/>
        <item x="25"/>
        <item x="122"/>
        <item x="151"/>
        <item x="392"/>
        <item x="340"/>
        <item x="167"/>
        <item x="71"/>
        <item x="169"/>
        <item x="298"/>
        <item x="88"/>
        <item x="218"/>
        <item x="487"/>
        <item x="26"/>
        <item x="209"/>
        <item x="315"/>
        <item x="23"/>
        <item x="219"/>
        <item x="130"/>
        <item x="182"/>
        <item x="372"/>
        <item x="81"/>
        <item x="9"/>
        <item x="83"/>
        <item x="18"/>
        <item x="202"/>
        <item x="139"/>
        <item x="237"/>
        <item x="259"/>
        <item x="155"/>
        <item x="481"/>
        <item x="84"/>
        <item x="239"/>
        <item x="363"/>
        <item x="280"/>
        <item x="350"/>
        <item x="413"/>
        <item x="427"/>
        <item x="156"/>
        <item x="54"/>
        <item x="370"/>
        <item x="138"/>
        <item x="390"/>
        <item x="272"/>
        <item x="154"/>
        <item x="326"/>
        <item x="283"/>
        <item x="440"/>
        <item x="164"/>
        <item x="109"/>
        <item x="407"/>
        <item x="401"/>
        <item x="5"/>
        <item x="328"/>
        <item x="33"/>
        <item x="479"/>
        <item x="114"/>
        <item x="152"/>
        <item x="11"/>
        <item x="127"/>
        <item x="354"/>
        <item x="490"/>
        <item x="205"/>
        <item x="374"/>
        <item x="170"/>
        <item x="495"/>
        <item x="194"/>
        <item x="159"/>
        <item x="153"/>
        <item x="85"/>
        <item x="146"/>
        <item x="59"/>
        <item x="346"/>
        <item x="274"/>
        <item x="103"/>
        <item x="342"/>
        <item x="165"/>
        <item x="377"/>
        <item x="466"/>
        <item x="285"/>
        <item x="44"/>
        <item x="20"/>
        <item x="128"/>
        <item x="344"/>
        <item x="263"/>
        <item x="369"/>
        <item x="225"/>
        <item x="432"/>
        <item x="333"/>
        <item x="245"/>
        <item x="353"/>
        <item x="331"/>
        <item x="371"/>
        <item x="425"/>
        <item x="12"/>
        <item x="359"/>
        <item x="184"/>
        <item x="261"/>
        <item x="301"/>
        <item x="365"/>
        <item x="66"/>
        <item x="133"/>
        <item x="441"/>
        <item x="387"/>
        <item x="187"/>
        <item x="343"/>
        <item x="46"/>
        <item x="451"/>
        <item x="492"/>
        <item x="357"/>
        <item x="376"/>
        <item x="161"/>
        <item x="402"/>
        <item x="188"/>
        <item x="45"/>
        <item x="399"/>
        <item x="95"/>
        <item x="382"/>
        <item x="417"/>
        <item x="302"/>
        <item x="351"/>
        <item x="21"/>
        <item x="147"/>
        <item x="102"/>
        <item x="101"/>
        <item x="296"/>
        <item x="2"/>
        <item x="362"/>
        <item x="75"/>
        <item x="338"/>
        <item x="125"/>
        <item x="332"/>
        <item x="177"/>
        <item x="145"/>
        <item x="367"/>
        <item x="203"/>
        <item x="63"/>
        <item x="200"/>
        <item x="64"/>
        <item x="483"/>
        <item x="404"/>
        <item x="105"/>
        <item x="246"/>
        <item x="334"/>
        <item x="193"/>
        <item x="478"/>
        <item x="468"/>
        <item x="412"/>
        <item x="185"/>
        <item x="446"/>
        <item x="268"/>
        <item x="163"/>
        <item x="232"/>
        <item x="493"/>
        <item x="191"/>
        <item x="72"/>
        <item x="249"/>
        <item x="100"/>
        <item x="216"/>
        <item x="375"/>
        <item x="223"/>
        <item x="290"/>
        <item x="42"/>
        <item x="383"/>
        <item x="132"/>
        <item x="279"/>
        <item x="62"/>
        <item x="141"/>
        <item x="289"/>
        <item x="271"/>
        <item x="260"/>
        <item x="160"/>
        <item x="24"/>
        <item x="269"/>
        <item x="34"/>
        <item x="295"/>
        <item x="366"/>
        <item x="68"/>
        <item x="212"/>
        <item x="300"/>
        <item x="224"/>
        <item x="267"/>
        <item x="410"/>
        <item x="423"/>
        <item x="467"/>
        <item x="229"/>
        <item x="458"/>
        <item x="180"/>
        <item x="378"/>
        <item x="277"/>
        <item x="136"/>
        <item x="264"/>
        <item x="121"/>
        <item x="32"/>
        <item x="253"/>
        <item x="396"/>
        <item x="231"/>
        <item x="238"/>
        <item x="420"/>
        <item x="172"/>
        <item x="124"/>
        <item x="222"/>
        <item x="284"/>
        <item x="251"/>
        <item x="94"/>
        <item x="460"/>
        <item x="199"/>
        <item x="445"/>
        <item x="330"/>
        <item x="228"/>
        <item x="306"/>
        <item x="329"/>
        <item x="286"/>
        <item x="299"/>
        <item x="297"/>
        <item x="472"/>
        <item x="243"/>
        <item x="462"/>
        <item x="415"/>
        <item x="30"/>
        <item x="414"/>
        <item x="198"/>
        <item x="58"/>
        <item x="92"/>
        <item x="135"/>
        <item x="241"/>
        <item x="1"/>
        <item x="179"/>
        <item x="175"/>
        <item x="471"/>
        <item x="485"/>
        <item x="201"/>
        <item x="76"/>
        <item x="106"/>
        <item x="250"/>
        <item x="196"/>
        <item x="316"/>
        <item x="310"/>
        <item x="99"/>
        <item x="421"/>
        <item x="418"/>
        <item x="137"/>
        <item x="488"/>
        <item x="431"/>
        <item x="221"/>
        <item x="411"/>
        <item x="456"/>
        <item x="262"/>
        <item x="447"/>
        <item x="142"/>
        <item x="80"/>
        <item x="422"/>
        <item x="168"/>
        <item x="322"/>
        <item x="265"/>
        <item x="270"/>
        <item x="53"/>
        <item x="96"/>
        <item x="162"/>
        <item x="213"/>
        <item x="206"/>
        <item x="430"/>
        <item x="291"/>
        <item x="409"/>
        <item x="3"/>
        <item x="303"/>
        <item x="17"/>
        <item x="211"/>
        <item x="35"/>
        <item x="98"/>
        <item x="426"/>
        <item x="86"/>
        <item t="default"/>
      </items>
    </pivotField>
    <pivotField showAll="0"/>
    <pivotField showAll="0"/>
    <pivotField showAll="0"/>
    <pivotField showAll="0"/>
    <pivotField showAll="0"/>
    <pivotField axis="axisCol" showAll="0">
      <items count="6">
        <item x="0"/>
        <item x="2"/>
        <item x="4"/>
        <item x="1"/>
        <item x="3"/>
        <item t="default"/>
      </items>
    </pivotField>
    <pivotField axis="axisRow" showAll="0">
      <items count="20">
        <item x="9"/>
        <item x="12"/>
        <item x="8"/>
        <item x="16"/>
        <item x="7"/>
        <item x="15"/>
        <item x="11"/>
        <item x="4"/>
        <item x="3"/>
        <item x="10"/>
        <item x="0"/>
        <item x="2"/>
        <item x="5"/>
        <item x="13"/>
        <item x="6"/>
        <item x="18"/>
        <item x="14"/>
        <item x="1"/>
        <item x="17"/>
        <item t="default"/>
      </items>
    </pivotField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Order ID" fld="0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472A7-ED28-45FA-853E-6E19470B7033}" name="PivotTable1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City">
  <location ref="B2:C13" firstHeaderRow="1" firstDataRow="1" firstDataCol="1"/>
  <pivotFields count="9"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measureFilter="1">
      <items count="26">
        <item x="9"/>
        <item x="22"/>
        <item x="3"/>
        <item x="18"/>
        <item x="16"/>
        <item x="19"/>
        <item x="11"/>
        <item x="24"/>
        <item x="20"/>
        <item x="12"/>
        <item x="0"/>
        <item x="8"/>
        <item x="5"/>
        <item x="6"/>
        <item x="21"/>
        <item x="10"/>
        <item x="1"/>
        <item x="4"/>
        <item x="15"/>
        <item x="7"/>
        <item x="2"/>
        <item x="14"/>
        <item x="17"/>
        <item x="13"/>
        <item x="23"/>
        <item t="default"/>
      </items>
    </pivotField>
  </pivotFields>
  <rowFields count="1">
    <field x="8"/>
  </rowFields>
  <rowItems count="11">
    <i>
      <x/>
    </i>
    <i>
      <x v="3"/>
    </i>
    <i>
      <x v="4"/>
    </i>
    <i>
      <x v="6"/>
    </i>
    <i>
      <x v="10"/>
    </i>
    <i>
      <x v="14"/>
    </i>
    <i>
      <x v="16"/>
    </i>
    <i>
      <x v="17"/>
    </i>
    <i>
      <x v="20"/>
    </i>
    <i>
      <x v="23"/>
    </i>
    <i t="grand">
      <x/>
    </i>
  </rowItems>
  <colItems count="1">
    <i/>
  </colItems>
  <dataFields count="1">
    <dataField name="Sum of Amount" fld="1" baseField="0" baseItem="0"/>
  </dataFields>
  <formats count="8">
    <format dxfId="25">
      <pivotArea collapsedLevelsAreSubtotals="1" fieldPosition="0">
        <references count="1">
          <reference field="8" count="10">
            <x v="0"/>
            <x v="3"/>
            <x v="4"/>
            <x v="6"/>
            <x v="10"/>
            <x v="14"/>
            <x v="16"/>
            <x v="17"/>
            <x v="20"/>
            <x v="23"/>
          </reference>
        </references>
      </pivotArea>
    </format>
    <format dxfId="24">
      <pivotArea collapsedLevelsAreSubtotals="1" fieldPosition="0">
        <references count="1">
          <reference field="8" count="1">
            <x v="20"/>
          </reference>
        </references>
      </pivotArea>
    </format>
    <format dxfId="23">
      <pivotArea collapsedLevelsAreSubtotals="1" fieldPosition="0">
        <references count="1">
          <reference field="8" count="1">
            <x v="20"/>
          </reference>
        </references>
      </pivotArea>
    </format>
    <format dxfId="22">
      <pivotArea collapsedLevelsAreSubtotals="1" fieldPosition="0">
        <references count="1">
          <reference field="8" count="1">
            <x v="17"/>
          </reference>
        </references>
      </pivotArea>
    </format>
    <format dxfId="21">
      <pivotArea collapsedLevelsAreSubtotals="1" fieldPosition="0">
        <references count="1">
          <reference field="8" count="1">
            <x v="17"/>
          </reference>
        </references>
      </pivotArea>
    </format>
    <format dxfId="20">
      <pivotArea collapsedLevelsAreSubtotals="1" fieldPosition="0">
        <references count="1">
          <reference field="8" count="1">
            <x v="10"/>
          </reference>
        </references>
      </pivotArea>
    </format>
    <format dxfId="19">
      <pivotArea collapsedLevelsAreSubtotals="1" fieldPosition="0">
        <references count="1">
          <reference field="8" count="1">
            <x v="10"/>
          </reference>
        </references>
      </pivotArea>
    </format>
    <format dxfId="18">
      <pivotArea collapsedLevelsAreSubtotals="1" fieldPosition="0">
        <references count="1">
          <reference field="8" count="1">
            <x v="1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B7542-A9E6-4E43-858A-3A8E5A4D5A63}" name="PivotTable2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Month" colHeaderCaption="Year">
  <location ref="B2:D16" firstHeaderRow="1" firstDataRow="2" firstDataCol="1"/>
  <pivotFields count="7">
    <pivotField dataField="1" showAll="0"/>
    <pivotField numFmtId="14" showAll="0"/>
    <pivotField showAll="0"/>
    <pivotField showAll="0"/>
    <pivotField showAll="0"/>
    <pivotField axis="axisRow" showAll="0">
      <items count="13">
        <item x="2"/>
        <item x="1"/>
        <item x="0"/>
        <item x="6"/>
        <item x="11"/>
        <item x="9"/>
        <item x="10"/>
        <item x="4"/>
        <item x="8"/>
        <item x="5"/>
        <item x="7"/>
        <item x="3"/>
        <item t="default"/>
      </items>
    </pivotField>
    <pivotField axis="axisCol" showAll="0">
      <items count="2">
        <item x="0"/>
        <item t="default"/>
      </items>
    </pivotField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2">
    <i>
      <x/>
    </i>
    <i t="grand">
      <x/>
    </i>
  </colItems>
  <dataFields count="1">
    <dataField name="Count of Order ID" fld="0" subtotal="count" baseField="0" baseItem="0"/>
  </dataFields>
  <formats count="10">
    <format dxfId="17">
      <pivotArea collapsedLevelsAreSubtotals="1" fieldPosition="0">
        <references count="1">
          <reference field="5" count="1">
            <x v="2"/>
          </reference>
        </references>
      </pivotArea>
    </format>
    <format dxfId="14">
      <pivotArea outline="0" collapsedLevelsAreSubtotals="1" fieldPosition="0"/>
    </format>
    <format dxfId="13">
      <pivotArea dataOnly="0" labelOnly="1" fieldPosition="0">
        <references count="1">
          <reference field="5" count="0"/>
        </references>
      </pivotArea>
    </format>
    <format dxfId="12">
      <pivotArea dataOnly="0" labelOnly="1" grandRow="1" outline="0" fieldPosition="0"/>
    </format>
    <format dxfId="11">
      <pivotArea type="origin" dataOnly="0" labelOnly="1" outline="0" fieldPosition="0"/>
    </format>
    <format dxfId="10">
      <pivotArea field="6" type="button" dataOnly="0" labelOnly="1" outline="0" axis="axisCol" fieldPosition="0"/>
    </format>
    <format dxfId="9">
      <pivotArea type="topRight" dataOnly="0" labelOnly="1" outline="0" fieldPosition="0"/>
    </format>
    <format dxfId="8">
      <pivotArea field="5" type="button" dataOnly="0" labelOnly="1" outline="0" axis="axisRow" fieldPosition="0"/>
    </format>
    <format dxfId="7">
      <pivotArea dataOnly="0" labelOnly="1" fieldPosition="0">
        <references count="1">
          <reference field="6" count="0"/>
        </references>
      </pivotArea>
    </format>
    <format dxfId="6">
      <pivotArea dataOnly="0" labelOnly="1" grandCol="1" outline="0" fieldPosition="0"/>
    </format>
  </formats>
  <conditionalFormats count="2">
    <conditionalFormat type="all" priority="2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5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type="all"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5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3E2AE-09CE-4AC9-A4AA-9202085C8A0C}" name="PivotTable3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Sub-Category">
  <location ref="B2:C9" firstHeaderRow="1" firstDataRow="1" firstDataCol="1"/>
  <pivotFields count="9">
    <pivotField dataField="1" showAll="0">
      <items count="501">
        <item x="314"/>
        <item x="4"/>
        <item x="117"/>
        <item x="292"/>
        <item x="436"/>
        <item x="364"/>
        <item x="119"/>
        <item x="57"/>
        <item x="158"/>
        <item x="233"/>
        <item x="391"/>
        <item x="235"/>
        <item x="47"/>
        <item x="408"/>
        <item x="288"/>
        <item x="77"/>
        <item x="444"/>
        <item x="38"/>
        <item x="470"/>
        <item x="307"/>
        <item x="207"/>
        <item x="463"/>
        <item x="304"/>
        <item x="477"/>
        <item x="266"/>
        <item x="438"/>
        <item x="419"/>
        <item x="204"/>
        <item x="497"/>
        <item x="197"/>
        <item x="361"/>
        <item x="107"/>
        <item x="157"/>
        <item x="457"/>
        <item x="227"/>
        <item x="473"/>
        <item x="355"/>
        <item x="327"/>
        <item x="494"/>
        <item x="50"/>
        <item x="337"/>
        <item x="215"/>
        <item x="8"/>
        <item x="379"/>
        <item x="226"/>
        <item x="325"/>
        <item x="345"/>
        <item x="186"/>
        <item x="474"/>
        <item x="104"/>
        <item x="89"/>
        <item x="276"/>
        <item x="87"/>
        <item x="173"/>
        <item x="15"/>
        <item x="93"/>
        <item x="111"/>
        <item x="149"/>
        <item x="384"/>
        <item x="242"/>
        <item x="258"/>
        <item x="129"/>
        <item x="442"/>
        <item x="214"/>
        <item x="393"/>
        <item x="78"/>
        <item x="70"/>
        <item x="395"/>
        <item x="486"/>
        <item x="123"/>
        <item x="484"/>
        <item x="480"/>
        <item x="189"/>
        <item x="65"/>
        <item x="79"/>
        <item x="126"/>
        <item x="443"/>
        <item x="183"/>
        <item x="380"/>
        <item x="281"/>
        <item x="0"/>
        <item x="143"/>
        <item x="368"/>
        <item x="320"/>
        <item x="429"/>
        <item x="28"/>
        <item x="7"/>
        <item x="255"/>
        <item x="171"/>
        <item x="464"/>
        <item x="118"/>
        <item x="461"/>
        <item x="82"/>
        <item x="394"/>
        <item x="400"/>
        <item x="6"/>
        <item x="69"/>
        <item x="150"/>
        <item x="247"/>
        <item x="236"/>
        <item x="178"/>
        <item x="437"/>
        <item x="10"/>
        <item x="90"/>
        <item x="450"/>
        <item x="403"/>
        <item x="499"/>
        <item x="120"/>
        <item x="319"/>
        <item x="36"/>
        <item x="349"/>
        <item x="311"/>
        <item x="398"/>
        <item x="55"/>
        <item x="455"/>
        <item x="385"/>
        <item x="195"/>
        <item x="454"/>
        <item x="324"/>
        <item x="174"/>
        <item x="308"/>
        <item x="433"/>
        <item x="39"/>
        <item x="293"/>
        <item x="386"/>
        <item x="465"/>
        <item x="208"/>
        <item x="73"/>
        <item x="48"/>
        <item x="91"/>
        <item x="323"/>
        <item x="389"/>
        <item x="234"/>
        <item x="348"/>
        <item x="19"/>
        <item x="335"/>
        <item x="282"/>
        <item x="312"/>
        <item x="321"/>
        <item x="406"/>
        <item x="210"/>
        <item x="336"/>
        <item x="192"/>
        <item x="22"/>
        <item x="220"/>
        <item x="434"/>
        <item x="116"/>
        <item x="294"/>
        <item x="144"/>
        <item x="110"/>
        <item x="230"/>
        <item x="97"/>
        <item x="256"/>
        <item x="29"/>
        <item x="40"/>
        <item x="13"/>
        <item x="74"/>
        <item x="498"/>
        <item x="115"/>
        <item x="60"/>
        <item x="14"/>
        <item x="61"/>
        <item x="405"/>
        <item x="309"/>
        <item x="318"/>
        <item x="416"/>
        <item x="252"/>
        <item x="496"/>
        <item x="453"/>
        <item x="217"/>
        <item x="313"/>
        <item x="49"/>
        <item x="257"/>
        <item x="341"/>
        <item x="428"/>
        <item x="248"/>
        <item x="67"/>
        <item x="27"/>
        <item x="43"/>
        <item x="373"/>
        <item x="244"/>
        <item x="452"/>
        <item x="356"/>
        <item x="56"/>
        <item x="134"/>
        <item x="16"/>
        <item x="112"/>
        <item x="41"/>
        <item x="388"/>
        <item x="448"/>
        <item x="190"/>
        <item x="381"/>
        <item x="275"/>
        <item x="287"/>
        <item x="273"/>
        <item x="131"/>
        <item x="37"/>
        <item x="176"/>
        <item x="240"/>
        <item x="305"/>
        <item x="52"/>
        <item x="339"/>
        <item x="140"/>
        <item x="347"/>
        <item x="352"/>
        <item x="475"/>
        <item x="491"/>
        <item x="113"/>
        <item x="254"/>
        <item x="51"/>
        <item x="439"/>
        <item x="435"/>
        <item x="489"/>
        <item x="360"/>
        <item x="469"/>
        <item x="31"/>
        <item x="482"/>
        <item x="166"/>
        <item x="181"/>
        <item x="358"/>
        <item x="108"/>
        <item x="459"/>
        <item x="278"/>
        <item x="424"/>
        <item x="317"/>
        <item x="476"/>
        <item x="397"/>
        <item x="148"/>
        <item x="449"/>
        <item x="25"/>
        <item x="122"/>
        <item x="151"/>
        <item x="392"/>
        <item x="340"/>
        <item x="167"/>
        <item x="71"/>
        <item x="169"/>
        <item x="298"/>
        <item x="88"/>
        <item x="218"/>
        <item x="487"/>
        <item x="26"/>
        <item x="209"/>
        <item x="315"/>
        <item x="23"/>
        <item x="219"/>
        <item x="130"/>
        <item x="182"/>
        <item x="372"/>
        <item x="81"/>
        <item x="9"/>
        <item x="83"/>
        <item x="18"/>
        <item x="202"/>
        <item x="139"/>
        <item x="237"/>
        <item x="259"/>
        <item x="155"/>
        <item x="481"/>
        <item x="84"/>
        <item x="239"/>
        <item x="363"/>
        <item x="280"/>
        <item x="350"/>
        <item x="413"/>
        <item x="427"/>
        <item x="156"/>
        <item x="54"/>
        <item x="370"/>
        <item x="138"/>
        <item x="390"/>
        <item x="272"/>
        <item x="154"/>
        <item x="326"/>
        <item x="283"/>
        <item x="440"/>
        <item x="164"/>
        <item x="109"/>
        <item x="407"/>
        <item x="401"/>
        <item x="5"/>
        <item x="328"/>
        <item x="33"/>
        <item x="479"/>
        <item x="114"/>
        <item x="152"/>
        <item x="11"/>
        <item x="127"/>
        <item x="354"/>
        <item x="490"/>
        <item x="205"/>
        <item x="374"/>
        <item x="170"/>
        <item x="495"/>
        <item x="194"/>
        <item x="159"/>
        <item x="153"/>
        <item x="85"/>
        <item x="146"/>
        <item x="59"/>
        <item x="346"/>
        <item x="274"/>
        <item x="103"/>
        <item x="342"/>
        <item x="165"/>
        <item x="377"/>
        <item x="466"/>
        <item x="285"/>
        <item x="44"/>
        <item x="20"/>
        <item x="128"/>
        <item x="344"/>
        <item x="263"/>
        <item x="369"/>
        <item x="225"/>
        <item x="432"/>
        <item x="333"/>
        <item x="245"/>
        <item x="353"/>
        <item x="331"/>
        <item x="371"/>
        <item x="425"/>
        <item x="12"/>
        <item x="359"/>
        <item x="184"/>
        <item x="261"/>
        <item x="301"/>
        <item x="365"/>
        <item x="66"/>
        <item x="133"/>
        <item x="441"/>
        <item x="387"/>
        <item x="187"/>
        <item x="343"/>
        <item x="46"/>
        <item x="451"/>
        <item x="492"/>
        <item x="357"/>
        <item x="376"/>
        <item x="161"/>
        <item x="402"/>
        <item x="188"/>
        <item x="45"/>
        <item x="399"/>
        <item x="95"/>
        <item x="382"/>
        <item x="417"/>
        <item x="302"/>
        <item x="351"/>
        <item x="21"/>
        <item x="147"/>
        <item x="102"/>
        <item x="101"/>
        <item x="296"/>
        <item x="2"/>
        <item x="362"/>
        <item x="75"/>
        <item x="338"/>
        <item x="125"/>
        <item x="332"/>
        <item x="177"/>
        <item x="145"/>
        <item x="367"/>
        <item x="203"/>
        <item x="63"/>
        <item x="200"/>
        <item x="64"/>
        <item x="483"/>
        <item x="404"/>
        <item x="105"/>
        <item x="246"/>
        <item x="334"/>
        <item x="193"/>
        <item x="478"/>
        <item x="468"/>
        <item x="412"/>
        <item x="185"/>
        <item x="446"/>
        <item x="268"/>
        <item x="163"/>
        <item x="232"/>
        <item x="493"/>
        <item x="191"/>
        <item x="72"/>
        <item x="249"/>
        <item x="100"/>
        <item x="216"/>
        <item x="375"/>
        <item x="223"/>
        <item x="290"/>
        <item x="42"/>
        <item x="383"/>
        <item x="132"/>
        <item x="279"/>
        <item x="62"/>
        <item x="141"/>
        <item x="289"/>
        <item x="271"/>
        <item x="260"/>
        <item x="160"/>
        <item x="24"/>
        <item x="269"/>
        <item x="34"/>
        <item x="295"/>
        <item x="366"/>
        <item x="68"/>
        <item x="212"/>
        <item x="300"/>
        <item x="224"/>
        <item x="267"/>
        <item x="410"/>
        <item x="423"/>
        <item x="467"/>
        <item x="229"/>
        <item x="458"/>
        <item x="180"/>
        <item x="378"/>
        <item x="277"/>
        <item x="136"/>
        <item x="264"/>
        <item x="121"/>
        <item x="32"/>
        <item x="253"/>
        <item x="396"/>
        <item x="231"/>
        <item x="238"/>
        <item x="420"/>
        <item x="172"/>
        <item x="124"/>
        <item x="222"/>
        <item x="284"/>
        <item x="251"/>
        <item x="94"/>
        <item x="460"/>
        <item x="199"/>
        <item x="445"/>
        <item x="330"/>
        <item x="228"/>
        <item x="306"/>
        <item x="329"/>
        <item x="286"/>
        <item x="299"/>
        <item x="297"/>
        <item x="472"/>
        <item x="243"/>
        <item x="462"/>
        <item x="415"/>
        <item x="30"/>
        <item x="414"/>
        <item x="198"/>
        <item x="58"/>
        <item x="92"/>
        <item x="135"/>
        <item x="241"/>
        <item x="1"/>
        <item x="179"/>
        <item x="175"/>
        <item x="471"/>
        <item x="485"/>
        <item x="201"/>
        <item x="76"/>
        <item x="106"/>
        <item x="250"/>
        <item x="196"/>
        <item x="316"/>
        <item x="310"/>
        <item x="99"/>
        <item x="421"/>
        <item x="418"/>
        <item x="137"/>
        <item x="488"/>
        <item x="431"/>
        <item x="221"/>
        <item x="411"/>
        <item x="456"/>
        <item x="262"/>
        <item x="447"/>
        <item x="142"/>
        <item x="80"/>
        <item x="422"/>
        <item x="168"/>
        <item x="322"/>
        <item x="265"/>
        <item x="270"/>
        <item x="53"/>
        <item x="96"/>
        <item x="162"/>
        <item x="213"/>
        <item x="206"/>
        <item x="430"/>
        <item x="291"/>
        <item x="409"/>
        <item x="3"/>
        <item x="303"/>
        <item x="17"/>
        <item x="211"/>
        <item x="35"/>
        <item x="98"/>
        <item x="426"/>
        <item x="86"/>
        <item t="default"/>
      </items>
    </pivotField>
    <pivotField showAll="0"/>
    <pivotField showAll="0"/>
    <pivotField showAll="0"/>
    <pivotField showAll="0"/>
    <pivotField axis="axisRow" showAll="0" measureFilter="1">
      <items count="18">
        <item x="13"/>
        <item x="2"/>
        <item x="1"/>
        <item x="0"/>
        <item x="15"/>
        <item x="7"/>
        <item x="8"/>
        <item x="12"/>
        <item x="4"/>
        <item x="3"/>
        <item x="6"/>
        <item x="16"/>
        <item x="9"/>
        <item x="11"/>
        <item x="10"/>
        <item x="5"/>
        <item x="14"/>
        <item t="default"/>
      </items>
    </pivotField>
    <pivotField showAll="0"/>
    <pivotField showAll="0"/>
    <pivotField showAll="0"/>
  </pivotFields>
  <rowFields count="1">
    <field x="5"/>
  </rowFields>
  <rowItems count="7">
    <i>
      <x v="1"/>
    </i>
    <i>
      <x v="3"/>
    </i>
    <i>
      <x v="5"/>
    </i>
    <i>
      <x v="8"/>
    </i>
    <i>
      <x v="10"/>
    </i>
    <i>
      <x v="13"/>
    </i>
    <i t="grand">
      <x/>
    </i>
  </rowItems>
  <colItems count="1">
    <i/>
  </colItems>
  <dataFields count="1">
    <dataField name="Count of Order ID" fld="0" subtotal="count" baseField="0" baseItem="0"/>
  </dataField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6">
              <x v="1"/>
              <x v="3"/>
              <x v="5"/>
              <x v="8"/>
              <x v="10"/>
              <x v="13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4DE49-D54E-478E-A29A-0517151EF6AE}" name="PivotTable4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State">
  <location ref="B2:C22" firstHeaderRow="1" firstDataRow="1" firstDataCol="1"/>
  <pivotFields count="9"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20">
        <item x="9"/>
        <item x="12"/>
        <item x="8"/>
        <item x="16"/>
        <item x="7"/>
        <item x="15"/>
        <item x="11"/>
        <item x="4"/>
        <item x="3"/>
        <item x="10"/>
        <item x="0"/>
        <item x="2"/>
        <item x="5"/>
        <item x="13"/>
        <item x="6"/>
        <item x="18"/>
        <item x="14"/>
        <item x="1"/>
        <item x="17"/>
        <item t="default"/>
      </items>
    </pivotField>
    <pivotField showAll="0"/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verage of Profit" fld="2" subtotal="average" baseField="7" baseItem="0"/>
  </dataField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7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FFA2A-5F24-4513-A790-EF4F7ABBFFAE}" name="PivotTable7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PaymentMode">
  <location ref="B2:C8" firstHeaderRow="1" firstDataRow="1" firstDataCol="1"/>
  <pivotFields count="9"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6">
        <item x="3"/>
        <item x="1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6"/>
  </rowFields>
  <rowItems count="6">
    <i>
      <x v="1"/>
    </i>
    <i>
      <x v="3"/>
    </i>
    <i>
      <x v="2"/>
    </i>
    <i>
      <x v="4"/>
    </i>
    <i>
      <x/>
    </i>
    <i t="grand">
      <x/>
    </i>
  </rowItems>
  <colItems count="1">
    <i/>
  </colItems>
  <dataFields count="1">
    <dataField name="Average of Amount" fld="1" subtotal="average" baseField="6" baseItem="0"/>
  </dataField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6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91CC8-C13A-4EA4-8A1F-2ACA7DFE482B}">
  <dimension ref="A1:G501"/>
  <sheetViews>
    <sheetView workbookViewId="0">
      <selection activeCell="F16" sqref="F16"/>
    </sheetView>
  </sheetViews>
  <sheetFormatPr defaultRowHeight="15" x14ac:dyDescent="0.25"/>
  <cols>
    <col min="1" max="1" width="8.42578125" bestFit="1" customWidth="1"/>
    <col min="2" max="2" width="10.7109375" bestFit="1" customWidth="1"/>
    <col min="3" max="3" width="15" bestFit="1" customWidth="1"/>
    <col min="4" max="4" width="18.85546875" bestFit="1" customWidth="1"/>
    <col min="5" max="5" width="19.7109375" bestFit="1" customWidth="1"/>
    <col min="6" max="6" width="14.7109375" bestFit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9" t="s">
        <v>934</v>
      </c>
      <c r="G1" s="19" t="s">
        <v>935</v>
      </c>
    </row>
    <row r="2" spans="1:7" x14ac:dyDescent="0.25">
      <c r="A2" t="s">
        <v>5</v>
      </c>
      <c r="B2" s="1">
        <v>43169</v>
      </c>
      <c r="C2" t="s">
        <v>6</v>
      </c>
      <c r="D2" t="s">
        <v>7</v>
      </c>
      <c r="E2" t="s">
        <v>8</v>
      </c>
      <c r="F2" s="12">
        <f>MONTH(B2)</f>
        <v>3</v>
      </c>
      <c r="G2">
        <f>YEAR(B2)</f>
        <v>2018</v>
      </c>
    </row>
    <row r="3" spans="1:7" x14ac:dyDescent="0.25">
      <c r="A3" t="s">
        <v>9</v>
      </c>
      <c r="B3" s="1">
        <v>43134</v>
      </c>
      <c r="C3" t="s">
        <v>10</v>
      </c>
      <c r="D3" t="s">
        <v>11</v>
      </c>
      <c r="E3" t="s">
        <v>11</v>
      </c>
      <c r="F3" s="12">
        <f t="shared" ref="F3:F66" si="0">MONTH(B3)</f>
        <v>2</v>
      </c>
      <c r="G3" s="5">
        <f t="shared" ref="G3:G66" si="1">YEAR(B3)</f>
        <v>2018</v>
      </c>
    </row>
    <row r="4" spans="1:7" x14ac:dyDescent="0.25">
      <c r="A4" t="s">
        <v>12</v>
      </c>
      <c r="B4" s="1">
        <v>43124</v>
      </c>
      <c r="C4" t="s">
        <v>13</v>
      </c>
      <c r="D4" t="s">
        <v>7</v>
      </c>
      <c r="E4" t="s">
        <v>8</v>
      </c>
      <c r="F4" s="12">
        <f t="shared" si="0"/>
        <v>1</v>
      </c>
      <c r="G4" s="5">
        <f t="shared" si="1"/>
        <v>2018</v>
      </c>
    </row>
    <row r="5" spans="1:7" x14ac:dyDescent="0.25">
      <c r="A5" t="s">
        <v>14</v>
      </c>
      <c r="B5" s="1">
        <v>43461</v>
      </c>
      <c r="C5" t="s">
        <v>15</v>
      </c>
      <c r="D5" t="s">
        <v>16</v>
      </c>
      <c r="E5" t="s">
        <v>17</v>
      </c>
      <c r="F5" s="12">
        <f t="shared" si="0"/>
        <v>12</v>
      </c>
      <c r="G5" s="5">
        <f t="shared" si="1"/>
        <v>2018</v>
      </c>
    </row>
    <row r="6" spans="1:7" x14ac:dyDescent="0.25">
      <c r="A6" t="s">
        <v>18</v>
      </c>
      <c r="B6" s="1">
        <v>43333</v>
      </c>
      <c r="C6" t="s">
        <v>19</v>
      </c>
      <c r="D6" t="s">
        <v>20</v>
      </c>
      <c r="E6" t="s">
        <v>21</v>
      </c>
      <c r="F6" s="12">
        <f t="shared" si="0"/>
        <v>8</v>
      </c>
      <c r="G6" s="5">
        <f t="shared" si="1"/>
        <v>2018</v>
      </c>
    </row>
    <row r="7" spans="1:7" x14ac:dyDescent="0.25">
      <c r="A7" t="s">
        <v>22</v>
      </c>
      <c r="B7" s="1">
        <v>43121</v>
      </c>
      <c r="C7" t="s">
        <v>23</v>
      </c>
      <c r="D7" t="s">
        <v>7</v>
      </c>
      <c r="E7" t="s">
        <v>24</v>
      </c>
      <c r="F7" s="12">
        <f t="shared" si="0"/>
        <v>1</v>
      </c>
      <c r="G7" s="5">
        <f t="shared" si="1"/>
        <v>2018</v>
      </c>
    </row>
    <row r="8" spans="1:7" x14ac:dyDescent="0.25">
      <c r="A8" t="s">
        <v>25</v>
      </c>
      <c r="B8" s="1">
        <v>43116</v>
      </c>
      <c r="C8" t="s">
        <v>26</v>
      </c>
      <c r="D8" t="s">
        <v>16</v>
      </c>
      <c r="E8" t="s">
        <v>27</v>
      </c>
      <c r="F8" s="12">
        <f t="shared" si="0"/>
        <v>1</v>
      </c>
      <c r="G8" s="5">
        <f t="shared" si="1"/>
        <v>2018</v>
      </c>
    </row>
    <row r="9" spans="1:7" x14ac:dyDescent="0.25">
      <c r="A9" t="s">
        <v>28</v>
      </c>
      <c r="B9" s="1">
        <v>43186</v>
      </c>
      <c r="C9" t="s">
        <v>29</v>
      </c>
      <c r="D9" t="s">
        <v>16</v>
      </c>
      <c r="E9" t="s">
        <v>27</v>
      </c>
      <c r="F9" s="12">
        <f t="shared" si="0"/>
        <v>3</v>
      </c>
      <c r="G9" s="5">
        <f t="shared" si="1"/>
        <v>2018</v>
      </c>
    </row>
    <row r="10" spans="1:7" x14ac:dyDescent="0.25">
      <c r="A10" t="s">
        <v>30</v>
      </c>
      <c r="B10" s="1">
        <v>43374</v>
      </c>
      <c r="C10" t="s">
        <v>31</v>
      </c>
      <c r="D10" t="s">
        <v>32</v>
      </c>
      <c r="E10" t="s">
        <v>33</v>
      </c>
      <c r="F10" s="12">
        <f t="shared" si="0"/>
        <v>10</v>
      </c>
      <c r="G10" s="5">
        <f t="shared" si="1"/>
        <v>2018</v>
      </c>
    </row>
    <row r="11" spans="1:7" x14ac:dyDescent="0.25">
      <c r="A11" t="s">
        <v>34</v>
      </c>
      <c r="B11" s="1">
        <v>43191</v>
      </c>
      <c r="C11" t="s">
        <v>35</v>
      </c>
      <c r="D11" t="s">
        <v>16</v>
      </c>
      <c r="E11" t="s">
        <v>27</v>
      </c>
      <c r="F11" s="12">
        <f t="shared" si="0"/>
        <v>4</v>
      </c>
      <c r="G11" s="5">
        <f t="shared" si="1"/>
        <v>2018</v>
      </c>
    </row>
    <row r="12" spans="1:7" x14ac:dyDescent="0.25">
      <c r="A12" t="s">
        <v>36</v>
      </c>
      <c r="B12" s="1">
        <v>43417</v>
      </c>
      <c r="C12" t="s">
        <v>37</v>
      </c>
      <c r="D12" t="s">
        <v>16</v>
      </c>
      <c r="E12" t="s">
        <v>17</v>
      </c>
      <c r="F12" s="12">
        <f t="shared" si="0"/>
        <v>11</v>
      </c>
      <c r="G12" s="5">
        <f t="shared" si="1"/>
        <v>2018</v>
      </c>
    </row>
    <row r="13" spans="1:7" x14ac:dyDescent="0.25">
      <c r="A13" t="s">
        <v>38</v>
      </c>
      <c r="B13" s="1">
        <v>43121</v>
      </c>
      <c r="C13" t="s">
        <v>39</v>
      </c>
      <c r="D13" t="s">
        <v>40</v>
      </c>
      <c r="E13" t="s">
        <v>41</v>
      </c>
      <c r="F13" s="12">
        <f t="shared" si="0"/>
        <v>1</v>
      </c>
      <c r="G13" s="5">
        <f t="shared" si="1"/>
        <v>2018</v>
      </c>
    </row>
    <row r="14" spans="1:7" x14ac:dyDescent="0.25">
      <c r="A14" t="s">
        <v>42</v>
      </c>
      <c r="B14" s="1">
        <v>43189</v>
      </c>
      <c r="C14" t="s">
        <v>43</v>
      </c>
      <c r="D14" t="s">
        <v>16</v>
      </c>
      <c r="E14" t="s">
        <v>17</v>
      </c>
      <c r="F14" s="12">
        <f t="shared" si="0"/>
        <v>3</v>
      </c>
      <c r="G14" s="5">
        <f t="shared" si="1"/>
        <v>2018</v>
      </c>
    </row>
    <row r="15" spans="1:7" x14ac:dyDescent="0.25">
      <c r="A15" t="s">
        <v>44</v>
      </c>
      <c r="B15" s="1">
        <v>43135</v>
      </c>
      <c r="C15" t="s">
        <v>45</v>
      </c>
      <c r="D15" t="s">
        <v>16</v>
      </c>
      <c r="E15" t="s">
        <v>27</v>
      </c>
      <c r="F15" s="12">
        <f t="shared" si="0"/>
        <v>2</v>
      </c>
      <c r="G15" s="5">
        <f t="shared" si="1"/>
        <v>2018</v>
      </c>
    </row>
    <row r="16" spans="1:7" x14ac:dyDescent="0.25">
      <c r="A16" t="s">
        <v>46</v>
      </c>
      <c r="B16" s="1">
        <v>43429</v>
      </c>
      <c r="C16" t="s">
        <v>47</v>
      </c>
      <c r="D16" t="s">
        <v>7</v>
      </c>
      <c r="E16" t="s">
        <v>8</v>
      </c>
      <c r="F16" s="12">
        <f t="shared" si="0"/>
        <v>11</v>
      </c>
      <c r="G16" s="5">
        <f t="shared" si="1"/>
        <v>2018</v>
      </c>
    </row>
    <row r="17" spans="1:7" x14ac:dyDescent="0.25">
      <c r="A17" t="s">
        <v>48</v>
      </c>
      <c r="B17" s="1">
        <v>43337</v>
      </c>
      <c r="C17" t="s">
        <v>10</v>
      </c>
      <c r="D17" t="s">
        <v>7</v>
      </c>
      <c r="E17" t="s">
        <v>8</v>
      </c>
      <c r="F17" s="12">
        <f t="shared" si="0"/>
        <v>8</v>
      </c>
      <c r="G17" s="5">
        <f t="shared" si="1"/>
        <v>2018</v>
      </c>
    </row>
    <row r="18" spans="1:7" x14ac:dyDescent="0.25">
      <c r="A18" t="s">
        <v>49</v>
      </c>
      <c r="B18" s="1">
        <v>43435</v>
      </c>
      <c r="C18" t="s">
        <v>19</v>
      </c>
      <c r="D18" t="s">
        <v>7</v>
      </c>
      <c r="E18" t="s">
        <v>24</v>
      </c>
      <c r="F18" s="12">
        <f t="shared" si="0"/>
        <v>12</v>
      </c>
      <c r="G18" s="5">
        <f t="shared" si="1"/>
        <v>2018</v>
      </c>
    </row>
    <row r="19" spans="1:7" x14ac:dyDescent="0.25">
      <c r="A19" t="s">
        <v>50</v>
      </c>
      <c r="B19" s="1">
        <v>43391</v>
      </c>
      <c r="C19" t="s">
        <v>51</v>
      </c>
      <c r="D19" t="s">
        <v>16</v>
      </c>
      <c r="E19" t="s">
        <v>17</v>
      </c>
      <c r="F19" s="12">
        <f t="shared" si="0"/>
        <v>10</v>
      </c>
      <c r="G19" s="5">
        <f t="shared" si="1"/>
        <v>2018</v>
      </c>
    </row>
    <row r="20" spans="1:7" x14ac:dyDescent="0.25">
      <c r="A20" t="s">
        <v>52</v>
      </c>
      <c r="B20" s="1">
        <v>43412</v>
      </c>
      <c r="C20" t="s">
        <v>53</v>
      </c>
      <c r="D20" t="s">
        <v>40</v>
      </c>
      <c r="E20" t="s">
        <v>54</v>
      </c>
      <c r="F20" s="12">
        <f t="shared" si="0"/>
        <v>11</v>
      </c>
      <c r="G20" s="5">
        <f t="shared" si="1"/>
        <v>2018</v>
      </c>
    </row>
    <row r="21" spans="1:7" x14ac:dyDescent="0.25">
      <c r="A21" t="s">
        <v>55</v>
      </c>
      <c r="B21" s="1">
        <v>43419</v>
      </c>
      <c r="C21" t="s">
        <v>56</v>
      </c>
      <c r="D21" t="s">
        <v>57</v>
      </c>
      <c r="E21" t="s">
        <v>58</v>
      </c>
      <c r="F21" s="12">
        <f t="shared" si="0"/>
        <v>11</v>
      </c>
      <c r="G21" s="5">
        <f t="shared" si="1"/>
        <v>2018</v>
      </c>
    </row>
    <row r="22" spans="1:7" x14ac:dyDescent="0.25">
      <c r="A22" t="s">
        <v>59</v>
      </c>
      <c r="B22" s="1">
        <v>43399</v>
      </c>
      <c r="C22" t="s">
        <v>60</v>
      </c>
      <c r="D22" t="s">
        <v>61</v>
      </c>
      <c r="E22" t="s">
        <v>62</v>
      </c>
      <c r="F22" s="12">
        <f t="shared" si="0"/>
        <v>10</v>
      </c>
      <c r="G22" s="5">
        <f t="shared" si="1"/>
        <v>2018</v>
      </c>
    </row>
    <row r="23" spans="1:7" x14ac:dyDescent="0.25">
      <c r="A23" t="s">
        <v>63</v>
      </c>
      <c r="B23" s="1">
        <v>43362</v>
      </c>
      <c r="C23" t="s">
        <v>13</v>
      </c>
      <c r="D23" t="s">
        <v>7</v>
      </c>
      <c r="E23" t="s">
        <v>8</v>
      </c>
      <c r="F23" s="12">
        <f t="shared" si="0"/>
        <v>9</v>
      </c>
      <c r="G23" s="5">
        <f t="shared" si="1"/>
        <v>2018</v>
      </c>
    </row>
    <row r="24" spans="1:7" x14ac:dyDescent="0.25">
      <c r="A24" t="s">
        <v>64</v>
      </c>
      <c r="B24" s="1">
        <v>43262</v>
      </c>
      <c r="C24" t="s">
        <v>65</v>
      </c>
      <c r="D24" t="s">
        <v>61</v>
      </c>
      <c r="E24" t="s">
        <v>62</v>
      </c>
      <c r="F24" s="12">
        <f t="shared" si="0"/>
        <v>6</v>
      </c>
      <c r="G24" s="5">
        <f t="shared" si="1"/>
        <v>2018</v>
      </c>
    </row>
    <row r="25" spans="1:7" x14ac:dyDescent="0.25">
      <c r="A25" t="s">
        <v>66</v>
      </c>
      <c r="B25" s="1">
        <v>43149</v>
      </c>
      <c r="C25" t="s">
        <v>67</v>
      </c>
      <c r="D25" t="s">
        <v>68</v>
      </c>
      <c r="E25" t="s">
        <v>69</v>
      </c>
      <c r="F25" s="12">
        <f t="shared" si="0"/>
        <v>2</v>
      </c>
      <c r="G25" s="5">
        <f t="shared" si="1"/>
        <v>2018</v>
      </c>
    </row>
    <row r="26" spans="1:7" x14ac:dyDescent="0.25">
      <c r="A26" t="s">
        <v>70</v>
      </c>
      <c r="B26" s="1">
        <v>43139</v>
      </c>
      <c r="C26" t="s">
        <v>71</v>
      </c>
      <c r="D26" t="s">
        <v>20</v>
      </c>
      <c r="E26" t="s">
        <v>72</v>
      </c>
      <c r="F26" s="12">
        <f t="shared" si="0"/>
        <v>2</v>
      </c>
      <c r="G26" s="5">
        <f t="shared" si="1"/>
        <v>2018</v>
      </c>
    </row>
    <row r="27" spans="1:7" x14ac:dyDescent="0.25">
      <c r="A27" t="s">
        <v>73</v>
      </c>
      <c r="B27" s="1">
        <v>43331</v>
      </c>
      <c r="C27" t="s">
        <v>74</v>
      </c>
      <c r="D27" t="s">
        <v>75</v>
      </c>
      <c r="E27" t="s">
        <v>76</v>
      </c>
      <c r="F27" s="12">
        <f t="shared" si="0"/>
        <v>8</v>
      </c>
      <c r="G27" s="5">
        <f t="shared" si="1"/>
        <v>2018</v>
      </c>
    </row>
    <row r="28" spans="1:7" x14ac:dyDescent="0.25">
      <c r="A28" t="s">
        <v>77</v>
      </c>
      <c r="B28" s="1">
        <v>43444</v>
      </c>
      <c r="C28" t="s">
        <v>78</v>
      </c>
      <c r="D28" t="s">
        <v>16</v>
      </c>
      <c r="E28" t="s">
        <v>17</v>
      </c>
      <c r="F28" s="12">
        <f t="shared" si="0"/>
        <v>12</v>
      </c>
      <c r="G28" s="5">
        <f t="shared" si="1"/>
        <v>2018</v>
      </c>
    </row>
    <row r="29" spans="1:7" x14ac:dyDescent="0.25">
      <c r="A29" t="s">
        <v>79</v>
      </c>
      <c r="B29" s="1">
        <v>43104</v>
      </c>
      <c r="C29" t="s">
        <v>80</v>
      </c>
      <c r="D29" t="s">
        <v>81</v>
      </c>
      <c r="E29" t="s">
        <v>82</v>
      </c>
      <c r="F29" s="12">
        <f t="shared" si="0"/>
        <v>1</v>
      </c>
      <c r="G29" s="5">
        <f t="shared" si="1"/>
        <v>2018</v>
      </c>
    </row>
    <row r="30" spans="1:7" x14ac:dyDescent="0.25">
      <c r="A30" t="s">
        <v>83</v>
      </c>
      <c r="B30" s="1">
        <v>43373</v>
      </c>
      <c r="C30" t="s">
        <v>84</v>
      </c>
      <c r="D30" t="s">
        <v>20</v>
      </c>
      <c r="E30" t="s">
        <v>21</v>
      </c>
      <c r="F30" s="12">
        <f t="shared" si="0"/>
        <v>9</v>
      </c>
      <c r="G30" s="5">
        <f t="shared" si="1"/>
        <v>2018</v>
      </c>
    </row>
    <row r="31" spans="1:7" x14ac:dyDescent="0.25">
      <c r="A31" t="s">
        <v>85</v>
      </c>
      <c r="B31" s="1">
        <v>43217</v>
      </c>
      <c r="C31" t="s">
        <v>86</v>
      </c>
      <c r="D31" t="s">
        <v>20</v>
      </c>
      <c r="E31" t="s">
        <v>72</v>
      </c>
      <c r="F31" s="12">
        <f t="shared" si="0"/>
        <v>4</v>
      </c>
      <c r="G31" s="5">
        <f t="shared" si="1"/>
        <v>2018</v>
      </c>
    </row>
    <row r="32" spans="1:7" x14ac:dyDescent="0.25">
      <c r="A32" t="s">
        <v>87</v>
      </c>
      <c r="B32" s="1">
        <v>43255</v>
      </c>
      <c r="C32" t="s">
        <v>88</v>
      </c>
      <c r="D32" t="s">
        <v>20</v>
      </c>
      <c r="E32" t="s">
        <v>21</v>
      </c>
      <c r="F32" s="12">
        <f t="shared" si="0"/>
        <v>6</v>
      </c>
      <c r="G32" s="5">
        <f t="shared" si="1"/>
        <v>2018</v>
      </c>
    </row>
    <row r="33" spans="1:7" x14ac:dyDescent="0.25">
      <c r="A33" t="s">
        <v>89</v>
      </c>
      <c r="B33" s="1">
        <v>43447</v>
      </c>
      <c r="C33" t="s">
        <v>90</v>
      </c>
      <c r="D33" t="s">
        <v>16</v>
      </c>
      <c r="E33" t="s">
        <v>27</v>
      </c>
      <c r="F33" s="12">
        <f t="shared" si="0"/>
        <v>12</v>
      </c>
      <c r="G33" s="5">
        <f t="shared" si="1"/>
        <v>2018</v>
      </c>
    </row>
    <row r="34" spans="1:7" x14ac:dyDescent="0.25">
      <c r="A34" t="s">
        <v>91</v>
      </c>
      <c r="B34" s="1">
        <v>43448</v>
      </c>
      <c r="C34" t="s">
        <v>92</v>
      </c>
      <c r="D34" t="s">
        <v>11</v>
      </c>
      <c r="E34" t="s">
        <v>11</v>
      </c>
      <c r="F34" s="12">
        <f t="shared" si="0"/>
        <v>12</v>
      </c>
      <c r="G34" s="5">
        <f t="shared" si="1"/>
        <v>2018</v>
      </c>
    </row>
    <row r="35" spans="1:7" x14ac:dyDescent="0.25">
      <c r="A35" t="s">
        <v>93</v>
      </c>
      <c r="B35" s="1">
        <v>43113</v>
      </c>
      <c r="C35" t="s">
        <v>94</v>
      </c>
      <c r="D35" t="s">
        <v>20</v>
      </c>
      <c r="E35" t="s">
        <v>21</v>
      </c>
      <c r="F35" s="12">
        <f t="shared" si="0"/>
        <v>1</v>
      </c>
      <c r="G35" s="5">
        <f t="shared" si="1"/>
        <v>2018</v>
      </c>
    </row>
    <row r="36" spans="1:7" x14ac:dyDescent="0.25">
      <c r="A36" t="s">
        <v>95</v>
      </c>
      <c r="B36" s="1">
        <v>43202</v>
      </c>
      <c r="C36" t="s">
        <v>96</v>
      </c>
      <c r="D36" t="s">
        <v>97</v>
      </c>
      <c r="E36" t="s">
        <v>69</v>
      </c>
      <c r="F36" s="12">
        <f t="shared" si="0"/>
        <v>4</v>
      </c>
      <c r="G36" s="5">
        <f t="shared" si="1"/>
        <v>2018</v>
      </c>
    </row>
    <row r="37" spans="1:7" x14ac:dyDescent="0.25">
      <c r="A37" t="s">
        <v>98</v>
      </c>
      <c r="B37" s="1">
        <v>43457</v>
      </c>
      <c r="C37" t="s">
        <v>99</v>
      </c>
      <c r="D37" t="s">
        <v>100</v>
      </c>
      <c r="E37" t="s">
        <v>101</v>
      </c>
      <c r="F37" s="12">
        <f t="shared" si="0"/>
        <v>12</v>
      </c>
      <c r="G37" s="5">
        <f t="shared" si="1"/>
        <v>2018</v>
      </c>
    </row>
    <row r="38" spans="1:7" x14ac:dyDescent="0.25">
      <c r="A38" t="s">
        <v>102</v>
      </c>
      <c r="B38" s="1">
        <v>43344</v>
      </c>
      <c r="C38" t="s">
        <v>103</v>
      </c>
      <c r="D38" t="s">
        <v>104</v>
      </c>
      <c r="E38" t="s">
        <v>105</v>
      </c>
      <c r="F38" s="12">
        <f t="shared" si="0"/>
        <v>9</v>
      </c>
      <c r="G38" s="5">
        <f t="shared" si="1"/>
        <v>2018</v>
      </c>
    </row>
    <row r="39" spans="1:7" x14ac:dyDescent="0.25">
      <c r="A39" t="s">
        <v>106</v>
      </c>
      <c r="B39" s="1">
        <v>43214</v>
      </c>
      <c r="C39" t="s">
        <v>107</v>
      </c>
      <c r="D39" t="s">
        <v>75</v>
      </c>
      <c r="E39" t="s">
        <v>76</v>
      </c>
      <c r="F39" s="12">
        <f t="shared" si="0"/>
        <v>4</v>
      </c>
      <c r="G39" s="5">
        <f t="shared" si="1"/>
        <v>2018</v>
      </c>
    </row>
    <row r="40" spans="1:7" x14ac:dyDescent="0.25">
      <c r="A40" t="s">
        <v>108</v>
      </c>
      <c r="B40" s="1">
        <v>43303</v>
      </c>
      <c r="C40" t="s">
        <v>109</v>
      </c>
      <c r="D40" t="s">
        <v>20</v>
      </c>
      <c r="E40" t="s">
        <v>72</v>
      </c>
      <c r="F40" s="12">
        <f t="shared" si="0"/>
        <v>7</v>
      </c>
      <c r="G40" s="5">
        <f t="shared" si="1"/>
        <v>2018</v>
      </c>
    </row>
    <row r="41" spans="1:7" x14ac:dyDescent="0.25">
      <c r="A41" t="s">
        <v>110</v>
      </c>
      <c r="B41" s="1">
        <v>43109</v>
      </c>
      <c r="C41" t="s">
        <v>111</v>
      </c>
      <c r="D41" t="s">
        <v>40</v>
      </c>
      <c r="E41" t="s">
        <v>54</v>
      </c>
      <c r="F41" s="12">
        <f t="shared" si="0"/>
        <v>1</v>
      </c>
      <c r="G41" s="5">
        <f t="shared" si="1"/>
        <v>2018</v>
      </c>
    </row>
    <row r="42" spans="1:7" x14ac:dyDescent="0.25">
      <c r="A42" t="s">
        <v>112</v>
      </c>
      <c r="B42" s="1">
        <v>43406</v>
      </c>
      <c r="C42" t="s">
        <v>113</v>
      </c>
      <c r="D42" t="s">
        <v>16</v>
      </c>
      <c r="E42" t="s">
        <v>27</v>
      </c>
      <c r="F42" s="12">
        <f t="shared" si="0"/>
        <v>11</v>
      </c>
      <c r="G42" s="5">
        <f t="shared" si="1"/>
        <v>2018</v>
      </c>
    </row>
    <row r="43" spans="1:7" x14ac:dyDescent="0.25">
      <c r="A43" t="s">
        <v>114</v>
      </c>
      <c r="B43" s="1">
        <v>43180</v>
      </c>
      <c r="C43" t="s">
        <v>115</v>
      </c>
      <c r="D43" t="s">
        <v>20</v>
      </c>
      <c r="E43" t="s">
        <v>21</v>
      </c>
      <c r="F43" s="12">
        <f t="shared" si="0"/>
        <v>3</v>
      </c>
      <c r="G43" s="5">
        <f t="shared" si="1"/>
        <v>2018</v>
      </c>
    </row>
    <row r="44" spans="1:7" x14ac:dyDescent="0.25">
      <c r="A44" t="s">
        <v>116</v>
      </c>
      <c r="B44" s="1">
        <v>43354</v>
      </c>
      <c r="C44" t="s">
        <v>117</v>
      </c>
      <c r="D44" t="s">
        <v>16</v>
      </c>
      <c r="E44" t="s">
        <v>17</v>
      </c>
      <c r="F44" s="12">
        <f t="shared" si="0"/>
        <v>9</v>
      </c>
      <c r="G44" s="5">
        <f t="shared" si="1"/>
        <v>2018</v>
      </c>
    </row>
    <row r="45" spans="1:7" x14ac:dyDescent="0.25">
      <c r="A45" t="s">
        <v>118</v>
      </c>
      <c r="B45" s="1">
        <v>43293</v>
      </c>
      <c r="C45" t="s">
        <v>119</v>
      </c>
      <c r="D45" t="s">
        <v>7</v>
      </c>
      <c r="E45" t="s">
        <v>120</v>
      </c>
      <c r="F45" s="12">
        <f t="shared" si="0"/>
        <v>7</v>
      </c>
      <c r="G45" s="5">
        <f t="shared" si="1"/>
        <v>2018</v>
      </c>
    </row>
    <row r="46" spans="1:7" x14ac:dyDescent="0.25">
      <c r="A46" t="s">
        <v>121</v>
      </c>
      <c r="B46" s="1">
        <v>43185</v>
      </c>
      <c r="C46" t="s">
        <v>67</v>
      </c>
      <c r="D46" t="s">
        <v>68</v>
      </c>
      <c r="E46" t="s">
        <v>69</v>
      </c>
      <c r="F46" s="12">
        <f t="shared" si="0"/>
        <v>3</v>
      </c>
      <c r="G46" s="5">
        <f t="shared" si="1"/>
        <v>2018</v>
      </c>
    </row>
    <row r="47" spans="1:7" x14ac:dyDescent="0.25">
      <c r="A47" t="s">
        <v>122</v>
      </c>
      <c r="B47" s="1">
        <v>43163</v>
      </c>
      <c r="C47" t="s">
        <v>123</v>
      </c>
      <c r="D47" t="s">
        <v>16</v>
      </c>
      <c r="E47" t="s">
        <v>27</v>
      </c>
      <c r="F47" s="12">
        <f t="shared" si="0"/>
        <v>3</v>
      </c>
      <c r="G47" s="5">
        <f t="shared" si="1"/>
        <v>2018</v>
      </c>
    </row>
    <row r="48" spans="1:7" x14ac:dyDescent="0.25">
      <c r="A48" t="s">
        <v>124</v>
      </c>
      <c r="B48" s="1">
        <v>43367</v>
      </c>
      <c r="C48" t="s">
        <v>125</v>
      </c>
      <c r="D48" t="s">
        <v>20</v>
      </c>
      <c r="E48" t="s">
        <v>21</v>
      </c>
      <c r="F48" s="12">
        <f t="shared" si="0"/>
        <v>9</v>
      </c>
      <c r="G48" s="5">
        <f t="shared" si="1"/>
        <v>2018</v>
      </c>
    </row>
    <row r="49" spans="1:7" x14ac:dyDescent="0.25">
      <c r="A49" t="s">
        <v>126</v>
      </c>
      <c r="B49" s="1">
        <v>43231</v>
      </c>
      <c r="C49" t="s">
        <v>127</v>
      </c>
      <c r="D49" t="s">
        <v>16</v>
      </c>
      <c r="E49" t="s">
        <v>27</v>
      </c>
      <c r="F49" s="12">
        <f t="shared" si="0"/>
        <v>5</v>
      </c>
      <c r="G49" s="5">
        <f t="shared" si="1"/>
        <v>2018</v>
      </c>
    </row>
    <row r="50" spans="1:7" x14ac:dyDescent="0.25">
      <c r="A50" t="s">
        <v>128</v>
      </c>
      <c r="B50" s="1">
        <v>43198</v>
      </c>
      <c r="C50" t="s">
        <v>129</v>
      </c>
      <c r="D50" t="s">
        <v>130</v>
      </c>
      <c r="E50" t="s">
        <v>131</v>
      </c>
      <c r="F50" s="12">
        <f t="shared" si="0"/>
        <v>4</v>
      </c>
      <c r="G50" s="5">
        <f t="shared" si="1"/>
        <v>2018</v>
      </c>
    </row>
    <row r="51" spans="1:7" x14ac:dyDescent="0.25">
      <c r="A51" t="s">
        <v>132</v>
      </c>
      <c r="B51" s="1">
        <v>43326</v>
      </c>
      <c r="C51" t="s">
        <v>133</v>
      </c>
      <c r="D51" t="s">
        <v>20</v>
      </c>
      <c r="E51" t="s">
        <v>21</v>
      </c>
      <c r="F51" s="12">
        <f t="shared" si="0"/>
        <v>8</v>
      </c>
      <c r="G51" s="5">
        <f t="shared" si="1"/>
        <v>2018</v>
      </c>
    </row>
    <row r="52" spans="1:7" x14ac:dyDescent="0.25">
      <c r="A52" t="s">
        <v>134</v>
      </c>
      <c r="B52" s="1">
        <v>43355</v>
      </c>
      <c r="C52" t="s">
        <v>135</v>
      </c>
      <c r="D52" t="s">
        <v>16</v>
      </c>
      <c r="E52" t="s">
        <v>27</v>
      </c>
      <c r="F52" s="12">
        <f t="shared" si="0"/>
        <v>9</v>
      </c>
      <c r="G52" s="5">
        <f t="shared" si="1"/>
        <v>2018</v>
      </c>
    </row>
    <row r="53" spans="1:7" x14ac:dyDescent="0.25">
      <c r="A53" t="s">
        <v>136</v>
      </c>
      <c r="B53" s="1">
        <v>43193</v>
      </c>
      <c r="C53" t="s">
        <v>137</v>
      </c>
      <c r="D53" t="s">
        <v>20</v>
      </c>
      <c r="E53" t="s">
        <v>72</v>
      </c>
      <c r="F53" s="12">
        <f t="shared" si="0"/>
        <v>4</v>
      </c>
      <c r="G53" s="5">
        <f t="shared" si="1"/>
        <v>2018</v>
      </c>
    </row>
    <row r="54" spans="1:7" x14ac:dyDescent="0.25">
      <c r="A54" t="s">
        <v>138</v>
      </c>
      <c r="B54" s="1">
        <v>43166</v>
      </c>
      <c r="C54" t="s">
        <v>139</v>
      </c>
      <c r="D54" t="s">
        <v>140</v>
      </c>
      <c r="E54" t="s">
        <v>141</v>
      </c>
      <c r="F54" s="12">
        <f t="shared" si="0"/>
        <v>3</v>
      </c>
      <c r="G54" s="5">
        <f t="shared" si="1"/>
        <v>2018</v>
      </c>
    </row>
    <row r="55" spans="1:7" x14ac:dyDescent="0.25">
      <c r="A55" t="s">
        <v>142</v>
      </c>
      <c r="B55" s="1">
        <v>43228</v>
      </c>
      <c r="C55" t="s">
        <v>143</v>
      </c>
      <c r="D55" t="s">
        <v>81</v>
      </c>
      <c r="E55" t="s">
        <v>82</v>
      </c>
      <c r="F55" s="12">
        <f t="shared" si="0"/>
        <v>5</v>
      </c>
      <c r="G55" s="5">
        <f t="shared" si="1"/>
        <v>2018</v>
      </c>
    </row>
    <row r="56" spans="1:7" x14ac:dyDescent="0.25">
      <c r="A56" t="s">
        <v>144</v>
      </c>
      <c r="B56" s="1">
        <v>43412</v>
      </c>
      <c r="C56" t="s">
        <v>145</v>
      </c>
      <c r="D56" t="s">
        <v>20</v>
      </c>
      <c r="E56" t="s">
        <v>72</v>
      </c>
      <c r="F56" s="12">
        <f t="shared" si="0"/>
        <v>11</v>
      </c>
      <c r="G56" s="5">
        <f t="shared" si="1"/>
        <v>2018</v>
      </c>
    </row>
    <row r="57" spans="1:7" x14ac:dyDescent="0.25">
      <c r="A57" t="s">
        <v>146</v>
      </c>
      <c r="B57" s="1">
        <v>43338</v>
      </c>
      <c r="C57" t="s">
        <v>147</v>
      </c>
      <c r="D57" t="s">
        <v>20</v>
      </c>
      <c r="E57" t="s">
        <v>21</v>
      </c>
      <c r="F57" s="12">
        <f t="shared" si="0"/>
        <v>8</v>
      </c>
      <c r="G57" s="5">
        <f t="shared" si="1"/>
        <v>2018</v>
      </c>
    </row>
    <row r="58" spans="1:7" x14ac:dyDescent="0.25">
      <c r="A58" t="s">
        <v>148</v>
      </c>
      <c r="B58" s="1">
        <v>43135</v>
      </c>
      <c r="C58" t="s">
        <v>149</v>
      </c>
      <c r="D58" t="s">
        <v>11</v>
      </c>
      <c r="E58" t="s">
        <v>11</v>
      </c>
      <c r="F58" s="12">
        <f t="shared" si="0"/>
        <v>2</v>
      </c>
      <c r="G58" s="5">
        <f t="shared" si="1"/>
        <v>2018</v>
      </c>
    </row>
    <row r="59" spans="1:7" x14ac:dyDescent="0.25">
      <c r="A59" t="s">
        <v>150</v>
      </c>
      <c r="B59" s="1">
        <v>43102</v>
      </c>
      <c r="C59" t="s">
        <v>151</v>
      </c>
      <c r="D59" t="s">
        <v>75</v>
      </c>
      <c r="E59" t="s">
        <v>76</v>
      </c>
      <c r="F59" s="12">
        <f t="shared" si="0"/>
        <v>1</v>
      </c>
      <c r="G59" s="5">
        <f t="shared" si="1"/>
        <v>2018</v>
      </c>
    </row>
    <row r="60" spans="1:7" x14ac:dyDescent="0.25">
      <c r="A60" t="s">
        <v>152</v>
      </c>
      <c r="B60" s="1">
        <v>43140</v>
      </c>
      <c r="C60" t="s">
        <v>153</v>
      </c>
      <c r="D60" t="s">
        <v>104</v>
      </c>
      <c r="E60" t="s">
        <v>105</v>
      </c>
      <c r="F60" s="12">
        <f t="shared" si="0"/>
        <v>2</v>
      </c>
      <c r="G60" s="5">
        <f t="shared" si="1"/>
        <v>2018</v>
      </c>
    </row>
    <row r="61" spans="1:7" x14ac:dyDescent="0.25">
      <c r="A61" t="s">
        <v>154</v>
      </c>
      <c r="B61" s="1">
        <v>43273</v>
      </c>
      <c r="C61" t="s">
        <v>155</v>
      </c>
      <c r="D61" t="s">
        <v>156</v>
      </c>
      <c r="E61" t="s">
        <v>157</v>
      </c>
      <c r="F61" s="12">
        <f t="shared" si="0"/>
        <v>6</v>
      </c>
      <c r="G61" s="5">
        <f t="shared" si="1"/>
        <v>2018</v>
      </c>
    </row>
    <row r="62" spans="1:7" x14ac:dyDescent="0.25">
      <c r="A62" t="s">
        <v>158</v>
      </c>
      <c r="B62" s="1">
        <v>43402</v>
      </c>
      <c r="C62" t="s">
        <v>159</v>
      </c>
      <c r="D62" t="s">
        <v>16</v>
      </c>
      <c r="E62" t="s">
        <v>27</v>
      </c>
      <c r="F62" s="12">
        <f t="shared" si="0"/>
        <v>10</v>
      </c>
      <c r="G62" s="5">
        <f t="shared" si="1"/>
        <v>2018</v>
      </c>
    </row>
    <row r="63" spans="1:7" x14ac:dyDescent="0.25">
      <c r="A63" t="s">
        <v>160</v>
      </c>
      <c r="B63" s="1">
        <v>43191</v>
      </c>
      <c r="C63" t="s">
        <v>161</v>
      </c>
      <c r="D63" t="s">
        <v>40</v>
      </c>
      <c r="E63" t="s">
        <v>54</v>
      </c>
      <c r="F63" s="12">
        <f t="shared" si="0"/>
        <v>4</v>
      </c>
      <c r="G63" s="5">
        <f t="shared" si="1"/>
        <v>2018</v>
      </c>
    </row>
    <row r="64" spans="1:7" x14ac:dyDescent="0.25">
      <c r="A64" t="s">
        <v>162</v>
      </c>
      <c r="B64" s="1">
        <v>43427</v>
      </c>
      <c r="C64" t="s">
        <v>163</v>
      </c>
      <c r="D64" t="s">
        <v>20</v>
      </c>
      <c r="E64" t="s">
        <v>21</v>
      </c>
      <c r="F64" s="12">
        <f t="shared" si="0"/>
        <v>11</v>
      </c>
      <c r="G64" s="5">
        <f t="shared" si="1"/>
        <v>2018</v>
      </c>
    </row>
    <row r="65" spans="1:7" x14ac:dyDescent="0.25">
      <c r="A65" t="s">
        <v>164</v>
      </c>
      <c r="B65" s="1">
        <v>43151</v>
      </c>
      <c r="C65" t="s">
        <v>165</v>
      </c>
      <c r="D65" t="s">
        <v>32</v>
      </c>
      <c r="E65" t="s">
        <v>33</v>
      </c>
      <c r="F65" s="12">
        <f t="shared" si="0"/>
        <v>2</v>
      </c>
      <c r="G65" s="5">
        <f t="shared" si="1"/>
        <v>2018</v>
      </c>
    </row>
    <row r="66" spans="1:7" x14ac:dyDescent="0.25">
      <c r="A66" t="s">
        <v>166</v>
      </c>
      <c r="B66" s="1">
        <v>43120</v>
      </c>
      <c r="C66" t="s">
        <v>167</v>
      </c>
      <c r="D66" t="s">
        <v>16</v>
      </c>
      <c r="E66" t="s">
        <v>27</v>
      </c>
      <c r="F66" s="12">
        <f t="shared" si="0"/>
        <v>1</v>
      </c>
      <c r="G66" s="5">
        <f t="shared" si="1"/>
        <v>2018</v>
      </c>
    </row>
    <row r="67" spans="1:7" x14ac:dyDescent="0.25">
      <c r="A67" t="s">
        <v>168</v>
      </c>
      <c r="B67" s="1">
        <v>43252</v>
      </c>
      <c r="C67" t="s">
        <v>169</v>
      </c>
      <c r="D67" t="s">
        <v>100</v>
      </c>
      <c r="E67" t="s">
        <v>170</v>
      </c>
      <c r="F67" s="12">
        <f t="shared" ref="F67:F130" si="2">MONTH(B67)</f>
        <v>6</v>
      </c>
      <c r="G67" s="5">
        <f t="shared" ref="G67:G130" si="3">YEAR(B67)</f>
        <v>2018</v>
      </c>
    </row>
    <row r="68" spans="1:7" x14ac:dyDescent="0.25">
      <c r="A68" t="s">
        <v>171</v>
      </c>
      <c r="B68" s="1">
        <v>43403</v>
      </c>
      <c r="C68" t="s">
        <v>172</v>
      </c>
      <c r="D68" t="s">
        <v>140</v>
      </c>
      <c r="E68" t="s">
        <v>141</v>
      </c>
      <c r="F68" s="12">
        <f t="shared" si="2"/>
        <v>10</v>
      </c>
      <c r="G68" s="5">
        <f t="shared" si="3"/>
        <v>2018</v>
      </c>
    </row>
    <row r="69" spans="1:7" x14ac:dyDescent="0.25">
      <c r="A69" t="s">
        <v>173</v>
      </c>
      <c r="B69" s="1">
        <v>43438</v>
      </c>
      <c r="C69" t="s">
        <v>174</v>
      </c>
      <c r="D69" t="s">
        <v>68</v>
      </c>
      <c r="E69" t="s">
        <v>175</v>
      </c>
      <c r="F69" s="12">
        <f t="shared" si="2"/>
        <v>12</v>
      </c>
      <c r="G69" s="5">
        <f t="shared" si="3"/>
        <v>2018</v>
      </c>
    </row>
    <row r="70" spans="1:7" x14ac:dyDescent="0.25">
      <c r="A70" t="s">
        <v>176</v>
      </c>
      <c r="B70" s="1">
        <v>43463</v>
      </c>
      <c r="C70" t="s">
        <v>94</v>
      </c>
      <c r="D70" t="s">
        <v>16</v>
      </c>
      <c r="E70" t="s">
        <v>17</v>
      </c>
      <c r="F70" s="12">
        <f t="shared" si="2"/>
        <v>12</v>
      </c>
      <c r="G70" s="5">
        <f t="shared" si="3"/>
        <v>2018</v>
      </c>
    </row>
    <row r="71" spans="1:7" x14ac:dyDescent="0.25">
      <c r="A71" t="s">
        <v>177</v>
      </c>
      <c r="B71" s="1">
        <v>43114</v>
      </c>
      <c r="C71" t="s">
        <v>178</v>
      </c>
      <c r="D71" t="s">
        <v>32</v>
      </c>
      <c r="E71" t="s">
        <v>33</v>
      </c>
      <c r="F71" s="12">
        <f t="shared" si="2"/>
        <v>1</v>
      </c>
      <c r="G71" s="5">
        <f t="shared" si="3"/>
        <v>2018</v>
      </c>
    </row>
    <row r="72" spans="1:7" x14ac:dyDescent="0.25">
      <c r="A72" t="s">
        <v>179</v>
      </c>
      <c r="B72" s="1">
        <v>43345</v>
      </c>
      <c r="C72" t="s">
        <v>180</v>
      </c>
      <c r="D72" t="s">
        <v>57</v>
      </c>
      <c r="E72" t="s">
        <v>58</v>
      </c>
      <c r="F72" s="12">
        <f t="shared" si="2"/>
        <v>9</v>
      </c>
      <c r="G72" s="5">
        <f t="shared" si="3"/>
        <v>2018</v>
      </c>
    </row>
    <row r="73" spans="1:7" x14ac:dyDescent="0.25">
      <c r="A73" t="s">
        <v>181</v>
      </c>
      <c r="B73" s="1">
        <v>43118</v>
      </c>
      <c r="C73" t="s">
        <v>182</v>
      </c>
      <c r="D73" t="s">
        <v>20</v>
      </c>
      <c r="E73" t="s">
        <v>21</v>
      </c>
      <c r="F73" s="12">
        <f t="shared" si="2"/>
        <v>1</v>
      </c>
      <c r="G73" s="5">
        <f t="shared" si="3"/>
        <v>2018</v>
      </c>
    </row>
    <row r="74" spans="1:7" x14ac:dyDescent="0.25">
      <c r="A74" t="s">
        <v>183</v>
      </c>
      <c r="B74" s="1">
        <v>43303</v>
      </c>
      <c r="C74" t="s">
        <v>184</v>
      </c>
      <c r="D74" t="s">
        <v>100</v>
      </c>
      <c r="E74" t="s">
        <v>170</v>
      </c>
      <c r="F74" s="12">
        <f t="shared" si="2"/>
        <v>7</v>
      </c>
      <c r="G74" s="5">
        <f t="shared" si="3"/>
        <v>2018</v>
      </c>
    </row>
    <row r="75" spans="1:7" x14ac:dyDescent="0.25">
      <c r="A75" t="s">
        <v>185</v>
      </c>
      <c r="B75" s="1">
        <v>43428</v>
      </c>
      <c r="C75" t="s">
        <v>186</v>
      </c>
      <c r="D75" t="s">
        <v>40</v>
      </c>
      <c r="E75" t="s">
        <v>41</v>
      </c>
      <c r="F75" s="12">
        <f t="shared" si="2"/>
        <v>11</v>
      </c>
      <c r="G75" s="5">
        <f t="shared" si="3"/>
        <v>2018</v>
      </c>
    </row>
    <row r="76" spans="1:7" x14ac:dyDescent="0.25">
      <c r="A76" t="s">
        <v>187</v>
      </c>
      <c r="B76" s="1">
        <v>43175</v>
      </c>
      <c r="C76" t="s">
        <v>188</v>
      </c>
      <c r="D76" t="s">
        <v>20</v>
      </c>
      <c r="E76" t="s">
        <v>72</v>
      </c>
      <c r="F76" s="12">
        <f t="shared" si="2"/>
        <v>3</v>
      </c>
      <c r="G76" s="5">
        <f t="shared" si="3"/>
        <v>2018</v>
      </c>
    </row>
    <row r="77" spans="1:7" x14ac:dyDescent="0.25">
      <c r="A77" t="s">
        <v>189</v>
      </c>
      <c r="B77" s="1">
        <v>43383</v>
      </c>
      <c r="C77" t="s">
        <v>190</v>
      </c>
      <c r="D77" t="s">
        <v>68</v>
      </c>
      <c r="E77" t="s">
        <v>69</v>
      </c>
      <c r="F77" s="12">
        <f t="shared" si="2"/>
        <v>10</v>
      </c>
      <c r="G77" s="5">
        <f t="shared" si="3"/>
        <v>2018</v>
      </c>
    </row>
    <row r="78" spans="1:7" x14ac:dyDescent="0.25">
      <c r="A78" t="s">
        <v>191</v>
      </c>
      <c r="B78" s="1">
        <v>43422</v>
      </c>
      <c r="C78" t="s">
        <v>192</v>
      </c>
      <c r="D78" t="s">
        <v>193</v>
      </c>
      <c r="E78" t="s">
        <v>193</v>
      </c>
      <c r="F78" s="12">
        <f t="shared" si="2"/>
        <v>11</v>
      </c>
      <c r="G78" s="5">
        <f t="shared" si="3"/>
        <v>2018</v>
      </c>
    </row>
    <row r="79" spans="1:7" x14ac:dyDescent="0.25">
      <c r="A79" t="s">
        <v>194</v>
      </c>
      <c r="B79" s="1">
        <v>43150</v>
      </c>
      <c r="C79" t="s">
        <v>195</v>
      </c>
      <c r="D79" t="s">
        <v>97</v>
      </c>
      <c r="E79" t="s">
        <v>69</v>
      </c>
      <c r="F79" s="12">
        <f t="shared" si="2"/>
        <v>2</v>
      </c>
      <c r="G79" s="5">
        <f t="shared" si="3"/>
        <v>2018</v>
      </c>
    </row>
    <row r="80" spans="1:7" x14ac:dyDescent="0.25">
      <c r="A80" t="s">
        <v>196</v>
      </c>
      <c r="B80" s="1">
        <v>43213</v>
      </c>
      <c r="C80" t="s">
        <v>43</v>
      </c>
      <c r="D80" t="s">
        <v>16</v>
      </c>
      <c r="E80" t="s">
        <v>17</v>
      </c>
      <c r="F80" s="12">
        <f t="shared" si="2"/>
        <v>4</v>
      </c>
      <c r="G80" s="5">
        <f t="shared" si="3"/>
        <v>2018</v>
      </c>
    </row>
    <row r="81" spans="1:7" x14ac:dyDescent="0.25">
      <c r="A81" t="s">
        <v>197</v>
      </c>
      <c r="B81" s="1">
        <v>43105</v>
      </c>
      <c r="C81" t="s">
        <v>198</v>
      </c>
      <c r="D81" t="s">
        <v>97</v>
      </c>
      <c r="E81" t="s">
        <v>69</v>
      </c>
      <c r="F81" s="12">
        <f t="shared" si="2"/>
        <v>1</v>
      </c>
      <c r="G81" s="5">
        <f t="shared" si="3"/>
        <v>2018</v>
      </c>
    </row>
    <row r="82" spans="1:7" x14ac:dyDescent="0.25">
      <c r="A82" t="s">
        <v>199</v>
      </c>
      <c r="B82" s="1">
        <v>43199</v>
      </c>
      <c r="C82" t="s">
        <v>45</v>
      </c>
      <c r="D82" t="s">
        <v>57</v>
      </c>
      <c r="E82" t="s">
        <v>58</v>
      </c>
      <c r="F82" s="12">
        <f t="shared" si="2"/>
        <v>4</v>
      </c>
      <c r="G82" s="5">
        <f t="shared" si="3"/>
        <v>2018</v>
      </c>
    </row>
    <row r="83" spans="1:7" x14ac:dyDescent="0.25">
      <c r="A83" t="s">
        <v>200</v>
      </c>
      <c r="B83" s="1">
        <v>43353</v>
      </c>
      <c r="C83" t="s">
        <v>201</v>
      </c>
      <c r="D83" t="s">
        <v>20</v>
      </c>
      <c r="E83" t="s">
        <v>21</v>
      </c>
      <c r="F83" s="12">
        <f t="shared" si="2"/>
        <v>9</v>
      </c>
      <c r="G83" s="5">
        <f t="shared" si="3"/>
        <v>2018</v>
      </c>
    </row>
    <row r="84" spans="1:7" x14ac:dyDescent="0.25">
      <c r="A84" t="s">
        <v>202</v>
      </c>
      <c r="B84" s="1">
        <v>43314</v>
      </c>
      <c r="C84" t="s">
        <v>203</v>
      </c>
      <c r="D84" t="s">
        <v>68</v>
      </c>
      <c r="E84" t="s">
        <v>69</v>
      </c>
      <c r="F84" s="12">
        <f t="shared" si="2"/>
        <v>8</v>
      </c>
      <c r="G84" s="5">
        <f t="shared" si="3"/>
        <v>2018</v>
      </c>
    </row>
    <row r="85" spans="1:7" x14ac:dyDescent="0.25">
      <c r="A85" t="s">
        <v>204</v>
      </c>
      <c r="B85" s="1">
        <v>43127</v>
      </c>
      <c r="C85" t="s">
        <v>205</v>
      </c>
      <c r="D85" t="s">
        <v>16</v>
      </c>
      <c r="E85" t="s">
        <v>17</v>
      </c>
      <c r="F85" s="12">
        <f t="shared" si="2"/>
        <v>1</v>
      </c>
      <c r="G85" s="5">
        <f t="shared" si="3"/>
        <v>2018</v>
      </c>
    </row>
    <row r="86" spans="1:7" x14ac:dyDescent="0.25">
      <c r="A86" t="s">
        <v>206</v>
      </c>
      <c r="B86" s="1">
        <v>43219</v>
      </c>
      <c r="C86" t="s">
        <v>207</v>
      </c>
      <c r="D86" t="s">
        <v>156</v>
      </c>
      <c r="E86" t="s">
        <v>157</v>
      </c>
      <c r="F86" s="12">
        <f t="shared" si="2"/>
        <v>4</v>
      </c>
      <c r="G86" s="5">
        <f t="shared" si="3"/>
        <v>2018</v>
      </c>
    </row>
    <row r="87" spans="1:7" x14ac:dyDescent="0.25">
      <c r="A87" t="s">
        <v>208</v>
      </c>
      <c r="B87" s="1">
        <v>43303</v>
      </c>
      <c r="C87" t="s">
        <v>209</v>
      </c>
      <c r="D87" t="s">
        <v>16</v>
      </c>
      <c r="E87" t="s">
        <v>27</v>
      </c>
      <c r="F87" s="12">
        <f t="shared" si="2"/>
        <v>7</v>
      </c>
      <c r="G87" s="5">
        <f t="shared" si="3"/>
        <v>2018</v>
      </c>
    </row>
    <row r="88" spans="1:7" x14ac:dyDescent="0.25">
      <c r="A88" t="s">
        <v>210</v>
      </c>
      <c r="B88" s="1">
        <v>43325</v>
      </c>
      <c r="C88" t="s">
        <v>203</v>
      </c>
      <c r="D88" t="s">
        <v>16</v>
      </c>
      <c r="E88" t="s">
        <v>17</v>
      </c>
      <c r="F88" s="12">
        <f t="shared" si="2"/>
        <v>8</v>
      </c>
      <c r="G88" s="5">
        <f t="shared" si="3"/>
        <v>2018</v>
      </c>
    </row>
    <row r="89" spans="1:7" x14ac:dyDescent="0.25">
      <c r="A89" t="s">
        <v>211</v>
      </c>
      <c r="B89" s="1">
        <v>43243</v>
      </c>
      <c r="C89" t="s">
        <v>212</v>
      </c>
      <c r="D89" t="s">
        <v>97</v>
      </c>
      <c r="E89" t="s">
        <v>69</v>
      </c>
      <c r="F89" s="12">
        <f t="shared" si="2"/>
        <v>5</v>
      </c>
      <c r="G89" s="5">
        <f t="shared" si="3"/>
        <v>2018</v>
      </c>
    </row>
    <row r="90" spans="1:7" x14ac:dyDescent="0.25">
      <c r="A90" t="s">
        <v>213</v>
      </c>
      <c r="B90" s="1">
        <v>43233</v>
      </c>
      <c r="C90" t="s">
        <v>188</v>
      </c>
      <c r="D90" t="s">
        <v>20</v>
      </c>
      <c r="E90" t="s">
        <v>72</v>
      </c>
      <c r="F90" s="12">
        <f t="shared" si="2"/>
        <v>5</v>
      </c>
      <c r="G90" s="5">
        <f t="shared" si="3"/>
        <v>2018</v>
      </c>
    </row>
    <row r="91" spans="1:7" x14ac:dyDescent="0.25">
      <c r="A91" t="s">
        <v>214</v>
      </c>
      <c r="B91" s="1">
        <v>43329</v>
      </c>
      <c r="C91" t="s">
        <v>215</v>
      </c>
      <c r="D91" t="s">
        <v>7</v>
      </c>
      <c r="E91" t="s">
        <v>120</v>
      </c>
      <c r="F91" s="12">
        <f t="shared" si="2"/>
        <v>8</v>
      </c>
      <c r="G91" s="5">
        <f t="shared" si="3"/>
        <v>2018</v>
      </c>
    </row>
    <row r="92" spans="1:7" x14ac:dyDescent="0.25">
      <c r="A92" t="s">
        <v>216</v>
      </c>
      <c r="B92" s="1">
        <v>43173</v>
      </c>
      <c r="C92" t="s">
        <v>217</v>
      </c>
      <c r="D92" t="s">
        <v>20</v>
      </c>
      <c r="E92" t="s">
        <v>21</v>
      </c>
      <c r="F92" s="12">
        <f t="shared" si="2"/>
        <v>3</v>
      </c>
      <c r="G92" s="5">
        <f t="shared" si="3"/>
        <v>2018</v>
      </c>
    </row>
    <row r="93" spans="1:7" x14ac:dyDescent="0.25">
      <c r="A93" t="s">
        <v>218</v>
      </c>
      <c r="B93" s="1">
        <v>43402</v>
      </c>
      <c r="C93" t="s">
        <v>180</v>
      </c>
      <c r="D93" t="s">
        <v>20</v>
      </c>
      <c r="E93" t="s">
        <v>21</v>
      </c>
      <c r="F93" s="12">
        <f t="shared" si="2"/>
        <v>10</v>
      </c>
      <c r="G93" s="5">
        <f t="shared" si="3"/>
        <v>2018</v>
      </c>
    </row>
    <row r="94" spans="1:7" x14ac:dyDescent="0.25">
      <c r="A94" t="s">
        <v>219</v>
      </c>
      <c r="B94" s="1">
        <v>43278</v>
      </c>
      <c r="C94" t="s">
        <v>220</v>
      </c>
      <c r="D94" t="s">
        <v>16</v>
      </c>
      <c r="E94" t="s">
        <v>17</v>
      </c>
      <c r="F94" s="12">
        <f t="shared" si="2"/>
        <v>6</v>
      </c>
      <c r="G94" s="5">
        <f t="shared" si="3"/>
        <v>2018</v>
      </c>
    </row>
    <row r="95" spans="1:7" x14ac:dyDescent="0.25">
      <c r="A95" t="s">
        <v>221</v>
      </c>
      <c r="B95" s="1">
        <v>43113</v>
      </c>
      <c r="C95" t="s">
        <v>127</v>
      </c>
      <c r="D95" t="s">
        <v>20</v>
      </c>
      <c r="E95" t="s">
        <v>21</v>
      </c>
      <c r="F95" s="12">
        <f t="shared" si="2"/>
        <v>1</v>
      </c>
      <c r="G95" s="5">
        <f t="shared" si="3"/>
        <v>2018</v>
      </c>
    </row>
    <row r="96" spans="1:7" x14ac:dyDescent="0.25">
      <c r="A96" t="s">
        <v>222</v>
      </c>
      <c r="B96" s="1">
        <v>43242</v>
      </c>
      <c r="C96" t="s">
        <v>223</v>
      </c>
      <c r="D96" t="s">
        <v>68</v>
      </c>
      <c r="E96" t="s">
        <v>69</v>
      </c>
      <c r="F96" s="12">
        <f t="shared" si="2"/>
        <v>5</v>
      </c>
      <c r="G96" s="5">
        <f t="shared" si="3"/>
        <v>2018</v>
      </c>
    </row>
    <row r="97" spans="1:7" x14ac:dyDescent="0.25">
      <c r="A97" t="s">
        <v>224</v>
      </c>
      <c r="B97" s="1">
        <v>43251</v>
      </c>
      <c r="C97" t="s">
        <v>225</v>
      </c>
      <c r="D97" t="s">
        <v>20</v>
      </c>
      <c r="E97" t="s">
        <v>72</v>
      </c>
      <c r="F97" s="12">
        <f t="shared" si="2"/>
        <v>5</v>
      </c>
      <c r="G97" s="5">
        <f t="shared" si="3"/>
        <v>2018</v>
      </c>
    </row>
    <row r="98" spans="1:7" x14ac:dyDescent="0.25">
      <c r="A98" t="s">
        <v>226</v>
      </c>
      <c r="B98" s="1">
        <v>43226</v>
      </c>
      <c r="C98" t="s">
        <v>227</v>
      </c>
      <c r="D98" t="s">
        <v>16</v>
      </c>
      <c r="E98" t="s">
        <v>17</v>
      </c>
      <c r="F98" s="12">
        <f t="shared" si="2"/>
        <v>5</v>
      </c>
      <c r="G98" s="5">
        <f t="shared" si="3"/>
        <v>2018</v>
      </c>
    </row>
    <row r="99" spans="1:7" x14ac:dyDescent="0.25">
      <c r="A99" t="s">
        <v>228</v>
      </c>
      <c r="B99" s="1">
        <v>43131</v>
      </c>
      <c r="C99" t="s">
        <v>229</v>
      </c>
      <c r="D99" t="s">
        <v>100</v>
      </c>
      <c r="E99" t="s">
        <v>101</v>
      </c>
      <c r="F99" s="12">
        <f t="shared" si="2"/>
        <v>1</v>
      </c>
      <c r="G99" s="5">
        <f t="shared" si="3"/>
        <v>2018</v>
      </c>
    </row>
    <row r="100" spans="1:7" x14ac:dyDescent="0.25">
      <c r="A100" t="s">
        <v>230</v>
      </c>
      <c r="B100" s="1">
        <v>43409</v>
      </c>
      <c r="C100" t="s">
        <v>231</v>
      </c>
      <c r="D100" t="s">
        <v>193</v>
      </c>
      <c r="E100" t="s">
        <v>193</v>
      </c>
      <c r="F100" s="12">
        <f t="shared" si="2"/>
        <v>11</v>
      </c>
      <c r="G100" s="5">
        <f t="shared" si="3"/>
        <v>2018</v>
      </c>
    </row>
    <row r="101" spans="1:7" x14ac:dyDescent="0.25">
      <c r="A101" t="s">
        <v>232</v>
      </c>
      <c r="B101" s="1">
        <v>43441</v>
      </c>
      <c r="C101" t="s">
        <v>231</v>
      </c>
      <c r="D101" t="s">
        <v>100</v>
      </c>
      <c r="E101" t="s">
        <v>101</v>
      </c>
      <c r="F101" s="12">
        <f t="shared" si="2"/>
        <v>12</v>
      </c>
      <c r="G101" s="5">
        <f t="shared" si="3"/>
        <v>2018</v>
      </c>
    </row>
    <row r="102" spans="1:7" x14ac:dyDescent="0.25">
      <c r="A102" t="s">
        <v>233</v>
      </c>
      <c r="B102" s="1">
        <v>43383</v>
      </c>
      <c r="C102" t="s">
        <v>234</v>
      </c>
      <c r="D102" t="s">
        <v>16</v>
      </c>
      <c r="E102" t="s">
        <v>17</v>
      </c>
      <c r="F102" s="12">
        <f t="shared" si="2"/>
        <v>10</v>
      </c>
      <c r="G102" s="5">
        <f t="shared" si="3"/>
        <v>2018</v>
      </c>
    </row>
    <row r="103" spans="1:7" x14ac:dyDescent="0.25">
      <c r="A103" t="s">
        <v>235</v>
      </c>
      <c r="B103" s="1">
        <v>43394</v>
      </c>
      <c r="C103" t="s">
        <v>236</v>
      </c>
      <c r="D103" t="s">
        <v>20</v>
      </c>
      <c r="E103" t="s">
        <v>21</v>
      </c>
      <c r="F103" s="12">
        <f t="shared" si="2"/>
        <v>10</v>
      </c>
      <c r="G103" s="5">
        <f t="shared" si="3"/>
        <v>2018</v>
      </c>
    </row>
    <row r="104" spans="1:7" x14ac:dyDescent="0.25">
      <c r="A104" t="s">
        <v>237</v>
      </c>
      <c r="B104" s="1">
        <v>43114</v>
      </c>
      <c r="C104" t="s">
        <v>238</v>
      </c>
      <c r="D104" t="s">
        <v>40</v>
      </c>
      <c r="E104" t="s">
        <v>54</v>
      </c>
      <c r="F104" s="12">
        <f t="shared" si="2"/>
        <v>1</v>
      </c>
      <c r="G104" s="5">
        <f t="shared" si="3"/>
        <v>2018</v>
      </c>
    </row>
    <row r="105" spans="1:7" x14ac:dyDescent="0.25">
      <c r="A105" t="s">
        <v>239</v>
      </c>
      <c r="B105" s="1">
        <v>43272</v>
      </c>
      <c r="C105" t="s">
        <v>240</v>
      </c>
      <c r="D105" t="s">
        <v>104</v>
      </c>
      <c r="E105" t="s">
        <v>105</v>
      </c>
      <c r="F105" s="12">
        <f t="shared" si="2"/>
        <v>6</v>
      </c>
      <c r="G105" s="5">
        <f t="shared" si="3"/>
        <v>2018</v>
      </c>
    </row>
    <row r="106" spans="1:7" x14ac:dyDescent="0.25">
      <c r="A106" t="s">
        <v>241</v>
      </c>
      <c r="B106" s="1">
        <v>43216</v>
      </c>
      <c r="C106" t="s">
        <v>123</v>
      </c>
      <c r="D106" t="s">
        <v>16</v>
      </c>
      <c r="E106" t="s">
        <v>27</v>
      </c>
      <c r="F106" s="12">
        <f t="shared" si="2"/>
        <v>4</v>
      </c>
      <c r="G106" s="5">
        <f t="shared" si="3"/>
        <v>2018</v>
      </c>
    </row>
    <row r="107" spans="1:7" x14ac:dyDescent="0.25">
      <c r="A107" t="s">
        <v>242</v>
      </c>
      <c r="B107" s="1">
        <v>43323</v>
      </c>
      <c r="C107" t="s">
        <v>243</v>
      </c>
      <c r="D107" t="s">
        <v>20</v>
      </c>
      <c r="E107" t="s">
        <v>72</v>
      </c>
      <c r="F107" s="12">
        <f t="shared" si="2"/>
        <v>8</v>
      </c>
      <c r="G107" s="5">
        <f t="shared" si="3"/>
        <v>2018</v>
      </c>
    </row>
    <row r="108" spans="1:7" x14ac:dyDescent="0.25">
      <c r="A108" t="s">
        <v>244</v>
      </c>
      <c r="B108" s="1">
        <v>43444</v>
      </c>
      <c r="C108" t="s">
        <v>245</v>
      </c>
      <c r="D108" t="s">
        <v>11</v>
      </c>
      <c r="E108" t="s">
        <v>11</v>
      </c>
      <c r="F108" s="12">
        <f t="shared" si="2"/>
        <v>12</v>
      </c>
      <c r="G108" s="5">
        <f t="shared" si="3"/>
        <v>2018</v>
      </c>
    </row>
    <row r="109" spans="1:7" x14ac:dyDescent="0.25">
      <c r="A109" t="s">
        <v>246</v>
      </c>
      <c r="B109" s="1">
        <v>43411</v>
      </c>
      <c r="C109" t="s">
        <v>247</v>
      </c>
      <c r="D109" t="s">
        <v>32</v>
      </c>
      <c r="E109" t="s">
        <v>33</v>
      </c>
      <c r="F109" s="12">
        <f t="shared" si="2"/>
        <v>11</v>
      </c>
      <c r="G109" s="5">
        <f t="shared" si="3"/>
        <v>2018</v>
      </c>
    </row>
    <row r="110" spans="1:7" x14ac:dyDescent="0.25">
      <c r="A110" t="s">
        <v>248</v>
      </c>
      <c r="B110" s="1">
        <v>43128</v>
      </c>
      <c r="C110" t="s">
        <v>249</v>
      </c>
      <c r="D110" t="s">
        <v>11</v>
      </c>
      <c r="E110" t="s">
        <v>11</v>
      </c>
      <c r="F110" s="12">
        <f t="shared" si="2"/>
        <v>1</v>
      </c>
      <c r="G110" s="5">
        <f t="shared" si="3"/>
        <v>2018</v>
      </c>
    </row>
    <row r="111" spans="1:7" x14ac:dyDescent="0.25">
      <c r="A111" t="s">
        <v>250</v>
      </c>
      <c r="B111" s="1">
        <v>43442</v>
      </c>
      <c r="C111" t="s">
        <v>251</v>
      </c>
      <c r="D111" t="s">
        <v>7</v>
      </c>
      <c r="E111" t="s">
        <v>24</v>
      </c>
      <c r="F111" s="12">
        <f t="shared" si="2"/>
        <v>12</v>
      </c>
      <c r="G111" s="5">
        <f t="shared" si="3"/>
        <v>2018</v>
      </c>
    </row>
    <row r="112" spans="1:7" x14ac:dyDescent="0.25">
      <c r="A112" t="s">
        <v>252</v>
      </c>
      <c r="B112" s="1">
        <v>43424</v>
      </c>
      <c r="C112" t="s">
        <v>253</v>
      </c>
      <c r="D112" t="s">
        <v>32</v>
      </c>
      <c r="E112" t="s">
        <v>33</v>
      </c>
      <c r="F112" s="12">
        <f t="shared" si="2"/>
        <v>11</v>
      </c>
      <c r="G112" s="5">
        <f t="shared" si="3"/>
        <v>2018</v>
      </c>
    </row>
    <row r="113" spans="1:7" x14ac:dyDescent="0.25">
      <c r="A113" t="s">
        <v>254</v>
      </c>
      <c r="B113" s="1">
        <v>43157</v>
      </c>
      <c r="C113" t="s">
        <v>255</v>
      </c>
      <c r="D113" t="s">
        <v>68</v>
      </c>
      <c r="E113" t="s">
        <v>69</v>
      </c>
      <c r="F113" s="12">
        <f t="shared" si="2"/>
        <v>2</v>
      </c>
      <c r="G113" s="5">
        <f t="shared" si="3"/>
        <v>2018</v>
      </c>
    </row>
    <row r="114" spans="1:7" x14ac:dyDescent="0.25">
      <c r="A114" t="s">
        <v>256</v>
      </c>
      <c r="B114" s="1">
        <v>43247</v>
      </c>
      <c r="C114" t="s">
        <v>257</v>
      </c>
      <c r="D114" t="s">
        <v>81</v>
      </c>
      <c r="E114" t="s">
        <v>82</v>
      </c>
      <c r="F114" s="12">
        <f t="shared" si="2"/>
        <v>5</v>
      </c>
      <c r="G114" s="5">
        <f t="shared" si="3"/>
        <v>2018</v>
      </c>
    </row>
    <row r="115" spans="1:7" x14ac:dyDescent="0.25">
      <c r="A115" t="s">
        <v>258</v>
      </c>
      <c r="B115" s="1">
        <v>43190</v>
      </c>
      <c r="C115" t="s">
        <v>259</v>
      </c>
      <c r="D115" t="s">
        <v>20</v>
      </c>
      <c r="E115" t="s">
        <v>21</v>
      </c>
      <c r="F115" s="12">
        <f t="shared" si="2"/>
        <v>3</v>
      </c>
      <c r="G115" s="5">
        <f t="shared" si="3"/>
        <v>2018</v>
      </c>
    </row>
    <row r="116" spans="1:7" x14ac:dyDescent="0.25">
      <c r="A116" t="s">
        <v>260</v>
      </c>
      <c r="B116" s="1">
        <v>43227</v>
      </c>
      <c r="C116" t="s">
        <v>217</v>
      </c>
      <c r="D116" t="s">
        <v>20</v>
      </c>
      <c r="E116" t="s">
        <v>21</v>
      </c>
      <c r="F116" s="12">
        <f t="shared" si="2"/>
        <v>5</v>
      </c>
      <c r="G116" s="5">
        <f t="shared" si="3"/>
        <v>2018</v>
      </c>
    </row>
    <row r="117" spans="1:7" x14ac:dyDescent="0.25">
      <c r="A117" t="s">
        <v>261</v>
      </c>
      <c r="B117" s="1">
        <v>43121</v>
      </c>
      <c r="C117" t="s">
        <v>262</v>
      </c>
      <c r="D117" t="s">
        <v>68</v>
      </c>
      <c r="E117" t="s">
        <v>175</v>
      </c>
      <c r="F117" s="12">
        <f t="shared" si="2"/>
        <v>1</v>
      </c>
      <c r="G117" s="5">
        <f t="shared" si="3"/>
        <v>2018</v>
      </c>
    </row>
    <row r="118" spans="1:7" x14ac:dyDescent="0.25">
      <c r="A118" t="s">
        <v>263</v>
      </c>
      <c r="B118" s="1">
        <v>43146</v>
      </c>
      <c r="C118" t="s">
        <v>264</v>
      </c>
      <c r="D118" t="s">
        <v>7</v>
      </c>
      <c r="E118" t="s">
        <v>120</v>
      </c>
      <c r="F118" s="12">
        <f t="shared" si="2"/>
        <v>2</v>
      </c>
      <c r="G118" s="5">
        <f t="shared" si="3"/>
        <v>2018</v>
      </c>
    </row>
    <row r="119" spans="1:7" x14ac:dyDescent="0.25">
      <c r="A119" t="s">
        <v>265</v>
      </c>
      <c r="B119" s="1">
        <v>43240</v>
      </c>
      <c r="C119" t="s">
        <v>266</v>
      </c>
      <c r="D119" t="s">
        <v>57</v>
      </c>
      <c r="E119" t="s">
        <v>58</v>
      </c>
      <c r="F119" s="12">
        <f t="shared" si="2"/>
        <v>5</v>
      </c>
      <c r="G119" s="5">
        <f t="shared" si="3"/>
        <v>2018</v>
      </c>
    </row>
    <row r="120" spans="1:7" x14ac:dyDescent="0.25">
      <c r="A120" t="s">
        <v>267</v>
      </c>
      <c r="B120" s="1">
        <v>43153</v>
      </c>
      <c r="C120" t="s">
        <v>268</v>
      </c>
      <c r="D120" t="s">
        <v>140</v>
      </c>
      <c r="E120" t="s">
        <v>141</v>
      </c>
      <c r="F120" s="12">
        <f t="shared" si="2"/>
        <v>2</v>
      </c>
      <c r="G120" s="5">
        <f t="shared" si="3"/>
        <v>2018</v>
      </c>
    </row>
    <row r="121" spans="1:7" x14ac:dyDescent="0.25">
      <c r="A121" t="s">
        <v>269</v>
      </c>
      <c r="B121" s="1">
        <v>43167</v>
      </c>
      <c r="C121" t="s">
        <v>270</v>
      </c>
      <c r="D121" t="s">
        <v>104</v>
      </c>
      <c r="E121" t="s">
        <v>105</v>
      </c>
      <c r="F121" s="12">
        <f t="shared" si="2"/>
        <v>3</v>
      </c>
      <c r="G121" s="5">
        <f t="shared" si="3"/>
        <v>2018</v>
      </c>
    </row>
    <row r="122" spans="1:7" x14ac:dyDescent="0.25">
      <c r="A122" t="s">
        <v>271</v>
      </c>
      <c r="B122" s="1">
        <v>43136</v>
      </c>
      <c r="C122" t="s">
        <v>272</v>
      </c>
      <c r="D122" t="s">
        <v>11</v>
      </c>
      <c r="E122" t="s">
        <v>11</v>
      </c>
      <c r="F122" s="12">
        <f t="shared" si="2"/>
        <v>2</v>
      </c>
      <c r="G122" s="5">
        <f t="shared" si="3"/>
        <v>2018</v>
      </c>
    </row>
    <row r="123" spans="1:7" x14ac:dyDescent="0.25">
      <c r="A123" t="s">
        <v>273</v>
      </c>
      <c r="B123" s="1">
        <v>43357</v>
      </c>
      <c r="C123" t="s">
        <v>274</v>
      </c>
      <c r="D123" t="s">
        <v>40</v>
      </c>
      <c r="E123" t="s">
        <v>54</v>
      </c>
      <c r="F123" s="12">
        <f t="shared" si="2"/>
        <v>9</v>
      </c>
      <c r="G123" s="5">
        <f t="shared" si="3"/>
        <v>2018</v>
      </c>
    </row>
    <row r="124" spans="1:7" x14ac:dyDescent="0.25">
      <c r="A124" t="s">
        <v>275</v>
      </c>
      <c r="B124" s="1">
        <v>43340</v>
      </c>
      <c r="C124" t="s">
        <v>276</v>
      </c>
      <c r="D124" t="s">
        <v>16</v>
      </c>
      <c r="E124" t="s">
        <v>27</v>
      </c>
      <c r="F124" s="12">
        <f t="shared" si="2"/>
        <v>8</v>
      </c>
      <c r="G124" s="5">
        <f t="shared" si="3"/>
        <v>2018</v>
      </c>
    </row>
    <row r="125" spans="1:7" x14ac:dyDescent="0.25">
      <c r="A125" t="s">
        <v>277</v>
      </c>
      <c r="B125" s="1">
        <v>43378</v>
      </c>
      <c r="C125" t="s">
        <v>278</v>
      </c>
      <c r="D125" t="s">
        <v>20</v>
      </c>
      <c r="E125" t="s">
        <v>21</v>
      </c>
      <c r="F125" s="12">
        <f t="shared" si="2"/>
        <v>10</v>
      </c>
      <c r="G125" s="5">
        <f t="shared" si="3"/>
        <v>2018</v>
      </c>
    </row>
    <row r="126" spans="1:7" x14ac:dyDescent="0.25">
      <c r="A126" t="s">
        <v>279</v>
      </c>
      <c r="B126" s="1">
        <v>43111</v>
      </c>
      <c r="C126" t="s">
        <v>280</v>
      </c>
      <c r="D126" t="s">
        <v>20</v>
      </c>
      <c r="E126" t="s">
        <v>21</v>
      </c>
      <c r="F126" s="12">
        <f t="shared" si="2"/>
        <v>1</v>
      </c>
      <c r="G126" s="5">
        <f t="shared" si="3"/>
        <v>2018</v>
      </c>
    </row>
    <row r="127" spans="1:7" x14ac:dyDescent="0.25">
      <c r="A127" t="s">
        <v>281</v>
      </c>
      <c r="B127" s="1">
        <v>43185</v>
      </c>
      <c r="C127" t="s">
        <v>195</v>
      </c>
      <c r="D127" t="s">
        <v>97</v>
      </c>
      <c r="E127" t="s">
        <v>69</v>
      </c>
      <c r="F127" s="12">
        <f t="shared" si="2"/>
        <v>3</v>
      </c>
      <c r="G127" s="5">
        <f t="shared" si="3"/>
        <v>2018</v>
      </c>
    </row>
    <row r="128" spans="1:7" x14ac:dyDescent="0.25">
      <c r="A128" t="s">
        <v>282</v>
      </c>
      <c r="B128" s="1">
        <v>43407</v>
      </c>
      <c r="C128" t="s">
        <v>283</v>
      </c>
      <c r="D128" t="s">
        <v>75</v>
      </c>
      <c r="E128" t="s">
        <v>76</v>
      </c>
      <c r="F128" s="12">
        <f t="shared" si="2"/>
        <v>11</v>
      </c>
      <c r="G128" s="5">
        <f t="shared" si="3"/>
        <v>2018</v>
      </c>
    </row>
    <row r="129" spans="1:7" x14ac:dyDescent="0.25">
      <c r="A129" t="s">
        <v>284</v>
      </c>
      <c r="B129" s="1">
        <v>43386</v>
      </c>
      <c r="C129" t="s">
        <v>285</v>
      </c>
      <c r="D129" t="s">
        <v>16</v>
      </c>
      <c r="E129" t="s">
        <v>17</v>
      </c>
      <c r="F129" s="12">
        <f t="shared" si="2"/>
        <v>10</v>
      </c>
      <c r="G129" s="5">
        <f t="shared" si="3"/>
        <v>2018</v>
      </c>
    </row>
    <row r="130" spans="1:7" x14ac:dyDescent="0.25">
      <c r="A130" t="s">
        <v>286</v>
      </c>
      <c r="B130" s="1">
        <v>43113</v>
      </c>
      <c r="C130" t="s">
        <v>287</v>
      </c>
      <c r="D130" t="s">
        <v>140</v>
      </c>
      <c r="E130" t="s">
        <v>141</v>
      </c>
      <c r="F130" s="12">
        <f t="shared" si="2"/>
        <v>1</v>
      </c>
      <c r="G130" s="5">
        <f t="shared" si="3"/>
        <v>2018</v>
      </c>
    </row>
    <row r="131" spans="1:7" x14ac:dyDescent="0.25">
      <c r="A131" t="s">
        <v>288</v>
      </c>
      <c r="B131" s="1">
        <v>43122</v>
      </c>
      <c r="C131" t="s">
        <v>289</v>
      </c>
      <c r="D131" t="s">
        <v>16</v>
      </c>
      <c r="E131" t="s">
        <v>17</v>
      </c>
      <c r="F131" s="12">
        <f t="shared" ref="F131:F194" si="4">MONTH(B131)</f>
        <v>1</v>
      </c>
      <c r="G131" s="5">
        <f t="shared" ref="G131:G194" si="5">YEAR(B131)</f>
        <v>2018</v>
      </c>
    </row>
    <row r="132" spans="1:7" x14ac:dyDescent="0.25">
      <c r="A132" t="s">
        <v>290</v>
      </c>
      <c r="B132" s="1">
        <v>43428</v>
      </c>
      <c r="C132" t="s">
        <v>291</v>
      </c>
      <c r="D132" t="s">
        <v>16</v>
      </c>
      <c r="E132" t="s">
        <v>17</v>
      </c>
      <c r="F132" s="12">
        <f t="shared" si="4"/>
        <v>11</v>
      </c>
      <c r="G132" s="5">
        <f t="shared" si="5"/>
        <v>2018</v>
      </c>
    </row>
    <row r="133" spans="1:7" x14ac:dyDescent="0.25">
      <c r="A133" t="s">
        <v>292</v>
      </c>
      <c r="B133" s="1">
        <v>43169</v>
      </c>
      <c r="C133" t="s">
        <v>293</v>
      </c>
      <c r="D133" t="s">
        <v>75</v>
      </c>
      <c r="E133" t="s">
        <v>76</v>
      </c>
      <c r="F133" s="12">
        <f t="shared" si="4"/>
        <v>3</v>
      </c>
      <c r="G133" s="5">
        <f t="shared" si="5"/>
        <v>2018</v>
      </c>
    </row>
    <row r="134" spans="1:7" x14ac:dyDescent="0.25">
      <c r="A134" t="s">
        <v>294</v>
      </c>
      <c r="B134" s="1">
        <v>43432</v>
      </c>
      <c r="C134" t="s">
        <v>295</v>
      </c>
      <c r="D134" t="s">
        <v>20</v>
      </c>
      <c r="E134" t="s">
        <v>21</v>
      </c>
      <c r="F134" s="12">
        <f t="shared" si="4"/>
        <v>11</v>
      </c>
      <c r="G134" s="5">
        <f t="shared" si="5"/>
        <v>2018</v>
      </c>
    </row>
    <row r="135" spans="1:7" x14ac:dyDescent="0.25">
      <c r="A135" t="s">
        <v>296</v>
      </c>
      <c r="B135" s="1">
        <v>43440</v>
      </c>
      <c r="C135" t="s">
        <v>51</v>
      </c>
      <c r="D135" t="s">
        <v>20</v>
      </c>
      <c r="E135" t="s">
        <v>21</v>
      </c>
      <c r="F135" s="12">
        <f t="shared" si="4"/>
        <v>12</v>
      </c>
      <c r="G135" s="5">
        <f t="shared" si="5"/>
        <v>2018</v>
      </c>
    </row>
    <row r="136" spans="1:7" x14ac:dyDescent="0.25">
      <c r="A136" t="s">
        <v>297</v>
      </c>
      <c r="B136" s="1">
        <v>43332</v>
      </c>
      <c r="C136" t="s">
        <v>96</v>
      </c>
      <c r="D136" t="s">
        <v>16</v>
      </c>
      <c r="E136" t="s">
        <v>17</v>
      </c>
      <c r="F136" s="12">
        <f t="shared" si="4"/>
        <v>8</v>
      </c>
      <c r="G136" s="5">
        <f t="shared" si="5"/>
        <v>2018</v>
      </c>
    </row>
    <row r="137" spans="1:7" x14ac:dyDescent="0.25">
      <c r="A137" t="s">
        <v>298</v>
      </c>
      <c r="B137" s="1">
        <v>43418</v>
      </c>
      <c r="C137" t="s">
        <v>299</v>
      </c>
      <c r="D137" t="s">
        <v>20</v>
      </c>
      <c r="E137" t="s">
        <v>21</v>
      </c>
      <c r="F137" s="12">
        <f t="shared" si="4"/>
        <v>11</v>
      </c>
      <c r="G137" s="5">
        <f t="shared" si="5"/>
        <v>2018</v>
      </c>
    </row>
    <row r="138" spans="1:7" x14ac:dyDescent="0.25">
      <c r="A138" t="s">
        <v>300</v>
      </c>
      <c r="B138" s="1">
        <v>43267</v>
      </c>
      <c r="C138" t="s">
        <v>301</v>
      </c>
      <c r="D138" t="s">
        <v>16</v>
      </c>
      <c r="E138" t="s">
        <v>17</v>
      </c>
      <c r="F138" s="12">
        <f t="shared" si="4"/>
        <v>6</v>
      </c>
      <c r="G138" s="5">
        <f t="shared" si="5"/>
        <v>2018</v>
      </c>
    </row>
    <row r="139" spans="1:7" x14ac:dyDescent="0.25">
      <c r="A139" t="s">
        <v>302</v>
      </c>
      <c r="B139" s="1">
        <v>43216</v>
      </c>
      <c r="C139" t="s">
        <v>303</v>
      </c>
      <c r="D139" t="s">
        <v>304</v>
      </c>
      <c r="E139" t="s">
        <v>305</v>
      </c>
      <c r="F139" s="12">
        <f t="shared" si="4"/>
        <v>4</v>
      </c>
      <c r="G139" s="5">
        <f t="shared" si="5"/>
        <v>2018</v>
      </c>
    </row>
    <row r="140" spans="1:7" x14ac:dyDescent="0.25">
      <c r="A140" t="s">
        <v>306</v>
      </c>
      <c r="B140" s="1">
        <v>43282</v>
      </c>
      <c r="C140" t="s">
        <v>307</v>
      </c>
      <c r="D140" t="s">
        <v>20</v>
      </c>
      <c r="E140" t="s">
        <v>21</v>
      </c>
      <c r="F140" s="12">
        <f t="shared" si="4"/>
        <v>7</v>
      </c>
      <c r="G140" s="5">
        <f t="shared" si="5"/>
        <v>2018</v>
      </c>
    </row>
    <row r="141" spans="1:7" x14ac:dyDescent="0.25">
      <c r="A141" t="s">
        <v>308</v>
      </c>
      <c r="B141" s="1">
        <v>43400</v>
      </c>
      <c r="C141" t="s">
        <v>182</v>
      </c>
      <c r="D141" t="s">
        <v>304</v>
      </c>
      <c r="E141" t="s">
        <v>305</v>
      </c>
      <c r="F141" s="12">
        <f t="shared" si="4"/>
        <v>10</v>
      </c>
      <c r="G141" s="5">
        <f t="shared" si="5"/>
        <v>2018</v>
      </c>
    </row>
    <row r="142" spans="1:7" x14ac:dyDescent="0.25">
      <c r="A142" t="s">
        <v>309</v>
      </c>
      <c r="B142" s="1">
        <v>43414</v>
      </c>
      <c r="C142" t="s">
        <v>145</v>
      </c>
      <c r="D142" t="s">
        <v>16</v>
      </c>
      <c r="E142" t="s">
        <v>17</v>
      </c>
      <c r="F142" s="12">
        <f t="shared" si="4"/>
        <v>11</v>
      </c>
      <c r="G142" s="5">
        <f t="shared" si="5"/>
        <v>2018</v>
      </c>
    </row>
    <row r="143" spans="1:7" x14ac:dyDescent="0.25">
      <c r="A143" t="s">
        <v>310</v>
      </c>
      <c r="B143" s="1">
        <v>43438</v>
      </c>
      <c r="C143" t="s">
        <v>35</v>
      </c>
      <c r="D143" t="s">
        <v>7</v>
      </c>
      <c r="E143" t="s">
        <v>8</v>
      </c>
      <c r="F143" s="12">
        <f t="shared" si="4"/>
        <v>12</v>
      </c>
      <c r="G143" s="5">
        <f t="shared" si="5"/>
        <v>2018</v>
      </c>
    </row>
    <row r="144" spans="1:7" x14ac:dyDescent="0.25">
      <c r="A144" t="s">
        <v>311</v>
      </c>
      <c r="B144" s="1">
        <v>43118</v>
      </c>
      <c r="C144" t="s">
        <v>312</v>
      </c>
      <c r="D144" t="s">
        <v>20</v>
      </c>
      <c r="E144" t="s">
        <v>21</v>
      </c>
      <c r="F144" s="12">
        <f t="shared" si="4"/>
        <v>1</v>
      </c>
      <c r="G144" s="5">
        <f t="shared" si="5"/>
        <v>2018</v>
      </c>
    </row>
    <row r="145" spans="1:7" x14ac:dyDescent="0.25">
      <c r="A145" t="s">
        <v>313</v>
      </c>
      <c r="B145" s="1">
        <v>43137</v>
      </c>
      <c r="C145" t="s">
        <v>314</v>
      </c>
      <c r="D145" t="s">
        <v>11</v>
      </c>
      <c r="E145" t="s">
        <v>11</v>
      </c>
      <c r="F145" s="12">
        <f t="shared" si="4"/>
        <v>2</v>
      </c>
      <c r="G145" s="5">
        <f t="shared" si="5"/>
        <v>2018</v>
      </c>
    </row>
    <row r="146" spans="1:7" x14ac:dyDescent="0.25">
      <c r="A146" t="s">
        <v>315</v>
      </c>
      <c r="B146" s="1">
        <v>43187</v>
      </c>
      <c r="C146" t="s">
        <v>316</v>
      </c>
      <c r="D146" t="s">
        <v>104</v>
      </c>
      <c r="E146" t="s">
        <v>105</v>
      </c>
      <c r="F146" s="12">
        <f t="shared" si="4"/>
        <v>3</v>
      </c>
      <c r="G146" s="5">
        <f t="shared" si="5"/>
        <v>2018</v>
      </c>
    </row>
    <row r="147" spans="1:7" x14ac:dyDescent="0.25">
      <c r="A147" t="s">
        <v>317</v>
      </c>
      <c r="B147" s="1">
        <v>43321</v>
      </c>
      <c r="C147" t="s">
        <v>236</v>
      </c>
      <c r="D147" t="s">
        <v>40</v>
      </c>
      <c r="E147" t="s">
        <v>54</v>
      </c>
      <c r="F147" s="12">
        <f t="shared" si="4"/>
        <v>8</v>
      </c>
      <c r="G147" s="5">
        <f t="shared" si="5"/>
        <v>2018</v>
      </c>
    </row>
    <row r="148" spans="1:7" x14ac:dyDescent="0.25">
      <c r="A148" t="s">
        <v>318</v>
      </c>
      <c r="B148" s="1">
        <v>43125</v>
      </c>
      <c r="C148" t="s">
        <v>319</v>
      </c>
      <c r="D148" t="s">
        <v>100</v>
      </c>
      <c r="E148" t="s">
        <v>101</v>
      </c>
      <c r="F148" s="12">
        <f t="shared" si="4"/>
        <v>1</v>
      </c>
      <c r="G148" s="5">
        <f t="shared" si="5"/>
        <v>2018</v>
      </c>
    </row>
    <row r="149" spans="1:7" x14ac:dyDescent="0.25">
      <c r="A149" t="s">
        <v>320</v>
      </c>
      <c r="B149" s="1">
        <v>43245</v>
      </c>
      <c r="C149" t="s">
        <v>321</v>
      </c>
      <c r="D149" t="s">
        <v>193</v>
      </c>
      <c r="E149" t="s">
        <v>193</v>
      </c>
      <c r="F149" s="12">
        <f t="shared" si="4"/>
        <v>5</v>
      </c>
      <c r="G149" s="5">
        <f t="shared" si="5"/>
        <v>2018</v>
      </c>
    </row>
    <row r="150" spans="1:7" x14ac:dyDescent="0.25">
      <c r="A150" t="s">
        <v>322</v>
      </c>
      <c r="B150" s="1">
        <v>43407</v>
      </c>
      <c r="C150" t="s">
        <v>51</v>
      </c>
      <c r="D150" t="s">
        <v>61</v>
      </c>
      <c r="E150" t="s">
        <v>62</v>
      </c>
      <c r="F150" s="12">
        <f t="shared" si="4"/>
        <v>11</v>
      </c>
      <c r="G150" s="5">
        <f t="shared" si="5"/>
        <v>2018</v>
      </c>
    </row>
    <row r="151" spans="1:7" x14ac:dyDescent="0.25">
      <c r="A151" t="s">
        <v>323</v>
      </c>
      <c r="B151" s="1">
        <v>43436</v>
      </c>
      <c r="C151" t="s">
        <v>51</v>
      </c>
      <c r="D151" t="s">
        <v>68</v>
      </c>
      <c r="E151" t="s">
        <v>175</v>
      </c>
      <c r="F151" s="12">
        <f t="shared" si="4"/>
        <v>12</v>
      </c>
      <c r="G151" s="5">
        <f t="shared" si="5"/>
        <v>2018</v>
      </c>
    </row>
    <row r="152" spans="1:7" x14ac:dyDescent="0.25">
      <c r="A152" t="s">
        <v>324</v>
      </c>
      <c r="B152" s="1">
        <v>43108</v>
      </c>
      <c r="C152" t="s">
        <v>325</v>
      </c>
      <c r="D152" t="s">
        <v>32</v>
      </c>
      <c r="E152" t="s">
        <v>33</v>
      </c>
      <c r="F152" s="12">
        <f t="shared" si="4"/>
        <v>1</v>
      </c>
      <c r="G152" s="5">
        <f t="shared" si="5"/>
        <v>2018</v>
      </c>
    </row>
    <row r="153" spans="1:7" x14ac:dyDescent="0.25">
      <c r="A153" t="s">
        <v>326</v>
      </c>
      <c r="B153" s="1">
        <v>43407</v>
      </c>
      <c r="C153" t="s">
        <v>327</v>
      </c>
      <c r="D153" t="s">
        <v>97</v>
      </c>
      <c r="E153" t="s">
        <v>69</v>
      </c>
      <c r="F153" s="12">
        <f t="shared" si="4"/>
        <v>11</v>
      </c>
      <c r="G153" s="5">
        <f t="shared" si="5"/>
        <v>2018</v>
      </c>
    </row>
    <row r="154" spans="1:7" x14ac:dyDescent="0.25">
      <c r="A154" t="s">
        <v>328</v>
      </c>
      <c r="B154" s="1">
        <v>43216</v>
      </c>
      <c r="C154" t="s">
        <v>329</v>
      </c>
      <c r="D154" t="s">
        <v>16</v>
      </c>
      <c r="E154" t="s">
        <v>17</v>
      </c>
      <c r="F154" s="12">
        <f t="shared" si="4"/>
        <v>4</v>
      </c>
      <c r="G154" s="5">
        <f t="shared" si="5"/>
        <v>2018</v>
      </c>
    </row>
    <row r="155" spans="1:7" x14ac:dyDescent="0.25">
      <c r="A155" t="s">
        <v>330</v>
      </c>
      <c r="B155" s="1">
        <v>43395</v>
      </c>
      <c r="C155" t="s">
        <v>331</v>
      </c>
      <c r="D155" t="s">
        <v>16</v>
      </c>
      <c r="E155" t="s">
        <v>17</v>
      </c>
      <c r="F155" s="12">
        <f t="shared" si="4"/>
        <v>10</v>
      </c>
      <c r="G155" s="5">
        <f t="shared" si="5"/>
        <v>2018</v>
      </c>
    </row>
    <row r="156" spans="1:7" x14ac:dyDescent="0.25">
      <c r="A156" t="s">
        <v>332</v>
      </c>
      <c r="B156" s="1">
        <v>43181</v>
      </c>
      <c r="C156" t="s">
        <v>129</v>
      </c>
      <c r="D156" t="s">
        <v>130</v>
      </c>
      <c r="E156" t="s">
        <v>131</v>
      </c>
      <c r="F156" s="12">
        <f t="shared" si="4"/>
        <v>3</v>
      </c>
      <c r="G156" s="5">
        <f t="shared" si="5"/>
        <v>2018</v>
      </c>
    </row>
    <row r="157" spans="1:7" x14ac:dyDescent="0.25">
      <c r="A157" t="s">
        <v>333</v>
      </c>
      <c r="B157" s="1">
        <v>43213</v>
      </c>
      <c r="C157" t="s">
        <v>334</v>
      </c>
      <c r="D157" t="s">
        <v>156</v>
      </c>
      <c r="E157" t="s">
        <v>157</v>
      </c>
      <c r="F157" s="12">
        <f t="shared" si="4"/>
        <v>4</v>
      </c>
      <c r="G157" s="5">
        <f t="shared" si="5"/>
        <v>2018</v>
      </c>
    </row>
    <row r="158" spans="1:7" x14ac:dyDescent="0.25">
      <c r="A158" t="s">
        <v>335</v>
      </c>
      <c r="B158" s="1">
        <v>43378</v>
      </c>
      <c r="C158" t="s">
        <v>336</v>
      </c>
      <c r="D158" t="s">
        <v>16</v>
      </c>
      <c r="E158" t="s">
        <v>17</v>
      </c>
      <c r="F158" s="12">
        <f t="shared" si="4"/>
        <v>10</v>
      </c>
      <c r="G158" s="5">
        <f t="shared" si="5"/>
        <v>2018</v>
      </c>
    </row>
    <row r="159" spans="1:7" x14ac:dyDescent="0.25">
      <c r="A159" t="s">
        <v>337</v>
      </c>
      <c r="B159" s="1">
        <v>43269</v>
      </c>
      <c r="C159" t="s">
        <v>338</v>
      </c>
      <c r="D159" t="s">
        <v>20</v>
      </c>
      <c r="E159" t="s">
        <v>72</v>
      </c>
      <c r="F159" s="12">
        <f t="shared" si="4"/>
        <v>6</v>
      </c>
      <c r="G159" s="5">
        <f t="shared" si="5"/>
        <v>2018</v>
      </c>
    </row>
    <row r="160" spans="1:7" x14ac:dyDescent="0.25">
      <c r="A160" t="s">
        <v>339</v>
      </c>
      <c r="B160" s="1">
        <v>43367</v>
      </c>
      <c r="C160" t="s">
        <v>340</v>
      </c>
      <c r="D160" t="s">
        <v>16</v>
      </c>
      <c r="E160" t="s">
        <v>17</v>
      </c>
      <c r="F160" s="12">
        <f t="shared" si="4"/>
        <v>9</v>
      </c>
      <c r="G160" s="5">
        <f t="shared" si="5"/>
        <v>2018</v>
      </c>
    </row>
    <row r="161" spans="1:7" x14ac:dyDescent="0.25">
      <c r="A161" t="s">
        <v>341</v>
      </c>
      <c r="B161" s="1">
        <v>43379</v>
      </c>
      <c r="C161" t="s">
        <v>342</v>
      </c>
      <c r="D161" t="s">
        <v>20</v>
      </c>
      <c r="E161" t="s">
        <v>21</v>
      </c>
      <c r="F161" s="12">
        <f t="shared" si="4"/>
        <v>10</v>
      </c>
      <c r="G161" s="5">
        <f t="shared" si="5"/>
        <v>2018</v>
      </c>
    </row>
    <row r="162" spans="1:7" x14ac:dyDescent="0.25">
      <c r="A162" t="s">
        <v>343</v>
      </c>
      <c r="B162" s="1">
        <v>43286</v>
      </c>
      <c r="C162" t="s">
        <v>344</v>
      </c>
      <c r="D162" t="s">
        <v>16</v>
      </c>
      <c r="E162" t="s">
        <v>27</v>
      </c>
      <c r="F162" s="12">
        <f t="shared" si="4"/>
        <v>7</v>
      </c>
      <c r="G162" s="5">
        <f t="shared" si="5"/>
        <v>2018</v>
      </c>
    </row>
    <row r="163" spans="1:7" x14ac:dyDescent="0.25">
      <c r="A163" t="s">
        <v>345</v>
      </c>
      <c r="B163" s="1">
        <v>43245</v>
      </c>
      <c r="C163" t="s">
        <v>346</v>
      </c>
      <c r="D163" t="s">
        <v>304</v>
      </c>
      <c r="E163" t="s">
        <v>305</v>
      </c>
      <c r="F163" s="12">
        <f t="shared" si="4"/>
        <v>5</v>
      </c>
      <c r="G163" s="5">
        <f t="shared" si="5"/>
        <v>2018</v>
      </c>
    </row>
    <row r="164" spans="1:7" x14ac:dyDescent="0.25">
      <c r="A164" t="s">
        <v>347</v>
      </c>
      <c r="B164" s="1">
        <v>43414</v>
      </c>
      <c r="C164" t="s">
        <v>348</v>
      </c>
      <c r="D164" t="s">
        <v>20</v>
      </c>
      <c r="E164" t="s">
        <v>21</v>
      </c>
      <c r="F164" s="12">
        <f t="shared" si="4"/>
        <v>11</v>
      </c>
      <c r="G164" s="5">
        <f t="shared" si="5"/>
        <v>2018</v>
      </c>
    </row>
    <row r="165" spans="1:7" x14ac:dyDescent="0.25">
      <c r="A165" t="s">
        <v>349</v>
      </c>
      <c r="B165" s="1">
        <v>43358</v>
      </c>
      <c r="C165" t="s">
        <v>203</v>
      </c>
      <c r="D165" t="s">
        <v>140</v>
      </c>
      <c r="E165" t="s">
        <v>141</v>
      </c>
      <c r="F165" s="12">
        <f t="shared" si="4"/>
        <v>9</v>
      </c>
      <c r="G165" s="5">
        <f t="shared" si="5"/>
        <v>2018</v>
      </c>
    </row>
    <row r="166" spans="1:7" x14ac:dyDescent="0.25">
      <c r="A166" t="s">
        <v>350</v>
      </c>
      <c r="B166" s="1">
        <v>43103</v>
      </c>
      <c r="C166" t="s">
        <v>351</v>
      </c>
      <c r="D166" t="s">
        <v>68</v>
      </c>
      <c r="E166" t="s">
        <v>69</v>
      </c>
      <c r="F166" s="12">
        <f t="shared" si="4"/>
        <v>1</v>
      </c>
      <c r="G166" s="5">
        <f t="shared" si="5"/>
        <v>2018</v>
      </c>
    </row>
    <row r="167" spans="1:7" x14ac:dyDescent="0.25">
      <c r="A167" t="s">
        <v>352</v>
      </c>
      <c r="B167" s="1">
        <v>43168</v>
      </c>
      <c r="C167" t="s">
        <v>207</v>
      </c>
      <c r="D167" t="s">
        <v>156</v>
      </c>
      <c r="E167" t="s">
        <v>157</v>
      </c>
      <c r="F167" s="12">
        <f t="shared" si="4"/>
        <v>3</v>
      </c>
      <c r="G167" s="5">
        <f t="shared" si="5"/>
        <v>2018</v>
      </c>
    </row>
    <row r="168" spans="1:7" x14ac:dyDescent="0.25">
      <c r="A168" t="s">
        <v>353</v>
      </c>
      <c r="B168" s="1">
        <v>43177</v>
      </c>
      <c r="C168" t="s">
        <v>94</v>
      </c>
      <c r="D168" t="s">
        <v>104</v>
      </c>
      <c r="E168" t="s">
        <v>105</v>
      </c>
      <c r="F168" s="12">
        <f t="shared" si="4"/>
        <v>3</v>
      </c>
      <c r="G168" s="5">
        <f t="shared" si="5"/>
        <v>2018</v>
      </c>
    </row>
    <row r="169" spans="1:7" x14ac:dyDescent="0.25">
      <c r="A169" t="s">
        <v>354</v>
      </c>
      <c r="B169" s="1">
        <v>43367</v>
      </c>
      <c r="C169" t="s">
        <v>355</v>
      </c>
      <c r="D169" t="s">
        <v>75</v>
      </c>
      <c r="E169" t="s">
        <v>76</v>
      </c>
      <c r="F169" s="12">
        <f t="shared" si="4"/>
        <v>9</v>
      </c>
      <c r="G169" s="5">
        <f t="shared" si="5"/>
        <v>2018</v>
      </c>
    </row>
    <row r="170" spans="1:7" x14ac:dyDescent="0.25">
      <c r="A170" t="s">
        <v>356</v>
      </c>
      <c r="B170" s="1">
        <v>43130</v>
      </c>
      <c r="C170" t="s">
        <v>357</v>
      </c>
      <c r="D170" t="s">
        <v>11</v>
      </c>
      <c r="E170" t="s">
        <v>11</v>
      </c>
      <c r="F170" s="12">
        <f t="shared" si="4"/>
        <v>1</v>
      </c>
      <c r="G170" s="5">
        <f t="shared" si="5"/>
        <v>2018</v>
      </c>
    </row>
    <row r="171" spans="1:7" x14ac:dyDescent="0.25">
      <c r="A171" t="s">
        <v>358</v>
      </c>
      <c r="B171" s="1">
        <v>43127</v>
      </c>
      <c r="C171" t="s">
        <v>359</v>
      </c>
      <c r="D171" t="s">
        <v>20</v>
      </c>
      <c r="E171" t="s">
        <v>21</v>
      </c>
      <c r="F171" s="12">
        <f t="shared" si="4"/>
        <v>1</v>
      </c>
      <c r="G171" s="5">
        <f t="shared" si="5"/>
        <v>2018</v>
      </c>
    </row>
    <row r="172" spans="1:7" x14ac:dyDescent="0.25">
      <c r="A172" t="s">
        <v>360</v>
      </c>
      <c r="B172" s="1">
        <v>43169</v>
      </c>
      <c r="C172" t="s">
        <v>361</v>
      </c>
      <c r="D172" t="s">
        <v>16</v>
      </c>
      <c r="E172" t="s">
        <v>17</v>
      </c>
      <c r="F172" s="12">
        <f t="shared" si="4"/>
        <v>3</v>
      </c>
      <c r="G172" s="5">
        <f t="shared" si="5"/>
        <v>2018</v>
      </c>
    </row>
    <row r="173" spans="1:7" x14ac:dyDescent="0.25">
      <c r="A173" t="s">
        <v>362</v>
      </c>
      <c r="B173" s="1">
        <v>43181</v>
      </c>
      <c r="C173" t="s">
        <v>363</v>
      </c>
      <c r="D173" t="s">
        <v>140</v>
      </c>
      <c r="E173" t="s">
        <v>141</v>
      </c>
      <c r="F173" s="12">
        <f t="shared" si="4"/>
        <v>3</v>
      </c>
      <c r="G173" s="5">
        <f t="shared" si="5"/>
        <v>2018</v>
      </c>
    </row>
    <row r="174" spans="1:7" x14ac:dyDescent="0.25">
      <c r="A174" t="s">
        <v>364</v>
      </c>
      <c r="B174" s="1">
        <v>43363</v>
      </c>
      <c r="C174" t="s">
        <v>365</v>
      </c>
      <c r="D174" t="s">
        <v>156</v>
      </c>
      <c r="E174" t="s">
        <v>157</v>
      </c>
      <c r="F174" s="12">
        <f t="shared" si="4"/>
        <v>9</v>
      </c>
      <c r="G174" s="5">
        <f t="shared" si="5"/>
        <v>2018</v>
      </c>
    </row>
    <row r="175" spans="1:7" x14ac:dyDescent="0.25">
      <c r="A175" t="s">
        <v>366</v>
      </c>
      <c r="B175" s="1">
        <v>43258</v>
      </c>
      <c r="C175" t="s">
        <v>178</v>
      </c>
      <c r="D175" t="s">
        <v>57</v>
      </c>
      <c r="E175" t="s">
        <v>58</v>
      </c>
      <c r="F175" s="12">
        <f t="shared" si="4"/>
        <v>6</v>
      </c>
      <c r="G175" s="5">
        <f t="shared" si="5"/>
        <v>2018</v>
      </c>
    </row>
    <row r="176" spans="1:7" x14ac:dyDescent="0.25">
      <c r="A176" t="s">
        <v>367</v>
      </c>
      <c r="B176" s="1">
        <v>43119</v>
      </c>
      <c r="C176" t="s">
        <v>368</v>
      </c>
      <c r="D176" t="s">
        <v>16</v>
      </c>
      <c r="E176" t="s">
        <v>27</v>
      </c>
      <c r="F176" s="12">
        <f t="shared" si="4"/>
        <v>1</v>
      </c>
      <c r="G176" s="5">
        <f t="shared" si="5"/>
        <v>2018</v>
      </c>
    </row>
    <row r="177" spans="1:7" x14ac:dyDescent="0.25">
      <c r="A177" t="s">
        <v>369</v>
      </c>
      <c r="B177" s="1">
        <v>43326</v>
      </c>
      <c r="C177" t="s">
        <v>370</v>
      </c>
      <c r="D177" t="s">
        <v>20</v>
      </c>
      <c r="E177" t="s">
        <v>21</v>
      </c>
      <c r="F177" s="12">
        <f t="shared" si="4"/>
        <v>8</v>
      </c>
      <c r="G177" s="5">
        <f t="shared" si="5"/>
        <v>2018</v>
      </c>
    </row>
    <row r="178" spans="1:7" x14ac:dyDescent="0.25">
      <c r="A178" t="s">
        <v>371</v>
      </c>
      <c r="B178" s="1">
        <v>43397</v>
      </c>
      <c r="C178" t="s">
        <v>372</v>
      </c>
      <c r="D178" t="s">
        <v>68</v>
      </c>
      <c r="E178" t="s">
        <v>69</v>
      </c>
      <c r="F178" s="12">
        <f t="shared" si="4"/>
        <v>10</v>
      </c>
      <c r="G178" s="5">
        <f t="shared" si="5"/>
        <v>2018</v>
      </c>
    </row>
    <row r="179" spans="1:7" x14ac:dyDescent="0.25">
      <c r="A179" t="s">
        <v>373</v>
      </c>
      <c r="B179" s="1">
        <v>43212</v>
      </c>
      <c r="C179" t="s">
        <v>374</v>
      </c>
      <c r="D179" t="s">
        <v>100</v>
      </c>
      <c r="E179" t="s">
        <v>170</v>
      </c>
      <c r="F179" s="12">
        <f t="shared" si="4"/>
        <v>4</v>
      </c>
      <c r="G179" s="5">
        <f t="shared" si="5"/>
        <v>2018</v>
      </c>
    </row>
    <row r="180" spans="1:7" x14ac:dyDescent="0.25">
      <c r="A180" t="s">
        <v>375</v>
      </c>
      <c r="B180" s="1">
        <v>43326</v>
      </c>
      <c r="C180" t="s">
        <v>376</v>
      </c>
      <c r="D180" t="s">
        <v>16</v>
      </c>
      <c r="E180" t="s">
        <v>17</v>
      </c>
      <c r="F180" s="12">
        <f t="shared" si="4"/>
        <v>8</v>
      </c>
      <c r="G180" s="5">
        <f t="shared" si="5"/>
        <v>2018</v>
      </c>
    </row>
    <row r="181" spans="1:7" x14ac:dyDescent="0.25">
      <c r="A181" t="s">
        <v>377</v>
      </c>
      <c r="B181" s="1">
        <v>43261</v>
      </c>
      <c r="C181" t="s">
        <v>113</v>
      </c>
      <c r="D181" t="s">
        <v>20</v>
      </c>
      <c r="E181" t="s">
        <v>21</v>
      </c>
      <c r="F181" s="12">
        <f t="shared" si="4"/>
        <v>6</v>
      </c>
      <c r="G181" s="5">
        <f t="shared" si="5"/>
        <v>2018</v>
      </c>
    </row>
    <row r="182" spans="1:7" x14ac:dyDescent="0.25">
      <c r="A182" t="s">
        <v>378</v>
      </c>
      <c r="B182" s="1">
        <v>43142</v>
      </c>
      <c r="C182" t="s">
        <v>379</v>
      </c>
      <c r="D182" t="s">
        <v>57</v>
      </c>
      <c r="E182" t="s">
        <v>58</v>
      </c>
      <c r="F182" s="12">
        <f t="shared" si="4"/>
        <v>2</v>
      </c>
      <c r="G182" s="5">
        <f t="shared" si="5"/>
        <v>2018</v>
      </c>
    </row>
    <row r="183" spans="1:7" x14ac:dyDescent="0.25">
      <c r="A183" t="s">
        <v>380</v>
      </c>
      <c r="B183" s="1">
        <v>43154</v>
      </c>
      <c r="C183" t="s">
        <v>334</v>
      </c>
      <c r="D183" t="s">
        <v>156</v>
      </c>
      <c r="E183" t="s">
        <v>157</v>
      </c>
      <c r="F183" s="12">
        <f t="shared" si="4"/>
        <v>2</v>
      </c>
      <c r="G183" s="5">
        <f t="shared" si="5"/>
        <v>2018</v>
      </c>
    </row>
    <row r="184" spans="1:7" x14ac:dyDescent="0.25">
      <c r="A184" t="s">
        <v>381</v>
      </c>
      <c r="B184" s="1">
        <v>43274</v>
      </c>
      <c r="C184" t="s">
        <v>382</v>
      </c>
      <c r="D184" t="s">
        <v>130</v>
      </c>
      <c r="E184" t="s">
        <v>131</v>
      </c>
      <c r="F184" s="12">
        <f t="shared" si="4"/>
        <v>6</v>
      </c>
      <c r="G184" s="5">
        <f t="shared" si="5"/>
        <v>2018</v>
      </c>
    </row>
    <row r="185" spans="1:7" x14ac:dyDescent="0.25">
      <c r="A185" t="s">
        <v>383</v>
      </c>
      <c r="B185" s="1">
        <v>43121</v>
      </c>
      <c r="C185" t="s">
        <v>384</v>
      </c>
      <c r="D185" t="s">
        <v>100</v>
      </c>
      <c r="E185" t="s">
        <v>101</v>
      </c>
      <c r="F185" s="12">
        <f t="shared" si="4"/>
        <v>1</v>
      </c>
      <c r="G185" s="5">
        <f t="shared" si="5"/>
        <v>2018</v>
      </c>
    </row>
    <row r="186" spans="1:7" x14ac:dyDescent="0.25">
      <c r="A186" t="s">
        <v>385</v>
      </c>
      <c r="B186" s="1">
        <v>43401</v>
      </c>
      <c r="C186" t="s">
        <v>386</v>
      </c>
      <c r="D186" t="s">
        <v>16</v>
      </c>
      <c r="E186" t="s">
        <v>17</v>
      </c>
      <c r="F186" s="12">
        <f t="shared" si="4"/>
        <v>10</v>
      </c>
      <c r="G186" s="5">
        <f t="shared" si="5"/>
        <v>2018</v>
      </c>
    </row>
    <row r="187" spans="1:7" x14ac:dyDescent="0.25">
      <c r="A187" t="s">
        <v>387</v>
      </c>
      <c r="B187" s="1">
        <v>43319</v>
      </c>
      <c r="C187" t="s">
        <v>388</v>
      </c>
      <c r="D187" t="s">
        <v>81</v>
      </c>
      <c r="E187" t="s">
        <v>82</v>
      </c>
      <c r="F187" s="12">
        <f t="shared" si="4"/>
        <v>8</v>
      </c>
      <c r="G187" s="5">
        <f t="shared" si="5"/>
        <v>2018</v>
      </c>
    </row>
    <row r="188" spans="1:7" x14ac:dyDescent="0.25">
      <c r="A188" t="s">
        <v>389</v>
      </c>
      <c r="B188" s="1">
        <v>43432</v>
      </c>
      <c r="C188" t="s">
        <v>390</v>
      </c>
      <c r="D188" t="s">
        <v>100</v>
      </c>
      <c r="E188" t="s">
        <v>101</v>
      </c>
      <c r="F188" s="12">
        <f t="shared" si="4"/>
        <v>11</v>
      </c>
      <c r="G188" s="5">
        <f t="shared" si="5"/>
        <v>2018</v>
      </c>
    </row>
    <row r="189" spans="1:7" x14ac:dyDescent="0.25">
      <c r="A189" t="s">
        <v>391</v>
      </c>
      <c r="B189" s="1">
        <v>43125</v>
      </c>
      <c r="C189" t="s">
        <v>127</v>
      </c>
      <c r="D189" t="s">
        <v>7</v>
      </c>
      <c r="E189" t="s">
        <v>24</v>
      </c>
      <c r="F189" s="12">
        <f t="shared" si="4"/>
        <v>1</v>
      </c>
      <c r="G189" s="5">
        <f t="shared" si="5"/>
        <v>2018</v>
      </c>
    </row>
    <row r="190" spans="1:7" x14ac:dyDescent="0.25">
      <c r="A190" t="s">
        <v>392</v>
      </c>
      <c r="B190" s="1">
        <v>43188</v>
      </c>
      <c r="C190" t="s">
        <v>334</v>
      </c>
      <c r="D190" t="s">
        <v>156</v>
      </c>
      <c r="E190" t="s">
        <v>157</v>
      </c>
      <c r="F190" s="12">
        <f t="shared" si="4"/>
        <v>3</v>
      </c>
      <c r="G190" s="5">
        <f t="shared" si="5"/>
        <v>2018</v>
      </c>
    </row>
    <row r="191" spans="1:7" x14ac:dyDescent="0.25">
      <c r="A191" t="s">
        <v>393</v>
      </c>
      <c r="B191" s="1">
        <v>43203</v>
      </c>
      <c r="C191" t="s">
        <v>394</v>
      </c>
      <c r="D191" t="s">
        <v>61</v>
      </c>
      <c r="E191" t="s">
        <v>62</v>
      </c>
      <c r="F191" s="12">
        <f t="shared" si="4"/>
        <v>4</v>
      </c>
      <c r="G191" s="5">
        <f t="shared" si="5"/>
        <v>2018</v>
      </c>
    </row>
    <row r="192" spans="1:7" x14ac:dyDescent="0.25">
      <c r="A192" t="s">
        <v>395</v>
      </c>
      <c r="B192" s="1">
        <v>43302</v>
      </c>
      <c r="C192" t="s">
        <v>396</v>
      </c>
      <c r="D192" t="s">
        <v>16</v>
      </c>
      <c r="E192" t="s">
        <v>17</v>
      </c>
      <c r="F192" s="12">
        <f t="shared" si="4"/>
        <v>7</v>
      </c>
      <c r="G192" s="5">
        <f t="shared" si="5"/>
        <v>2018</v>
      </c>
    </row>
    <row r="193" spans="1:7" x14ac:dyDescent="0.25">
      <c r="A193" t="s">
        <v>397</v>
      </c>
      <c r="B193" s="1">
        <v>43165</v>
      </c>
      <c r="C193" t="s">
        <v>398</v>
      </c>
      <c r="D193" t="s">
        <v>100</v>
      </c>
      <c r="E193" t="s">
        <v>170</v>
      </c>
      <c r="F193" s="12">
        <f t="shared" si="4"/>
        <v>3</v>
      </c>
      <c r="G193" s="5">
        <f t="shared" si="5"/>
        <v>2018</v>
      </c>
    </row>
    <row r="194" spans="1:7" x14ac:dyDescent="0.25">
      <c r="A194" t="s">
        <v>399</v>
      </c>
      <c r="B194" s="1">
        <v>43199</v>
      </c>
      <c r="C194" t="s">
        <v>264</v>
      </c>
      <c r="D194" t="s">
        <v>7</v>
      </c>
      <c r="E194" t="s">
        <v>120</v>
      </c>
      <c r="F194" s="12">
        <f t="shared" si="4"/>
        <v>4</v>
      </c>
      <c r="G194" s="5">
        <f t="shared" si="5"/>
        <v>2018</v>
      </c>
    </row>
    <row r="195" spans="1:7" x14ac:dyDescent="0.25">
      <c r="A195" t="s">
        <v>400</v>
      </c>
      <c r="B195" s="1">
        <v>43315</v>
      </c>
      <c r="C195" t="s">
        <v>401</v>
      </c>
      <c r="D195" t="s">
        <v>20</v>
      </c>
      <c r="E195" t="s">
        <v>21</v>
      </c>
      <c r="F195" s="12">
        <f t="shared" ref="F195:F258" si="6">MONTH(B195)</f>
        <v>8</v>
      </c>
      <c r="G195" s="5">
        <f t="shared" ref="G195:G258" si="7">YEAR(B195)</f>
        <v>2018</v>
      </c>
    </row>
    <row r="196" spans="1:7" x14ac:dyDescent="0.25">
      <c r="A196" t="s">
        <v>402</v>
      </c>
      <c r="B196" s="1">
        <v>43117</v>
      </c>
      <c r="C196" t="s">
        <v>225</v>
      </c>
      <c r="D196" t="s">
        <v>16</v>
      </c>
      <c r="E196" t="s">
        <v>17</v>
      </c>
      <c r="F196" s="12">
        <f t="shared" si="6"/>
        <v>1</v>
      </c>
      <c r="G196" s="5">
        <f t="shared" si="7"/>
        <v>2018</v>
      </c>
    </row>
    <row r="197" spans="1:7" x14ac:dyDescent="0.25">
      <c r="A197" t="s">
        <v>403</v>
      </c>
      <c r="B197" s="1">
        <v>43265</v>
      </c>
      <c r="C197" t="s">
        <v>404</v>
      </c>
      <c r="D197" t="s">
        <v>16</v>
      </c>
      <c r="E197" t="s">
        <v>17</v>
      </c>
      <c r="F197" s="12">
        <f t="shared" si="6"/>
        <v>6</v>
      </c>
      <c r="G197" s="5">
        <f t="shared" si="7"/>
        <v>2018</v>
      </c>
    </row>
    <row r="198" spans="1:7" x14ac:dyDescent="0.25">
      <c r="A198" t="s">
        <v>405</v>
      </c>
      <c r="B198" s="1">
        <v>43105</v>
      </c>
      <c r="C198" t="s">
        <v>406</v>
      </c>
      <c r="D198" t="s">
        <v>304</v>
      </c>
      <c r="E198" t="s">
        <v>305</v>
      </c>
      <c r="F198" s="12">
        <f t="shared" si="6"/>
        <v>1</v>
      </c>
      <c r="G198" s="5">
        <f t="shared" si="7"/>
        <v>2018</v>
      </c>
    </row>
    <row r="199" spans="1:7" x14ac:dyDescent="0.25">
      <c r="A199" t="s">
        <v>407</v>
      </c>
      <c r="B199" s="1">
        <v>43438</v>
      </c>
      <c r="C199" t="s">
        <v>408</v>
      </c>
      <c r="D199" t="s">
        <v>16</v>
      </c>
      <c r="E199" t="s">
        <v>17</v>
      </c>
      <c r="F199" s="12">
        <f t="shared" si="6"/>
        <v>12</v>
      </c>
      <c r="G199" s="5">
        <f t="shared" si="7"/>
        <v>2018</v>
      </c>
    </row>
    <row r="200" spans="1:7" x14ac:dyDescent="0.25">
      <c r="A200" t="s">
        <v>409</v>
      </c>
      <c r="B200" s="1">
        <v>43383</v>
      </c>
      <c r="C200" t="s">
        <v>245</v>
      </c>
      <c r="D200" t="s">
        <v>20</v>
      </c>
      <c r="E200" t="s">
        <v>21</v>
      </c>
      <c r="F200" s="12">
        <f t="shared" si="6"/>
        <v>10</v>
      </c>
      <c r="G200" s="5">
        <f t="shared" si="7"/>
        <v>2018</v>
      </c>
    </row>
    <row r="201" spans="1:7" x14ac:dyDescent="0.25">
      <c r="A201" t="s">
        <v>410</v>
      </c>
      <c r="B201" s="1">
        <v>43293</v>
      </c>
      <c r="C201" t="s">
        <v>212</v>
      </c>
      <c r="D201" t="s">
        <v>16</v>
      </c>
      <c r="E201" t="s">
        <v>17</v>
      </c>
      <c r="F201" s="12">
        <f t="shared" si="6"/>
        <v>7</v>
      </c>
      <c r="G201" s="5">
        <f t="shared" si="7"/>
        <v>2018</v>
      </c>
    </row>
    <row r="202" spans="1:7" x14ac:dyDescent="0.25">
      <c r="A202" t="s">
        <v>411</v>
      </c>
      <c r="B202" s="1">
        <v>43452</v>
      </c>
      <c r="C202" t="s">
        <v>412</v>
      </c>
      <c r="D202" t="s">
        <v>11</v>
      </c>
      <c r="E202" t="s">
        <v>11</v>
      </c>
      <c r="F202" s="12">
        <f t="shared" si="6"/>
        <v>12</v>
      </c>
      <c r="G202" s="5">
        <f t="shared" si="7"/>
        <v>2018</v>
      </c>
    </row>
    <row r="203" spans="1:7" x14ac:dyDescent="0.25">
      <c r="A203" t="s">
        <v>413</v>
      </c>
      <c r="B203" s="1">
        <v>43444</v>
      </c>
      <c r="C203" t="s">
        <v>414</v>
      </c>
      <c r="D203" t="s">
        <v>20</v>
      </c>
      <c r="E203" t="s">
        <v>21</v>
      </c>
      <c r="F203" s="12">
        <f t="shared" si="6"/>
        <v>12</v>
      </c>
      <c r="G203" s="5">
        <f t="shared" si="7"/>
        <v>2018</v>
      </c>
    </row>
    <row r="204" spans="1:7" x14ac:dyDescent="0.25">
      <c r="A204" t="s">
        <v>415</v>
      </c>
      <c r="B204" s="1">
        <v>43187</v>
      </c>
      <c r="C204" t="s">
        <v>268</v>
      </c>
      <c r="D204" t="s">
        <v>140</v>
      </c>
      <c r="E204" t="s">
        <v>141</v>
      </c>
      <c r="F204" s="12">
        <f t="shared" si="6"/>
        <v>3</v>
      </c>
      <c r="G204" s="5">
        <f t="shared" si="7"/>
        <v>2018</v>
      </c>
    </row>
    <row r="205" spans="1:7" x14ac:dyDescent="0.25">
      <c r="A205" t="s">
        <v>416</v>
      </c>
      <c r="B205" s="1">
        <v>43230</v>
      </c>
      <c r="C205" t="s">
        <v>417</v>
      </c>
      <c r="D205" t="s">
        <v>16</v>
      </c>
      <c r="E205" t="s">
        <v>17</v>
      </c>
      <c r="F205" s="12">
        <f t="shared" si="6"/>
        <v>5</v>
      </c>
      <c r="G205" s="5">
        <f t="shared" si="7"/>
        <v>2018</v>
      </c>
    </row>
    <row r="206" spans="1:7" x14ac:dyDescent="0.25">
      <c r="A206" t="s">
        <v>418</v>
      </c>
      <c r="B206" s="1">
        <v>43180</v>
      </c>
      <c r="C206" t="s">
        <v>137</v>
      </c>
      <c r="D206" t="s">
        <v>20</v>
      </c>
      <c r="E206" t="s">
        <v>72</v>
      </c>
      <c r="F206" s="12">
        <f t="shared" si="6"/>
        <v>3</v>
      </c>
      <c r="G206" s="5">
        <f t="shared" si="7"/>
        <v>2018</v>
      </c>
    </row>
    <row r="207" spans="1:7" x14ac:dyDescent="0.25">
      <c r="A207" t="s">
        <v>419</v>
      </c>
      <c r="B207" s="1">
        <v>43118</v>
      </c>
      <c r="C207" t="s">
        <v>420</v>
      </c>
      <c r="D207" t="s">
        <v>40</v>
      </c>
      <c r="E207" t="s">
        <v>54</v>
      </c>
      <c r="F207" s="12">
        <f t="shared" si="6"/>
        <v>1</v>
      </c>
      <c r="G207" s="5">
        <f t="shared" si="7"/>
        <v>2018</v>
      </c>
    </row>
    <row r="208" spans="1:7" x14ac:dyDescent="0.25">
      <c r="A208" t="s">
        <v>421</v>
      </c>
      <c r="B208" s="1">
        <v>43412</v>
      </c>
      <c r="C208" t="s">
        <v>314</v>
      </c>
      <c r="D208" t="s">
        <v>16</v>
      </c>
      <c r="E208" t="s">
        <v>27</v>
      </c>
      <c r="F208" s="12">
        <f t="shared" si="6"/>
        <v>11</v>
      </c>
      <c r="G208" s="5">
        <f t="shared" si="7"/>
        <v>2018</v>
      </c>
    </row>
    <row r="209" spans="1:7" x14ac:dyDescent="0.25">
      <c r="A209" t="s">
        <v>422</v>
      </c>
      <c r="B209" s="1">
        <v>43218</v>
      </c>
      <c r="C209" t="s">
        <v>270</v>
      </c>
      <c r="D209" t="s">
        <v>104</v>
      </c>
      <c r="E209" t="s">
        <v>105</v>
      </c>
      <c r="F209" s="12">
        <f t="shared" si="6"/>
        <v>4</v>
      </c>
      <c r="G209" s="5">
        <f t="shared" si="7"/>
        <v>2018</v>
      </c>
    </row>
    <row r="210" spans="1:7" x14ac:dyDescent="0.25">
      <c r="A210" t="s">
        <v>423</v>
      </c>
      <c r="B210" s="1">
        <v>43259</v>
      </c>
      <c r="C210" t="s">
        <v>225</v>
      </c>
      <c r="D210" t="s">
        <v>75</v>
      </c>
      <c r="E210" t="s">
        <v>76</v>
      </c>
      <c r="F210" s="12">
        <f t="shared" si="6"/>
        <v>6</v>
      </c>
      <c r="G210" s="5">
        <f t="shared" si="7"/>
        <v>2018</v>
      </c>
    </row>
    <row r="211" spans="1:7" x14ac:dyDescent="0.25">
      <c r="A211" t="s">
        <v>424</v>
      </c>
      <c r="B211" s="1">
        <v>43145</v>
      </c>
      <c r="C211" t="s">
        <v>425</v>
      </c>
      <c r="D211" t="s">
        <v>104</v>
      </c>
      <c r="E211" t="s">
        <v>105</v>
      </c>
      <c r="F211" s="12">
        <f t="shared" si="6"/>
        <v>2</v>
      </c>
      <c r="G211" s="5">
        <f t="shared" si="7"/>
        <v>2018</v>
      </c>
    </row>
    <row r="212" spans="1:7" x14ac:dyDescent="0.25">
      <c r="A212" t="s">
        <v>426</v>
      </c>
      <c r="B212" s="1">
        <v>43154</v>
      </c>
      <c r="C212" t="s">
        <v>316</v>
      </c>
      <c r="D212" t="s">
        <v>104</v>
      </c>
      <c r="E212" t="s">
        <v>105</v>
      </c>
      <c r="F212" s="12">
        <f t="shared" si="6"/>
        <v>2</v>
      </c>
      <c r="G212" s="5">
        <f t="shared" si="7"/>
        <v>2018</v>
      </c>
    </row>
    <row r="213" spans="1:7" x14ac:dyDescent="0.25">
      <c r="A213" t="s">
        <v>427</v>
      </c>
      <c r="B213" s="1">
        <v>43169</v>
      </c>
      <c r="C213" t="s">
        <v>428</v>
      </c>
      <c r="D213" t="s">
        <v>57</v>
      </c>
      <c r="E213" t="s">
        <v>58</v>
      </c>
      <c r="F213" s="12">
        <f t="shared" si="6"/>
        <v>3</v>
      </c>
      <c r="G213" s="5">
        <f t="shared" si="7"/>
        <v>2018</v>
      </c>
    </row>
    <row r="214" spans="1:7" x14ac:dyDescent="0.25">
      <c r="A214" t="s">
        <v>429</v>
      </c>
      <c r="B214" s="1">
        <v>43388</v>
      </c>
      <c r="C214" t="s">
        <v>325</v>
      </c>
      <c r="D214" t="s">
        <v>20</v>
      </c>
      <c r="E214" t="s">
        <v>72</v>
      </c>
      <c r="F214" s="12">
        <f t="shared" si="6"/>
        <v>10</v>
      </c>
      <c r="G214" s="5">
        <f t="shared" si="7"/>
        <v>2018</v>
      </c>
    </row>
    <row r="215" spans="1:7" x14ac:dyDescent="0.25">
      <c r="A215" t="s">
        <v>430</v>
      </c>
      <c r="B215" s="1">
        <v>43291</v>
      </c>
      <c r="C215" t="s">
        <v>431</v>
      </c>
      <c r="D215" t="s">
        <v>156</v>
      </c>
      <c r="E215" t="s">
        <v>157</v>
      </c>
      <c r="F215" s="12">
        <f t="shared" si="6"/>
        <v>7</v>
      </c>
      <c r="G215" s="5">
        <f t="shared" si="7"/>
        <v>2018</v>
      </c>
    </row>
    <row r="216" spans="1:7" x14ac:dyDescent="0.25">
      <c r="A216" t="s">
        <v>432</v>
      </c>
      <c r="B216" s="1">
        <v>43104</v>
      </c>
      <c r="C216" t="s">
        <v>433</v>
      </c>
      <c r="D216" t="s">
        <v>16</v>
      </c>
      <c r="E216" t="s">
        <v>17</v>
      </c>
      <c r="F216" s="12">
        <f t="shared" si="6"/>
        <v>1</v>
      </c>
      <c r="G216" s="5">
        <f t="shared" si="7"/>
        <v>2018</v>
      </c>
    </row>
    <row r="217" spans="1:7" x14ac:dyDescent="0.25">
      <c r="A217" t="s">
        <v>434</v>
      </c>
      <c r="B217" s="1">
        <v>43144</v>
      </c>
      <c r="C217" t="s">
        <v>435</v>
      </c>
      <c r="D217" t="s">
        <v>100</v>
      </c>
      <c r="E217" t="s">
        <v>170</v>
      </c>
      <c r="F217" s="12">
        <f t="shared" si="6"/>
        <v>2</v>
      </c>
      <c r="G217" s="5">
        <f t="shared" si="7"/>
        <v>2018</v>
      </c>
    </row>
    <row r="218" spans="1:7" x14ac:dyDescent="0.25">
      <c r="A218" t="s">
        <v>436</v>
      </c>
      <c r="B218" s="1">
        <v>43231</v>
      </c>
      <c r="C218" t="s">
        <v>437</v>
      </c>
      <c r="D218" t="s">
        <v>20</v>
      </c>
      <c r="E218" t="s">
        <v>21</v>
      </c>
      <c r="F218" s="12">
        <f t="shared" si="6"/>
        <v>5</v>
      </c>
      <c r="G218" s="5">
        <f t="shared" si="7"/>
        <v>2018</v>
      </c>
    </row>
    <row r="219" spans="1:7" x14ac:dyDescent="0.25">
      <c r="A219" t="s">
        <v>438</v>
      </c>
      <c r="B219" s="1">
        <v>43385</v>
      </c>
      <c r="C219" t="s">
        <v>439</v>
      </c>
      <c r="D219" t="s">
        <v>32</v>
      </c>
      <c r="E219" t="s">
        <v>33</v>
      </c>
      <c r="F219" s="12">
        <f t="shared" si="6"/>
        <v>10</v>
      </c>
      <c r="G219" s="5">
        <f t="shared" si="7"/>
        <v>2018</v>
      </c>
    </row>
    <row r="220" spans="1:7" x14ac:dyDescent="0.25">
      <c r="A220" t="s">
        <v>440</v>
      </c>
      <c r="B220" s="1">
        <v>43216</v>
      </c>
      <c r="C220" t="s">
        <v>441</v>
      </c>
      <c r="D220" t="s">
        <v>193</v>
      </c>
      <c r="E220" t="s">
        <v>193</v>
      </c>
      <c r="F220" s="12">
        <f t="shared" si="6"/>
        <v>4</v>
      </c>
      <c r="G220" s="5">
        <f t="shared" si="7"/>
        <v>2018</v>
      </c>
    </row>
    <row r="221" spans="1:7" x14ac:dyDescent="0.25">
      <c r="A221" t="s">
        <v>442</v>
      </c>
      <c r="B221" s="1">
        <v>43438</v>
      </c>
      <c r="C221" t="s">
        <v>443</v>
      </c>
      <c r="D221" t="s">
        <v>40</v>
      </c>
      <c r="E221" t="s">
        <v>41</v>
      </c>
      <c r="F221" s="12">
        <f t="shared" si="6"/>
        <v>12</v>
      </c>
      <c r="G221" s="5">
        <f t="shared" si="7"/>
        <v>2018</v>
      </c>
    </row>
    <row r="222" spans="1:7" x14ac:dyDescent="0.25">
      <c r="A222" t="s">
        <v>444</v>
      </c>
      <c r="B222" s="1">
        <v>43262</v>
      </c>
      <c r="C222" t="s">
        <v>445</v>
      </c>
      <c r="D222" t="s">
        <v>16</v>
      </c>
      <c r="E222" t="s">
        <v>17</v>
      </c>
      <c r="F222" s="12">
        <f t="shared" si="6"/>
        <v>6</v>
      </c>
      <c r="G222" s="5">
        <f t="shared" si="7"/>
        <v>2018</v>
      </c>
    </row>
    <row r="223" spans="1:7" x14ac:dyDescent="0.25">
      <c r="A223" t="s">
        <v>446</v>
      </c>
      <c r="B223" s="1">
        <v>43237</v>
      </c>
      <c r="C223" t="s">
        <v>447</v>
      </c>
      <c r="D223" t="s">
        <v>16</v>
      </c>
      <c r="E223" t="s">
        <v>17</v>
      </c>
      <c r="F223" s="12">
        <f t="shared" si="6"/>
        <v>5</v>
      </c>
      <c r="G223" s="5">
        <f t="shared" si="7"/>
        <v>2018</v>
      </c>
    </row>
    <row r="224" spans="1:7" x14ac:dyDescent="0.25">
      <c r="A224" t="s">
        <v>448</v>
      </c>
      <c r="B224" s="1">
        <v>43216</v>
      </c>
      <c r="C224" t="s">
        <v>449</v>
      </c>
      <c r="D224" t="s">
        <v>81</v>
      </c>
      <c r="E224" t="s">
        <v>82</v>
      </c>
      <c r="F224" s="12">
        <f t="shared" si="6"/>
        <v>4</v>
      </c>
      <c r="G224" s="5">
        <f t="shared" si="7"/>
        <v>2018</v>
      </c>
    </row>
    <row r="225" spans="1:7" x14ac:dyDescent="0.25">
      <c r="A225" t="s">
        <v>450</v>
      </c>
      <c r="B225" s="1">
        <v>43172</v>
      </c>
      <c r="C225" t="s">
        <v>227</v>
      </c>
      <c r="D225" t="s">
        <v>16</v>
      </c>
      <c r="E225" t="s">
        <v>17</v>
      </c>
      <c r="F225" s="12">
        <f t="shared" si="6"/>
        <v>3</v>
      </c>
      <c r="G225" s="5">
        <f t="shared" si="7"/>
        <v>2018</v>
      </c>
    </row>
    <row r="226" spans="1:7" x14ac:dyDescent="0.25">
      <c r="A226" t="s">
        <v>451</v>
      </c>
      <c r="B226" s="1">
        <v>43162</v>
      </c>
      <c r="C226" t="s">
        <v>449</v>
      </c>
      <c r="D226" t="s">
        <v>81</v>
      </c>
      <c r="E226" t="s">
        <v>82</v>
      </c>
      <c r="F226" s="12">
        <f t="shared" si="6"/>
        <v>3</v>
      </c>
      <c r="G226" s="5">
        <f t="shared" si="7"/>
        <v>2018</v>
      </c>
    </row>
    <row r="227" spans="1:7" x14ac:dyDescent="0.25">
      <c r="A227" t="s">
        <v>452</v>
      </c>
      <c r="B227" s="1">
        <v>43345</v>
      </c>
      <c r="C227" t="s">
        <v>453</v>
      </c>
      <c r="D227" t="s">
        <v>20</v>
      </c>
      <c r="E227" t="s">
        <v>21</v>
      </c>
      <c r="F227" s="12">
        <f t="shared" si="6"/>
        <v>9</v>
      </c>
      <c r="G227" s="5">
        <f t="shared" si="7"/>
        <v>2018</v>
      </c>
    </row>
    <row r="228" spans="1:7" x14ac:dyDescent="0.25">
      <c r="A228" t="s">
        <v>454</v>
      </c>
      <c r="B228" s="1">
        <v>43320</v>
      </c>
      <c r="C228" t="s">
        <v>455</v>
      </c>
      <c r="D228" t="s">
        <v>32</v>
      </c>
      <c r="E228" t="s">
        <v>33</v>
      </c>
      <c r="F228" s="12">
        <f t="shared" si="6"/>
        <v>8</v>
      </c>
      <c r="G228" s="5">
        <f t="shared" si="7"/>
        <v>2018</v>
      </c>
    </row>
    <row r="229" spans="1:7" x14ac:dyDescent="0.25">
      <c r="A229" t="s">
        <v>456</v>
      </c>
      <c r="B229" s="1">
        <v>43208</v>
      </c>
      <c r="C229" t="s">
        <v>165</v>
      </c>
      <c r="D229" t="s">
        <v>32</v>
      </c>
      <c r="E229" t="s">
        <v>33</v>
      </c>
      <c r="F229" s="12">
        <f t="shared" si="6"/>
        <v>4</v>
      </c>
      <c r="G229" s="5">
        <f t="shared" si="7"/>
        <v>2018</v>
      </c>
    </row>
    <row r="230" spans="1:7" x14ac:dyDescent="0.25">
      <c r="A230" t="s">
        <v>457</v>
      </c>
      <c r="B230" s="1">
        <v>43118</v>
      </c>
      <c r="C230" t="s">
        <v>458</v>
      </c>
      <c r="D230" t="s">
        <v>140</v>
      </c>
      <c r="E230" t="s">
        <v>141</v>
      </c>
      <c r="F230" s="12">
        <f t="shared" si="6"/>
        <v>1</v>
      </c>
      <c r="G230" s="5">
        <f t="shared" si="7"/>
        <v>2018</v>
      </c>
    </row>
    <row r="231" spans="1:7" x14ac:dyDescent="0.25">
      <c r="A231" t="s">
        <v>459</v>
      </c>
      <c r="B231" s="1">
        <v>43345</v>
      </c>
      <c r="C231" t="s">
        <v>420</v>
      </c>
      <c r="D231" t="s">
        <v>16</v>
      </c>
      <c r="E231" t="s">
        <v>17</v>
      </c>
      <c r="F231" s="12">
        <f t="shared" si="6"/>
        <v>9</v>
      </c>
      <c r="G231" s="5">
        <f t="shared" si="7"/>
        <v>2018</v>
      </c>
    </row>
    <row r="232" spans="1:7" x14ac:dyDescent="0.25">
      <c r="A232" t="s">
        <v>460</v>
      </c>
      <c r="B232" s="1">
        <v>43208</v>
      </c>
      <c r="C232" t="s">
        <v>461</v>
      </c>
      <c r="D232" t="s">
        <v>40</v>
      </c>
      <c r="E232" t="s">
        <v>54</v>
      </c>
      <c r="F232" s="12">
        <f t="shared" si="6"/>
        <v>4</v>
      </c>
      <c r="G232" s="5">
        <f t="shared" si="7"/>
        <v>2018</v>
      </c>
    </row>
    <row r="233" spans="1:7" x14ac:dyDescent="0.25">
      <c r="A233" t="s">
        <v>462</v>
      </c>
      <c r="B233" s="1">
        <v>43262</v>
      </c>
      <c r="C233" t="s">
        <v>463</v>
      </c>
      <c r="D233" t="s">
        <v>20</v>
      </c>
      <c r="E233" t="s">
        <v>21</v>
      </c>
      <c r="F233" s="12">
        <f t="shared" si="6"/>
        <v>6</v>
      </c>
      <c r="G233" s="5">
        <f t="shared" si="7"/>
        <v>2018</v>
      </c>
    </row>
    <row r="234" spans="1:7" x14ac:dyDescent="0.25">
      <c r="A234" t="s">
        <v>464</v>
      </c>
      <c r="B234" s="1">
        <v>43398</v>
      </c>
      <c r="C234" t="s">
        <v>465</v>
      </c>
      <c r="D234" t="s">
        <v>97</v>
      </c>
      <c r="E234" t="s">
        <v>69</v>
      </c>
      <c r="F234" s="12">
        <f t="shared" si="6"/>
        <v>10</v>
      </c>
      <c r="G234" s="5">
        <f t="shared" si="7"/>
        <v>2018</v>
      </c>
    </row>
    <row r="235" spans="1:7" x14ac:dyDescent="0.25">
      <c r="A235" t="s">
        <v>466</v>
      </c>
      <c r="B235" s="1">
        <v>43154</v>
      </c>
      <c r="C235" t="s">
        <v>43</v>
      </c>
      <c r="D235" t="s">
        <v>16</v>
      </c>
      <c r="E235" t="s">
        <v>17</v>
      </c>
      <c r="F235" s="12">
        <f t="shared" si="6"/>
        <v>2</v>
      </c>
      <c r="G235" s="5">
        <f t="shared" si="7"/>
        <v>2018</v>
      </c>
    </row>
    <row r="236" spans="1:7" x14ac:dyDescent="0.25">
      <c r="A236" t="s">
        <v>467</v>
      </c>
      <c r="B236" s="1">
        <v>43290</v>
      </c>
      <c r="C236" t="s">
        <v>468</v>
      </c>
      <c r="D236" t="s">
        <v>104</v>
      </c>
      <c r="E236" t="s">
        <v>105</v>
      </c>
      <c r="F236" s="12">
        <f t="shared" si="6"/>
        <v>7</v>
      </c>
      <c r="G236" s="5">
        <f t="shared" si="7"/>
        <v>2018</v>
      </c>
    </row>
    <row r="237" spans="1:7" x14ac:dyDescent="0.25">
      <c r="A237" t="s">
        <v>469</v>
      </c>
      <c r="B237" s="1">
        <v>43132</v>
      </c>
      <c r="C237" t="s">
        <v>212</v>
      </c>
      <c r="D237" t="s">
        <v>11</v>
      </c>
      <c r="E237" t="s">
        <v>11</v>
      </c>
      <c r="F237" s="12">
        <f t="shared" si="6"/>
        <v>2</v>
      </c>
      <c r="G237" s="5">
        <f t="shared" si="7"/>
        <v>2018</v>
      </c>
    </row>
    <row r="238" spans="1:7" x14ac:dyDescent="0.25">
      <c r="A238" t="s">
        <v>470</v>
      </c>
      <c r="B238" s="1">
        <v>43408</v>
      </c>
      <c r="C238" t="s">
        <v>471</v>
      </c>
      <c r="D238" t="s">
        <v>304</v>
      </c>
      <c r="E238" t="s">
        <v>305</v>
      </c>
      <c r="F238" s="12">
        <f t="shared" si="6"/>
        <v>11</v>
      </c>
      <c r="G238" s="5">
        <f t="shared" si="7"/>
        <v>2018</v>
      </c>
    </row>
    <row r="239" spans="1:7" x14ac:dyDescent="0.25">
      <c r="A239" t="s">
        <v>472</v>
      </c>
      <c r="B239" s="1">
        <v>43410</v>
      </c>
      <c r="C239" t="s">
        <v>473</v>
      </c>
      <c r="D239" t="s">
        <v>81</v>
      </c>
      <c r="E239" t="s">
        <v>82</v>
      </c>
      <c r="F239" s="12">
        <f t="shared" si="6"/>
        <v>11</v>
      </c>
      <c r="G239" s="5">
        <f t="shared" si="7"/>
        <v>2018</v>
      </c>
    </row>
    <row r="240" spans="1:7" x14ac:dyDescent="0.25">
      <c r="A240" t="s">
        <v>474</v>
      </c>
      <c r="B240" s="1">
        <v>43358</v>
      </c>
      <c r="C240" t="s">
        <v>475</v>
      </c>
      <c r="D240" t="s">
        <v>16</v>
      </c>
      <c r="E240" t="s">
        <v>17</v>
      </c>
      <c r="F240" s="12">
        <f t="shared" si="6"/>
        <v>9</v>
      </c>
      <c r="G240" s="5">
        <f t="shared" si="7"/>
        <v>2018</v>
      </c>
    </row>
    <row r="241" spans="1:7" x14ac:dyDescent="0.25">
      <c r="A241" t="s">
        <v>476</v>
      </c>
      <c r="B241" s="1">
        <v>43210</v>
      </c>
      <c r="C241" t="s">
        <v>477</v>
      </c>
      <c r="D241" t="s">
        <v>20</v>
      </c>
      <c r="E241" t="s">
        <v>72</v>
      </c>
      <c r="F241" s="12">
        <f t="shared" si="6"/>
        <v>4</v>
      </c>
      <c r="G241" s="5">
        <f t="shared" si="7"/>
        <v>2018</v>
      </c>
    </row>
    <row r="242" spans="1:7" x14ac:dyDescent="0.25">
      <c r="A242" t="s">
        <v>478</v>
      </c>
      <c r="B242" s="1">
        <v>43135</v>
      </c>
      <c r="C242" t="s">
        <v>479</v>
      </c>
      <c r="D242" t="s">
        <v>11</v>
      </c>
      <c r="E242" t="s">
        <v>11</v>
      </c>
      <c r="F242" s="12">
        <f t="shared" si="6"/>
        <v>2</v>
      </c>
      <c r="G242" s="5">
        <f t="shared" si="7"/>
        <v>2018</v>
      </c>
    </row>
    <row r="243" spans="1:7" x14ac:dyDescent="0.25">
      <c r="A243" t="s">
        <v>480</v>
      </c>
      <c r="B243" s="1">
        <v>43254</v>
      </c>
      <c r="C243" t="s">
        <v>481</v>
      </c>
      <c r="D243" t="s">
        <v>104</v>
      </c>
      <c r="E243" t="s">
        <v>105</v>
      </c>
      <c r="F243" s="12">
        <f t="shared" si="6"/>
        <v>6</v>
      </c>
      <c r="G243" s="5">
        <f t="shared" si="7"/>
        <v>2018</v>
      </c>
    </row>
    <row r="244" spans="1:7" x14ac:dyDescent="0.25">
      <c r="A244" t="s">
        <v>482</v>
      </c>
      <c r="B244" s="1">
        <v>43303</v>
      </c>
      <c r="C244" t="s">
        <v>483</v>
      </c>
      <c r="D244" t="s">
        <v>20</v>
      </c>
      <c r="E244" t="s">
        <v>21</v>
      </c>
      <c r="F244" s="12">
        <f t="shared" si="6"/>
        <v>7</v>
      </c>
      <c r="G244" s="5">
        <f t="shared" si="7"/>
        <v>2018</v>
      </c>
    </row>
    <row r="245" spans="1:7" x14ac:dyDescent="0.25">
      <c r="A245" t="s">
        <v>484</v>
      </c>
      <c r="B245" s="1">
        <v>43145</v>
      </c>
      <c r="C245" t="s">
        <v>129</v>
      </c>
      <c r="D245" t="s">
        <v>130</v>
      </c>
      <c r="E245" t="s">
        <v>131</v>
      </c>
      <c r="F245" s="12">
        <f t="shared" si="6"/>
        <v>2</v>
      </c>
      <c r="G245" s="5">
        <f t="shared" si="7"/>
        <v>2018</v>
      </c>
    </row>
    <row r="246" spans="1:7" x14ac:dyDescent="0.25">
      <c r="A246" t="s">
        <v>485</v>
      </c>
      <c r="B246" s="1">
        <v>43336</v>
      </c>
      <c r="C246" t="s">
        <v>65</v>
      </c>
      <c r="D246" t="s">
        <v>193</v>
      </c>
      <c r="E246" t="s">
        <v>193</v>
      </c>
      <c r="F246" s="12">
        <f t="shared" si="6"/>
        <v>8</v>
      </c>
      <c r="G246" s="5">
        <f t="shared" si="7"/>
        <v>2018</v>
      </c>
    </row>
    <row r="247" spans="1:7" x14ac:dyDescent="0.25">
      <c r="A247" t="s">
        <v>486</v>
      </c>
      <c r="B247" s="1">
        <v>43378</v>
      </c>
      <c r="C247" t="s">
        <v>487</v>
      </c>
      <c r="D247" t="s">
        <v>104</v>
      </c>
      <c r="E247" t="s">
        <v>105</v>
      </c>
      <c r="F247" s="12">
        <f t="shared" si="6"/>
        <v>10</v>
      </c>
      <c r="G247" s="5">
        <f t="shared" si="7"/>
        <v>2018</v>
      </c>
    </row>
    <row r="248" spans="1:7" x14ac:dyDescent="0.25">
      <c r="A248" t="s">
        <v>488</v>
      </c>
      <c r="B248" s="1">
        <v>43330</v>
      </c>
      <c r="C248" t="s">
        <v>489</v>
      </c>
      <c r="D248" t="s">
        <v>57</v>
      </c>
      <c r="E248" t="s">
        <v>58</v>
      </c>
      <c r="F248" s="12">
        <f t="shared" si="6"/>
        <v>8</v>
      </c>
      <c r="G248" s="5">
        <f t="shared" si="7"/>
        <v>2018</v>
      </c>
    </row>
    <row r="249" spans="1:7" x14ac:dyDescent="0.25">
      <c r="A249" t="s">
        <v>490</v>
      </c>
      <c r="B249" s="1">
        <v>43147</v>
      </c>
      <c r="C249" t="s">
        <v>45</v>
      </c>
      <c r="D249" t="s">
        <v>57</v>
      </c>
      <c r="E249" t="s">
        <v>58</v>
      </c>
      <c r="F249" s="12">
        <f t="shared" si="6"/>
        <v>2</v>
      </c>
      <c r="G249" s="5">
        <f t="shared" si="7"/>
        <v>2018</v>
      </c>
    </row>
    <row r="250" spans="1:7" x14ac:dyDescent="0.25">
      <c r="A250" t="s">
        <v>491</v>
      </c>
      <c r="B250" s="1">
        <v>43217</v>
      </c>
      <c r="C250" t="s">
        <v>398</v>
      </c>
      <c r="D250" t="s">
        <v>100</v>
      </c>
      <c r="E250" t="s">
        <v>170</v>
      </c>
      <c r="F250" s="12">
        <f t="shared" si="6"/>
        <v>4</v>
      </c>
      <c r="G250" s="5">
        <f t="shared" si="7"/>
        <v>2018</v>
      </c>
    </row>
    <row r="251" spans="1:7" x14ac:dyDescent="0.25">
      <c r="A251" t="s">
        <v>492</v>
      </c>
      <c r="B251" s="1">
        <v>43365</v>
      </c>
      <c r="C251" t="s">
        <v>489</v>
      </c>
      <c r="D251" t="s">
        <v>7</v>
      </c>
      <c r="E251" t="s">
        <v>120</v>
      </c>
      <c r="F251" s="12">
        <f t="shared" si="6"/>
        <v>9</v>
      </c>
      <c r="G251" s="5">
        <f t="shared" si="7"/>
        <v>2018</v>
      </c>
    </row>
    <row r="252" spans="1:7" x14ac:dyDescent="0.25">
      <c r="A252" t="s">
        <v>493</v>
      </c>
      <c r="B252" s="1">
        <v>43179</v>
      </c>
      <c r="C252" t="s">
        <v>447</v>
      </c>
      <c r="D252" t="s">
        <v>16</v>
      </c>
      <c r="E252" t="s">
        <v>17</v>
      </c>
      <c r="F252" s="12">
        <f t="shared" si="6"/>
        <v>3</v>
      </c>
      <c r="G252" s="5">
        <f t="shared" si="7"/>
        <v>2018</v>
      </c>
    </row>
    <row r="253" spans="1:7" x14ac:dyDescent="0.25">
      <c r="A253" t="s">
        <v>494</v>
      </c>
      <c r="B253" s="1">
        <v>43140</v>
      </c>
      <c r="C253" t="s">
        <v>314</v>
      </c>
      <c r="D253" t="s">
        <v>156</v>
      </c>
      <c r="E253" t="s">
        <v>157</v>
      </c>
      <c r="F253" s="12">
        <f t="shared" si="6"/>
        <v>2</v>
      </c>
      <c r="G253" s="5">
        <f t="shared" si="7"/>
        <v>2018</v>
      </c>
    </row>
    <row r="254" spans="1:7" x14ac:dyDescent="0.25">
      <c r="A254" t="s">
        <v>495</v>
      </c>
      <c r="B254" s="1">
        <v>43185</v>
      </c>
      <c r="C254" t="s">
        <v>394</v>
      </c>
      <c r="D254" t="s">
        <v>61</v>
      </c>
      <c r="E254" t="s">
        <v>62</v>
      </c>
      <c r="F254" s="12">
        <f t="shared" si="6"/>
        <v>3</v>
      </c>
      <c r="G254" s="5">
        <f t="shared" si="7"/>
        <v>2018</v>
      </c>
    </row>
    <row r="255" spans="1:7" x14ac:dyDescent="0.25">
      <c r="A255" t="s">
        <v>496</v>
      </c>
      <c r="B255" s="1">
        <v>43207</v>
      </c>
      <c r="C255" t="s">
        <v>497</v>
      </c>
      <c r="D255" t="s">
        <v>81</v>
      </c>
      <c r="E255" t="s">
        <v>82</v>
      </c>
      <c r="F255" s="12">
        <f t="shared" si="6"/>
        <v>4</v>
      </c>
      <c r="G255" s="5">
        <f t="shared" si="7"/>
        <v>2018</v>
      </c>
    </row>
    <row r="256" spans="1:7" x14ac:dyDescent="0.25">
      <c r="A256" t="s">
        <v>498</v>
      </c>
      <c r="B256" s="1">
        <v>43130</v>
      </c>
      <c r="C256" t="s">
        <v>412</v>
      </c>
      <c r="D256" t="s">
        <v>11</v>
      </c>
      <c r="E256" t="s">
        <v>11</v>
      </c>
      <c r="F256" s="12">
        <f t="shared" si="6"/>
        <v>1</v>
      </c>
      <c r="G256" s="5">
        <f t="shared" si="7"/>
        <v>2018</v>
      </c>
    </row>
    <row r="257" spans="1:7" x14ac:dyDescent="0.25">
      <c r="A257" t="s">
        <v>499</v>
      </c>
      <c r="B257" s="1">
        <v>43343</v>
      </c>
      <c r="C257" t="s">
        <v>500</v>
      </c>
      <c r="D257" t="s">
        <v>140</v>
      </c>
      <c r="E257" t="s">
        <v>141</v>
      </c>
      <c r="F257" s="12">
        <f t="shared" si="6"/>
        <v>8</v>
      </c>
      <c r="G257" s="5">
        <f t="shared" si="7"/>
        <v>2018</v>
      </c>
    </row>
    <row r="258" spans="1:7" x14ac:dyDescent="0.25">
      <c r="A258" t="s">
        <v>501</v>
      </c>
      <c r="B258" s="1">
        <v>43131</v>
      </c>
      <c r="C258" t="s">
        <v>502</v>
      </c>
      <c r="D258" t="s">
        <v>11</v>
      </c>
      <c r="E258" t="s">
        <v>11</v>
      </c>
      <c r="F258" s="12">
        <f t="shared" si="6"/>
        <v>1</v>
      </c>
      <c r="G258" s="5">
        <f t="shared" si="7"/>
        <v>2018</v>
      </c>
    </row>
    <row r="259" spans="1:7" x14ac:dyDescent="0.25">
      <c r="A259" t="s">
        <v>503</v>
      </c>
      <c r="B259" s="1">
        <v>43404</v>
      </c>
      <c r="C259" t="s">
        <v>504</v>
      </c>
      <c r="D259" t="s">
        <v>104</v>
      </c>
      <c r="E259" t="s">
        <v>105</v>
      </c>
      <c r="F259" s="12">
        <f t="shared" ref="F259:F322" si="8">MONTH(B259)</f>
        <v>10</v>
      </c>
      <c r="G259" s="5">
        <f t="shared" ref="G259:G322" si="9">YEAR(B259)</f>
        <v>2018</v>
      </c>
    </row>
    <row r="260" spans="1:7" x14ac:dyDescent="0.25">
      <c r="A260" t="s">
        <v>505</v>
      </c>
      <c r="B260" s="1">
        <v>43239</v>
      </c>
      <c r="C260" t="s">
        <v>115</v>
      </c>
      <c r="D260" t="s">
        <v>20</v>
      </c>
      <c r="E260" t="s">
        <v>21</v>
      </c>
      <c r="F260" s="12">
        <f t="shared" si="8"/>
        <v>5</v>
      </c>
      <c r="G260" s="5">
        <f t="shared" si="9"/>
        <v>2018</v>
      </c>
    </row>
    <row r="261" spans="1:7" x14ac:dyDescent="0.25">
      <c r="A261" t="s">
        <v>506</v>
      </c>
      <c r="B261" s="1">
        <v>43152</v>
      </c>
      <c r="C261" t="s">
        <v>29</v>
      </c>
      <c r="D261" t="s">
        <v>16</v>
      </c>
      <c r="E261" t="s">
        <v>27</v>
      </c>
      <c r="F261" s="12">
        <f t="shared" si="8"/>
        <v>2</v>
      </c>
      <c r="G261" s="5">
        <f t="shared" si="9"/>
        <v>2018</v>
      </c>
    </row>
    <row r="262" spans="1:7" x14ac:dyDescent="0.25">
      <c r="A262" t="s">
        <v>507</v>
      </c>
      <c r="B262" s="1">
        <v>43113</v>
      </c>
      <c r="C262" t="s">
        <v>508</v>
      </c>
      <c r="D262" t="s">
        <v>40</v>
      </c>
      <c r="E262" t="s">
        <v>54</v>
      </c>
      <c r="F262" s="12">
        <f t="shared" si="8"/>
        <v>1</v>
      </c>
      <c r="G262" s="5">
        <f t="shared" si="9"/>
        <v>2018</v>
      </c>
    </row>
    <row r="263" spans="1:7" x14ac:dyDescent="0.25">
      <c r="A263" t="s">
        <v>509</v>
      </c>
      <c r="B263" s="1">
        <v>43439</v>
      </c>
      <c r="C263" t="s">
        <v>388</v>
      </c>
      <c r="D263" t="s">
        <v>16</v>
      </c>
      <c r="E263" t="s">
        <v>17</v>
      </c>
      <c r="F263" s="12">
        <f t="shared" si="8"/>
        <v>12</v>
      </c>
      <c r="G263" s="5">
        <f t="shared" si="9"/>
        <v>2018</v>
      </c>
    </row>
    <row r="264" spans="1:7" x14ac:dyDescent="0.25">
      <c r="A264" t="s">
        <v>510</v>
      </c>
      <c r="B264" s="1">
        <v>43141</v>
      </c>
      <c r="C264" t="s">
        <v>511</v>
      </c>
      <c r="D264" t="s">
        <v>7</v>
      </c>
      <c r="E264" t="s">
        <v>120</v>
      </c>
      <c r="F264" s="12">
        <f t="shared" si="8"/>
        <v>2</v>
      </c>
      <c r="G264" s="5">
        <f t="shared" si="9"/>
        <v>2018</v>
      </c>
    </row>
    <row r="265" spans="1:7" x14ac:dyDescent="0.25">
      <c r="A265" t="s">
        <v>512</v>
      </c>
      <c r="B265" s="1">
        <v>43428</v>
      </c>
      <c r="C265" t="s">
        <v>513</v>
      </c>
      <c r="D265" t="s">
        <v>68</v>
      </c>
      <c r="E265" t="s">
        <v>175</v>
      </c>
      <c r="F265" s="12">
        <f t="shared" si="8"/>
        <v>11</v>
      </c>
      <c r="G265" s="5">
        <f t="shared" si="9"/>
        <v>2018</v>
      </c>
    </row>
    <row r="266" spans="1:7" x14ac:dyDescent="0.25">
      <c r="A266" t="s">
        <v>514</v>
      </c>
      <c r="B266" s="1">
        <v>43453</v>
      </c>
      <c r="C266" t="s">
        <v>515</v>
      </c>
      <c r="D266" t="s">
        <v>68</v>
      </c>
      <c r="E266" t="s">
        <v>175</v>
      </c>
      <c r="F266" s="12">
        <f t="shared" si="8"/>
        <v>12</v>
      </c>
      <c r="G266" s="5">
        <f t="shared" si="9"/>
        <v>2018</v>
      </c>
    </row>
    <row r="267" spans="1:7" x14ac:dyDescent="0.25">
      <c r="A267" t="s">
        <v>516</v>
      </c>
      <c r="B267" s="1">
        <v>43367</v>
      </c>
      <c r="C267" t="s">
        <v>517</v>
      </c>
      <c r="D267" t="s">
        <v>304</v>
      </c>
      <c r="E267" t="s">
        <v>305</v>
      </c>
      <c r="F267" s="12">
        <f t="shared" si="8"/>
        <v>9</v>
      </c>
      <c r="G267" s="5">
        <f t="shared" si="9"/>
        <v>2018</v>
      </c>
    </row>
    <row r="268" spans="1:7" x14ac:dyDescent="0.25">
      <c r="A268" t="s">
        <v>518</v>
      </c>
      <c r="B268" s="1">
        <v>43139</v>
      </c>
      <c r="C268" t="s">
        <v>243</v>
      </c>
      <c r="D268" t="s">
        <v>11</v>
      </c>
      <c r="E268" t="s">
        <v>11</v>
      </c>
      <c r="F268" s="12">
        <f t="shared" si="8"/>
        <v>2</v>
      </c>
      <c r="G268" s="5">
        <f t="shared" si="9"/>
        <v>2018</v>
      </c>
    </row>
    <row r="269" spans="1:7" x14ac:dyDescent="0.25">
      <c r="A269" t="s">
        <v>519</v>
      </c>
      <c r="B269" s="1">
        <v>43221</v>
      </c>
      <c r="C269" t="s">
        <v>520</v>
      </c>
      <c r="D269" t="s">
        <v>20</v>
      </c>
      <c r="E269" t="s">
        <v>21</v>
      </c>
      <c r="F269" s="12">
        <f t="shared" si="8"/>
        <v>5</v>
      </c>
      <c r="G269" s="5">
        <f t="shared" si="9"/>
        <v>2018</v>
      </c>
    </row>
    <row r="270" spans="1:7" x14ac:dyDescent="0.25">
      <c r="A270" t="s">
        <v>521</v>
      </c>
      <c r="B270" s="1">
        <v>43402</v>
      </c>
      <c r="C270" t="s">
        <v>522</v>
      </c>
      <c r="D270" t="s">
        <v>16</v>
      </c>
      <c r="E270" t="s">
        <v>17</v>
      </c>
      <c r="F270" s="12">
        <f t="shared" si="8"/>
        <v>10</v>
      </c>
      <c r="G270" s="5">
        <f t="shared" si="9"/>
        <v>2018</v>
      </c>
    </row>
    <row r="271" spans="1:7" x14ac:dyDescent="0.25">
      <c r="A271" t="s">
        <v>523</v>
      </c>
      <c r="B271" s="1">
        <v>43202</v>
      </c>
      <c r="C271" t="s">
        <v>67</v>
      </c>
      <c r="D271" t="s">
        <v>68</v>
      </c>
      <c r="E271" t="s">
        <v>69</v>
      </c>
      <c r="F271" s="12">
        <f t="shared" si="8"/>
        <v>4</v>
      </c>
      <c r="G271" s="5">
        <f t="shared" si="9"/>
        <v>2018</v>
      </c>
    </row>
    <row r="272" spans="1:7" x14ac:dyDescent="0.25">
      <c r="A272" t="s">
        <v>524</v>
      </c>
      <c r="B272" s="1">
        <v>43383</v>
      </c>
      <c r="C272" t="s">
        <v>525</v>
      </c>
      <c r="D272" t="s">
        <v>20</v>
      </c>
      <c r="E272" t="s">
        <v>21</v>
      </c>
      <c r="F272" s="12">
        <f t="shared" si="8"/>
        <v>10</v>
      </c>
      <c r="G272" s="5">
        <f t="shared" si="9"/>
        <v>2018</v>
      </c>
    </row>
    <row r="273" spans="1:7" x14ac:dyDescent="0.25">
      <c r="A273" t="s">
        <v>526</v>
      </c>
      <c r="B273" s="1">
        <v>43407</v>
      </c>
      <c r="C273" t="s">
        <v>527</v>
      </c>
      <c r="D273" t="s">
        <v>16</v>
      </c>
      <c r="E273" t="s">
        <v>17</v>
      </c>
      <c r="F273" s="12">
        <f t="shared" si="8"/>
        <v>11</v>
      </c>
      <c r="G273" s="5">
        <f t="shared" si="9"/>
        <v>2018</v>
      </c>
    </row>
    <row r="274" spans="1:7" x14ac:dyDescent="0.25">
      <c r="A274" t="s">
        <v>528</v>
      </c>
      <c r="B274" s="1">
        <v>43150</v>
      </c>
      <c r="C274" t="s">
        <v>529</v>
      </c>
      <c r="D274" t="s">
        <v>193</v>
      </c>
      <c r="E274" t="s">
        <v>193</v>
      </c>
      <c r="F274" s="12">
        <f t="shared" si="8"/>
        <v>2</v>
      </c>
      <c r="G274" s="5">
        <f t="shared" si="9"/>
        <v>2018</v>
      </c>
    </row>
    <row r="275" spans="1:7" x14ac:dyDescent="0.25">
      <c r="A275" t="s">
        <v>530</v>
      </c>
      <c r="B275" s="1">
        <v>43349</v>
      </c>
      <c r="C275" t="s">
        <v>225</v>
      </c>
      <c r="D275" t="s">
        <v>75</v>
      </c>
      <c r="E275" t="s">
        <v>76</v>
      </c>
      <c r="F275" s="12">
        <f t="shared" si="8"/>
        <v>9</v>
      </c>
      <c r="G275" s="5">
        <f t="shared" si="9"/>
        <v>2018</v>
      </c>
    </row>
    <row r="276" spans="1:7" x14ac:dyDescent="0.25">
      <c r="A276" t="s">
        <v>531</v>
      </c>
      <c r="B276" s="1">
        <v>43428</v>
      </c>
      <c r="C276" t="s">
        <v>532</v>
      </c>
      <c r="D276" t="s">
        <v>7</v>
      </c>
      <c r="E276" t="s">
        <v>24</v>
      </c>
      <c r="F276" s="12">
        <f t="shared" si="8"/>
        <v>11</v>
      </c>
      <c r="G276" s="5">
        <f t="shared" si="9"/>
        <v>2018</v>
      </c>
    </row>
    <row r="277" spans="1:7" x14ac:dyDescent="0.25">
      <c r="A277" t="s">
        <v>533</v>
      </c>
      <c r="B277" s="1">
        <v>43236</v>
      </c>
      <c r="C277" t="s">
        <v>94</v>
      </c>
      <c r="D277" t="s">
        <v>104</v>
      </c>
      <c r="E277" t="s">
        <v>105</v>
      </c>
      <c r="F277" s="12">
        <f t="shared" si="8"/>
        <v>5</v>
      </c>
      <c r="G277" s="5">
        <f t="shared" si="9"/>
        <v>2018</v>
      </c>
    </row>
    <row r="278" spans="1:7" x14ac:dyDescent="0.25">
      <c r="A278" t="s">
        <v>534</v>
      </c>
      <c r="B278" s="1">
        <v>43456</v>
      </c>
      <c r="C278" t="s">
        <v>535</v>
      </c>
      <c r="D278" t="s">
        <v>20</v>
      </c>
      <c r="E278" t="s">
        <v>21</v>
      </c>
      <c r="F278" s="12">
        <f t="shared" si="8"/>
        <v>12</v>
      </c>
      <c r="G278" s="5">
        <f t="shared" si="9"/>
        <v>2018</v>
      </c>
    </row>
    <row r="279" spans="1:7" x14ac:dyDescent="0.25">
      <c r="A279" t="s">
        <v>536</v>
      </c>
      <c r="B279" s="1">
        <v>43122</v>
      </c>
      <c r="C279" t="s">
        <v>257</v>
      </c>
      <c r="D279" t="s">
        <v>20</v>
      </c>
      <c r="E279" t="s">
        <v>21</v>
      </c>
      <c r="F279" s="12">
        <f t="shared" si="8"/>
        <v>1</v>
      </c>
      <c r="G279" s="5">
        <f t="shared" si="9"/>
        <v>2018</v>
      </c>
    </row>
    <row r="280" spans="1:7" x14ac:dyDescent="0.25">
      <c r="A280" t="s">
        <v>537</v>
      </c>
      <c r="B280" s="1">
        <v>43174</v>
      </c>
      <c r="C280" t="s">
        <v>143</v>
      </c>
      <c r="D280" t="s">
        <v>81</v>
      </c>
      <c r="E280" t="s">
        <v>82</v>
      </c>
      <c r="F280" s="12">
        <f t="shared" si="8"/>
        <v>3</v>
      </c>
      <c r="G280" s="5">
        <f t="shared" si="9"/>
        <v>2018</v>
      </c>
    </row>
    <row r="281" spans="1:7" x14ac:dyDescent="0.25">
      <c r="A281" t="s">
        <v>538</v>
      </c>
      <c r="B281" s="1">
        <v>43421</v>
      </c>
      <c r="C281" t="s">
        <v>198</v>
      </c>
      <c r="D281" t="s">
        <v>304</v>
      </c>
      <c r="E281" t="s">
        <v>305</v>
      </c>
      <c r="F281" s="12">
        <f t="shared" si="8"/>
        <v>11</v>
      </c>
      <c r="G281" s="5">
        <f t="shared" si="9"/>
        <v>2018</v>
      </c>
    </row>
    <row r="282" spans="1:7" x14ac:dyDescent="0.25">
      <c r="A282" t="s">
        <v>539</v>
      </c>
      <c r="B282" s="1">
        <v>43279</v>
      </c>
      <c r="C282" t="s">
        <v>540</v>
      </c>
      <c r="D282" t="s">
        <v>20</v>
      </c>
      <c r="E282" t="s">
        <v>21</v>
      </c>
      <c r="F282" s="12">
        <f t="shared" si="8"/>
        <v>6</v>
      </c>
      <c r="G282" s="5">
        <f t="shared" si="9"/>
        <v>2018</v>
      </c>
    </row>
    <row r="283" spans="1:7" x14ac:dyDescent="0.25">
      <c r="A283" t="s">
        <v>541</v>
      </c>
      <c r="B283" s="1">
        <v>43237</v>
      </c>
      <c r="C283" t="s">
        <v>542</v>
      </c>
      <c r="D283" t="s">
        <v>156</v>
      </c>
      <c r="E283" t="s">
        <v>157</v>
      </c>
      <c r="F283" s="12">
        <f t="shared" si="8"/>
        <v>5</v>
      </c>
      <c r="G283" s="5">
        <f t="shared" si="9"/>
        <v>2018</v>
      </c>
    </row>
    <row r="284" spans="1:7" x14ac:dyDescent="0.25">
      <c r="A284" t="s">
        <v>543</v>
      </c>
      <c r="B284" s="1">
        <v>43324</v>
      </c>
      <c r="C284" t="s">
        <v>544</v>
      </c>
      <c r="D284" t="s">
        <v>100</v>
      </c>
      <c r="E284" t="s">
        <v>170</v>
      </c>
      <c r="F284" s="12">
        <f t="shared" si="8"/>
        <v>8</v>
      </c>
      <c r="G284" s="5">
        <f t="shared" si="9"/>
        <v>2018</v>
      </c>
    </row>
    <row r="285" spans="1:7" x14ac:dyDescent="0.25">
      <c r="A285" t="s">
        <v>545</v>
      </c>
      <c r="B285" s="1">
        <v>43342</v>
      </c>
      <c r="C285" t="s">
        <v>117</v>
      </c>
      <c r="D285" t="s">
        <v>100</v>
      </c>
      <c r="E285" t="s">
        <v>170</v>
      </c>
      <c r="F285" s="12">
        <f t="shared" si="8"/>
        <v>8</v>
      </c>
      <c r="G285" s="5">
        <f t="shared" si="9"/>
        <v>2018</v>
      </c>
    </row>
    <row r="286" spans="1:7" x14ac:dyDescent="0.25">
      <c r="A286" t="s">
        <v>546</v>
      </c>
      <c r="B286" s="1">
        <v>43419</v>
      </c>
      <c r="C286" t="s">
        <v>547</v>
      </c>
      <c r="D286" t="s">
        <v>7</v>
      </c>
      <c r="E286" t="s">
        <v>120</v>
      </c>
      <c r="F286" s="12">
        <f t="shared" si="8"/>
        <v>11</v>
      </c>
      <c r="G286" s="5">
        <f t="shared" si="9"/>
        <v>2018</v>
      </c>
    </row>
    <row r="287" spans="1:7" x14ac:dyDescent="0.25">
      <c r="A287" t="s">
        <v>548</v>
      </c>
      <c r="B287" s="1">
        <v>43170</v>
      </c>
      <c r="C287" t="s">
        <v>549</v>
      </c>
      <c r="D287" t="s">
        <v>68</v>
      </c>
      <c r="E287" t="s">
        <v>69</v>
      </c>
      <c r="F287" s="12">
        <f t="shared" si="8"/>
        <v>3</v>
      </c>
      <c r="G287" s="5">
        <f t="shared" si="9"/>
        <v>2018</v>
      </c>
    </row>
    <row r="288" spans="1:7" x14ac:dyDescent="0.25">
      <c r="A288" t="s">
        <v>550</v>
      </c>
      <c r="B288" s="1">
        <v>43381</v>
      </c>
      <c r="C288" t="s">
        <v>551</v>
      </c>
      <c r="D288" t="s">
        <v>57</v>
      </c>
      <c r="E288" t="s">
        <v>58</v>
      </c>
      <c r="F288" s="12">
        <f t="shared" si="8"/>
        <v>10</v>
      </c>
      <c r="G288" s="5">
        <f t="shared" si="9"/>
        <v>2018</v>
      </c>
    </row>
    <row r="289" spans="1:7" x14ac:dyDescent="0.25">
      <c r="A289" t="s">
        <v>552</v>
      </c>
      <c r="B289" s="1">
        <v>43443</v>
      </c>
      <c r="C289" t="s">
        <v>348</v>
      </c>
      <c r="D289" t="s">
        <v>68</v>
      </c>
      <c r="E289" t="s">
        <v>175</v>
      </c>
      <c r="F289" s="12">
        <f t="shared" si="8"/>
        <v>12</v>
      </c>
      <c r="G289" s="5">
        <f t="shared" si="9"/>
        <v>2018</v>
      </c>
    </row>
    <row r="290" spans="1:7" x14ac:dyDescent="0.25">
      <c r="A290" t="s">
        <v>553</v>
      </c>
      <c r="B290" s="1">
        <v>43184</v>
      </c>
      <c r="C290" t="s">
        <v>554</v>
      </c>
      <c r="D290" t="s">
        <v>75</v>
      </c>
      <c r="E290" t="s">
        <v>76</v>
      </c>
      <c r="F290" s="12">
        <f t="shared" si="8"/>
        <v>3</v>
      </c>
      <c r="G290" s="5">
        <f t="shared" si="9"/>
        <v>2018</v>
      </c>
    </row>
    <row r="291" spans="1:7" x14ac:dyDescent="0.25">
      <c r="A291" t="s">
        <v>555</v>
      </c>
      <c r="B291" s="1">
        <v>43228</v>
      </c>
      <c r="C291" t="s">
        <v>556</v>
      </c>
      <c r="D291" t="s">
        <v>193</v>
      </c>
      <c r="E291" t="s">
        <v>193</v>
      </c>
      <c r="F291" s="12">
        <f t="shared" si="8"/>
        <v>5</v>
      </c>
      <c r="G291" s="5">
        <f t="shared" si="9"/>
        <v>2018</v>
      </c>
    </row>
    <row r="292" spans="1:7" x14ac:dyDescent="0.25">
      <c r="A292" t="s">
        <v>557</v>
      </c>
      <c r="B292" s="1">
        <v>43140</v>
      </c>
      <c r="C292" t="s">
        <v>558</v>
      </c>
      <c r="D292" t="s">
        <v>130</v>
      </c>
      <c r="E292" t="s">
        <v>131</v>
      </c>
      <c r="F292" s="12">
        <f t="shared" si="8"/>
        <v>2</v>
      </c>
      <c r="G292" s="5">
        <f t="shared" si="9"/>
        <v>2018</v>
      </c>
    </row>
    <row r="293" spans="1:7" x14ac:dyDescent="0.25">
      <c r="A293" t="s">
        <v>559</v>
      </c>
      <c r="B293" s="1">
        <v>43374</v>
      </c>
      <c r="C293" t="s">
        <v>560</v>
      </c>
      <c r="D293" t="s">
        <v>40</v>
      </c>
      <c r="E293" t="s">
        <v>54</v>
      </c>
      <c r="F293" s="12">
        <f t="shared" si="8"/>
        <v>10</v>
      </c>
      <c r="G293" s="5">
        <f t="shared" si="9"/>
        <v>2018</v>
      </c>
    </row>
    <row r="294" spans="1:7" x14ac:dyDescent="0.25">
      <c r="A294" t="s">
        <v>561</v>
      </c>
      <c r="B294" s="1">
        <v>43465</v>
      </c>
      <c r="C294" t="s">
        <v>225</v>
      </c>
      <c r="D294" t="s">
        <v>7</v>
      </c>
      <c r="E294" t="s">
        <v>120</v>
      </c>
      <c r="F294" s="12">
        <f t="shared" si="8"/>
        <v>12</v>
      </c>
      <c r="G294" s="5">
        <f t="shared" si="9"/>
        <v>2018</v>
      </c>
    </row>
    <row r="295" spans="1:7" x14ac:dyDescent="0.25">
      <c r="A295" t="s">
        <v>562</v>
      </c>
      <c r="B295" s="1">
        <v>43131</v>
      </c>
      <c r="C295" t="s">
        <v>563</v>
      </c>
      <c r="D295" t="s">
        <v>20</v>
      </c>
      <c r="E295" t="s">
        <v>21</v>
      </c>
      <c r="F295" s="12">
        <f t="shared" si="8"/>
        <v>1</v>
      </c>
      <c r="G295" s="5">
        <f t="shared" si="9"/>
        <v>2018</v>
      </c>
    </row>
    <row r="296" spans="1:7" x14ac:dyDescent="0.25">
      <c r="A296" t="s">
        <v>564</v>
      </c>
      <c r="B296" s="1">
        <v>43134</v>
      </c>
      <c r="C296" t="s">
        <v>565</v>
      </c>
      <c r="D296" t="s">
        <v>11</v>
      </c>
      <c r="E296" t="s">
        <v>11</v>
      </c>
      <c r="F296" s="12">
        <f t="shared" si="8"/>
        <v>2</v>
      </c>
      <c r="G296" s="5">
        <f t="shared" si="9"/>
        <v>2018</v>
      </c>
    </row>
    <row r="297" spans="1:7" x14ac:dyDescent="0.25">
      <c r="A297" t="s">
        <v>566</v>
      </c>
      <c r="B297" s="1">
        <v>43210</v>
      </c>
      <c r="C297" t="s">
        <v>29</v>
      </c>
      <c r="D297" t="s">
        <v>16</v>
      </c>
      <c r="E297" t="s">
        <v>27</v>
      </c>
      <c r="F297" s="12">
        <f t="shared" si="8"/>
        <v>4</v>
      </c>
      <c r="G297" s="5">
        <f t="shared" si="9"/>
        <v>2018</v>
      </c>
    </row>
    <row r="298" spans="1:7" x14ac:dyDescent="0.25">
      <c r="A298" t="s">
        <v>567</v>
      </c>
      <c r="B298" s="1">
        <v>43288</v>
      </c>
      <c r="C298" t="s">
        <v>568</v>
      </c>
      <c r="D298" t="s">
        <v>100</v>
      </c>
      <c r="E298" t="s">
        <v>170</v>
      </c>
      <c r="F298" s="12">
        <f t="shared" si="8"/>
        <v>7</v>
      </c>
      <c r="G298" s="5">
        <f t="shared" si="9"/>
        <v>2018</v>
      </c>
    </row>
    <row r="299" spans="1:7" x14ac:dyDescent="0.25">
      <c r="A299" t="s">
        <v>569</v>
      </c>
      <c r="B299" s="1">
        <v>43125</v>
      </c>
      <c r="C299" t="s">
        <v>570</v>
      </c>
      <c r="D299" t="s">
        <v>68</v>
      </c>
      <c r="E299" t="s">
        <v>175</v>
      </c>
      <c r="F299" s="12">
        <f t="shared" si="8"/>
        <v>1</v>
      </c>
      <c r="G299" s="5">
        <f t="shared" si="9"/>
        <v>2018</v>
      </c>
    </row>
    <row r="300" spans="1:7" x14ac:dyDescent="0.25">
      <c r="A300" t="s">
        <v>571</v>
      </c>
      <c r="B300" s="1">
        <v>43175</v>
      </c>
      <c r="C300" t="s">
        <v>572</v>
      </c>
      <c r="D300" t="s">
        <v>100</v>
      </c>
      <c r="E300" t="s">
        <v>170</v>
      </c>
      <c r="F300" s="12">
        <f t="shared" si="8"/>
        <v>3</v>
      </c>
      <c r="G300" s="5">
        <f t="shared" si="9"/>
        <v>2018</v>
      </c>
    </row>
    <row r="301" spans="1:7" x14ac:dyDescent="0.25">
      <c r="A301" t="s">
        <v>573</v>
      </c>
      <c r="B301" s="1">
        <v>43297</v>
      </c>
      <c r="C301" t="s">
        <v>574</v>
      </c>
      <c r="D301" t="s">
        <v>97</v>
      </c>
      <c r="E301" t="s">
        <v>69</v>
      </c>
      <c r="F301" s="12">
        <f t="shared" si="8"/>
        <v>7</v>
      </c>
      <c r="G301" s="5">
        <f t="shared" si="9"/>
        <v>2018</v>
      </c>
    </row>
    <row r="302" spans="1:7" x14ac:dyDescent="0.25">
      <c r="A302" t="s">
        <v>575</v>
      </c>
      <c r="B302" s="1">
        <v>43419</v>
      </c>
      <c r="C302" t="s">
        <v>576</v>
      </c>
      <c r="D302" t="s">
        <v>75</v>
      </c>
      <c r="E302" t="s">
        <v>76</v>
      </c>
      <c r="F302" s="12">
        <f t="shared" si="8"/>
        <v>11</v>
      </c>
      <c r="G302" s="5">
        <f t="shared" si="9"/>
        <v>2018</v>
      </c>
    </row>
    <row r="303" spans="1:7" x14ac:dyDescent="0.25">
      <c r="A303" t="s">
        <v>577</v>
      </c>
      <c r="B303" s="1">
        <v>43134</v>
      </c>
      <c r="C303" t="s">
        <v>578</v>
      </c>
      <c r="D303" t="s">
        <v>20</v>
      </c>
      <c r="E303" t="s">
        <v>21</v>
      </c>
      <c r="F303" s="12">
        <f t="shared" si="8"/>
        <v>2</v>
      </c>
      <c r="G303" s="5">
        <f t="shared" si="9"/>
        <v>2018</v>
      </c>
    </row>
    <row r="304" spans="1:7" x14ac:dyDescent="0.25">
      <c r="A304" t="s">
        <v>579</v>
      </c>
      <c r="B304" s="1">
        <v>43313</v>
      </c>
      <c r="C304" t="s">
        <v>314</v>
      </c>
      <c r="D304" t="s">
        <v>20</v>
      </c>
      <c r="E304" t="s">
        <v>21</v>
      </c>
      <c r="F304" s="12">
        <f t="shared" si="8"/>
        <v>8</v>
      </c>
      <c r="G304" s="5">
        <f t="shared" si="9"/>
        <v>2018</v>
      </c>
    </row>
    <row r="305" spans="1:7" x14ac:dyDescent="0.25">
      <c r="A305" t="s">
        <v>580</v>
      </c>
      <c r="B305" s="1">
        <v>43160</v>
      </c>
      <c r="C305" t="s">
        <v>303</v>
      </c>
      <c r="D305" t="s">
        <v>304</v>
      </c>
      <c r="E305" t="s">
        <v>305</v>
      </c>
      <c r="F305" s="12">
        <f t="shared" si="8"/>
        <v>3</v>
      </c>
      <c r="G305" s="5">
        <f t="shared" si="9"/>
        <v>2018</v>
      </c>
    </row>
    <row r="306" spans="1:7" x14ac:dyDescent="0.25">
      <c r="A306" t="s">
        <v>581</v>
      </c>
      <c r="B306" s="1">
        <v>43127</v>
      </c>
      <c r="C306" t="s">
        <v>475</v>
      </c>
      <c r="D306" t="s">
        <v>40</v>
      </c>
      <c r="E306" t="s">
        <v>41</v>
      </c>
      <c r="F306" s="12">
        <f t="shared" si="8"/>
        <v>1</v>
      </c>
      <c r="G306" s="5">
        <f t="shared" si="9"/>
        <v>2018</v>
      </c>
    </row>
    <row r="307" spans="1:7" x14ac:dyDescent="0.25">
      <c r="A307" t="s">
        <v>582</v>
      </c>
      <c r="B307" s="1">
        <v>43446</v>
      </c>
      <c r="C307" t="s">
        <v>583</v>
      </c>
      <c r="D307" t="s">
        <v>11</v>
      </c>
      <c r="E307" t="s">
        <v>11</v>
      </c>
      <c r="F307" s="12">
        <f t="shared" si="8"/>
        <v>12</v>
      </c>
      <c r="G307" s="5">
        <f t="shared" si="9"/>
        <v>2018</v>
      </c>
    </row>
    <row r="308" spans="1:7" x14ac:dyDescent="0.25">
      <c r="A308" t="s">
        <v>584</v>
      </c>
      <c r="B308" s="1">
        <v>43107</v>
      </c>
      <c r="C308" t="s">
        <v>585</v>
      </c>
      <c r="D308" t="s">
        <v>81</v>
      </c>
      <c r="E308" t="s">
        <v>82</v>
      </c>
      <c r="F308" s="12">
        <f t="shared" si="8"/>
        <v>1</v>
      </c>
      <c r="G308" s="5">
        <f t="shared" si="9"/>
        <v>2018</v>
      </c>
    </row>
    <row r="309" spans="1:7" x14ac:dyDescent="0.25">
      <c r="A309" t="s">
        <v>586</v>
      </c>
      <c r="B309" s="1">
        <v>43367</v>
      </c>
      <c r="C309" t="s">
        <v>549</v>
      </c>
      <c r="D309" t="s">
        <v>61</v>
      </c>
      <c r="E309" t="s">
        <v>62</v>
      </c>
      <c r="F309" s="12">
        <f t="shared" si="8"/>
        <v>9</v>
      </c>
      <c r="G309" s="5">
        <f t="shared" si="9"/>
        <v>2018</v>
      </c>
    </row>
    <row r="310" spans="1:7" x14ac:dyDescent="0.25">
      <c r="A310" t="s">
        <v>587</v>
      </c>
      <c r="B310" s="1">
        <v>43158</v>
      </c>
      <c r="C310" t="s">
        <v>588</v>
      </c>
      <c r="D310" t="s">
        <v>97</v>
      </c>
      <c r="E310" t="s">
        <v>69</v>
      </c>
      <c r="F310" s="12">
        <f t="shared" si="8"/>
        <v>2</v>
      </c>
      <c r="G310" s="5">
        <f t="shared" si="9"/>
        <v>2018</v>
      </c>
    </row>
    <row r="311" spans="1:7" x14ac:dyDescent="0.25">
      <c r="A311" t="s">
        <v>589</v>
      </c>
      <c r="B311" s="1">
        <v>43269</v>
      </c>
      <c r="C311" t="s">
        <v>590</v>
      </c>
      <c r="D311" t="s">
        <v>140</v>
      </c>
      <c r="E311" t="s">
        <v>141</v>
      </c>
      <c r="F311" s="12">
        <f t="shared" si="8"/>
        <v>6</v>
      </c>
      <c r="G311" s="5">
        <f t="shared" si="9"/>
        <v>2018</v>
      </c>
    </row>
    <row r="312" spans="1:7" x14ac:dyDescent="0.25">
      <c r="A312" t="s">
        <v>591</v>
      </c>
      <c r="B312" s="1">
        <v>43118</v>
      </c>
      <c r="C312" t="s">
        <v>225</v>
      </c>
      <c r="D312" t="s">
        <v>32</v>
      </c>
      <c r="E312" t="s">
        <v>33</v>
      </c>
      <c r="F312" s="12">
        <f t="shared" si="8"/>
        <v>1</v>
      </c>
      <c r="G312" s="5">
        <f t="shared" si="9"/>
        <v>2018</v>
      </c>
    </row>
    <row r="313" spans="1:7" x14ac:dyDescent="0.25">
      <c r="A313" t="s">
        <v>592</v>
      </c>
      <c r="B313" s="1">
        <v>43154</v>
      </c>
      <c r="C313" t="s">
        <v>259</v>
      </c>
      <c r="D313" t="s">
        <v>20</v>
      </c>
      <c r="E313" t="s">
        <v>21</v>
      </c>
      <c r="F313" s="12">
        <f t="shared" si="8"/>
        <v>2</v>
      </c>
      <c r="G313" s="5">
        <f t="shared" si="9"/>
        <v>2018</v>
      </c>
    </row>
    <row r="314" spans="1:7" x14ac:dyDescent="0.25">
      <c r="A314" t="s">
        <v>593</v>
      </c>
      <c r="B314" s="1">
        <v>43459</v>
      </c>
      <c r="C314" t="s">
        <v>594</v>
      </c>
      <c r="D314" t="s">
        <v>68</v>
      </c>
      <c r="E314" t="s">
        <v>175</v>
      </c>
      <c r="F314" s="12">
        <f t="shared" si="8"/>
        <v>12</v>
      </c>
      <c r="G314" s="5">
        <f t="shared" si="9"/>
        <v>2018</v>
      </c>
    </row>
    <row r="315" spans="1:7" x14ac:dyDescent="0.25">
      <c r="A315" t="s">
        <v>595</v>
      </c>
      <c r="B315" s="1">
        <v>43110</v>
      </c>
      <c r="C315" t="s">
        <v>596</v>
      </c>
      <c r="D315" t="s">
        <v>16</v>
      </c>
      <c r="E315" t="s">
        <v>27</v>
      </c>
      <c r="F315" s="12">
        <f t="shared" si="8"/>
        <v>1</v>
      </c>
      <c r="G315" s="5">
        <f t="shared" si="9"/>
        <v>2018</v>
      </c>
    </row>
    <row r="316" spans="1:7" x14ac:dyDescent="0.25">
      <c r="A316" t="s">
        <v>597</v>
      </c>
      <c r="B316" s="1">
        <v>43300</v>
      </c>
      <c r="C316" t="s">
        <v>113</v>
      </c>
      <c r="D316" t="s">
        <v>20</v>
      </c>
      <c r="E316" t="s">
        <v>21</v>
      </c>
      <c r="F316" s="12">
        <f t="shared" si="8"/>
        <v>7</v>
      </c>
      <c r="G316" s="5">
        <f t="shared" si="9"/>
        <v>2018</v>
      </c>
    </row>
    <row r="317" spans="1:7" x14ac:dyDescent="0.25">
      <c r="A317" t="s">
        <v>598</v>
      </c>
      <c r="B317" s="1">
        <v>43150</v>
      </c>
      <c r="C317" t="s">
        <v>394</v>
      </c>
      <c r="D317" t="s">
        <v>61</v>
      </c>
      <c r="E317" t="s">
        <v>62</v>
      </c>
      <c r="F317" s="12">
        <f t="shared" si="8"/>
        <v>2</v>
      </c>
      <c r="G317" s="5">
        <f t="shared" si="9"/>
        <v>2018</v>
      </c>
    </row>
    <row r="318" spans="1:7" x14ac:dyDescent="0.25">
      <c r="A318" t="s">
        <v>599</v>
      </c>
      <c r="B318" s="1">
        <v>43269</v>
      </c>
      <c r="C318" t="s">
        <v>600</v>
      </c>
      <c r="D318" t="s">
        <v>100</v>
      </c>
      <c r="E318" t="s">
        <v>170</v>
      </c>
      <c r="F318" s="12">
        <f t="shared" si="8"/>
        <v>6</v>
      </c>
      <c r="G318" s="5">
        <f t="shared" si="9"/>
        <v>2018</v>
      </c>
    </row>
    <row r="319" spans="1:7" x14ac:dyDescent="0.25">
      <c r="A319" t="s">
        <v>601</v>
      </c>
      <c r="B319" s="1">
        <v>43241</v>
      </c>
      <c r="C319" t="s">
        <v>602</v>
      </c>
      <c r="D319" t="s">
        <v>75</v>
      </c>
      <c r="E319" t="s">
        <v>76</v>
      </c>
      <c r="F319" s="12">
        <f t="shared" si="8"/>
        <v>5</v>
      </c>
      <c r="G319" s="5">
        <f t="shared" si="9"/>
        <v>2018</v>
      </c>
    </row>
    <row r="320" spans="1:7" x14ac:dyDescent="0.25">
      <c r="A320" t="s">
        <v>603</v>
      </c>
      <c r="B320" s="1">
        <v>43139</v>
      </c>
      <c r="C320" t="s">
        <v>604</v>
      </c>
      <c r="D320" t="s">
        <v>100</v>
      </c>
      <c r="E320" t="s">
        <v>170</v>
      </c>
      <c r="F320" s="12">
        <f t="shared" si="8"/>
        <v>2</v>
      </c>
      <c r="G320" s="5">
        <f t="shared" si="9"/>
        <v>2018</v>
      </c>
    </row>
    <row r="321" spans="1:7" x14ac:dyDescent="0.25">
      <c r="A321" t="s">
        <v>605</v>
      </c>
      <c r="B321" s="1">
        <v>43201</v>
      </c>
      <c r="C321" t="s">
        <v>554</v>
      </c>
      <c r="D321" t="s">
        <v>75</v>
      </c>
      <c r="E321" t="s">
        <v>76</v>
      </c>
      <c r="F321" s="12">
        <f t="shared" si="8"/>
        <v>4</v>
      </c>
      <c r="G321" s="5">
        <f t="shared" si="9"/>
        <v>2018</v>
      </c>
    </row>
    <row r="322" spans="1:7" x14ac:dyDescent="0.25">
      <c r="A322" t="s">
        <v>606</v>
      </c>
      <c r="B322" s="1">
        <v>43444</v>
      </c>
      <c r="C322" t="s">
        <v>607</v>
      </c>
      <c r="D322" t="s">
        <v>40</v>
      </c>
      <c r="E322" t="s">
        <v>41</v>
      </c>
      <c r="F322" s="12">
        <f t="shared" si="8"/>
        <v>12</v>
      </c>
      <c r="G322" s="5">
        <f t="shared" si="9"/>
        <v>2018</v>
      </c>
    </row>
    <row r="323" spans="1:7" x14ac:dyDescent="0.25">
      <c r="A323" t="s">
        <v>608</v>
      </c>
      <c r="B323" s="1">
        <v>43212</v>
      </c>
      <c r="C323" t="s">
        <v>268</v>
      </c>
      <c r="D323" t="s">
        <v>140</v>
      </c>
      <c r="E323" t="s">
        <v>141</v>
      </c>
      <c r="F323" s="12">
        <f t="shared" ref="F323:F386" si="10">MONTH(B323)</f>
        <v>4</v>
      </c>
      <c r="G323" s="5">
        <f t="shared" ref="G323:G386" si="11">YEAR(B323)</f>
        <v>2018</v>
      </c>
    </row>
    <row r="324" spans="1:7" x14ac:dyDescent="0.25">
      <c r="A324" t="s">
        <v>609</v>
      </c>
      <c r="B324" s="1">
        <v>43289</v>
      </c>
      <c r="C324" t="s">
        <v>610</v>
      </c>
      <c r="D324" t="s">
        <v>140</v>
      </c>
      <c r="E324" t="s">
        <v>141</v>
      </c>
      <c r="F324" s="12">
        <f t="shared" si="10"/>
        <v>7</v>
      </c>
      <c r="G324" s="5">
        <f t="shared" si="11"/>
        <v>2018</v>
      </c>
    </row>
    <row r="325" spans="1:7" x14ac:dyDescent="0.25">
      <c r="A325" t="s">
        <v>611</v>
      </c>
      <c r="B325" s="1">
        <v>43186</v>
      </c>
      <c r="C325" t="s">
        <v>165</v>
      </c>
      <c r="D325" t="s">
        <v>32</v>
      </c>
      <c r="E325" t="s">
        <v>33</v>
      </c>
      <c r="F325" s="12">
        <f t="shared" si="10"/>
        <v>3</v>
      </c>
      <c r="G325" s="5">
        <f t="shared" si="11"/>
        <v>2018</v>
      </c>
    </row>
    <row r="326" spans="1:7" x14ac:dyDescent="0.25">
      <c r="A326" t="s">
        <v>612</v>
      </c>
      <c r="B326" s="1">
        <v>43193</v>
      </c>
      <c r="C326" t="s">
        <v>435</v>
      </c>
      <c r="D326" t="s">
        <v>100</v>
      </c>
      <c r="E326" t="s">
        <v>170</v>
      </c>
      <c r="F326" s="12">
        <f t="shared" si="10"/>
        <v>4</v>
      </c>
      <c r="G326" s="5">
        <f t="shared" si="11"/>
        <v>2018</v>
      </c>
    </row>
    <row r="327" spans="1:7" x14ac:dyDescent="0.25">
      <c r="A327" t="s">
        <v>613</v>
      </c>
      <c r="B327" s="1">
        <v>43396</v>
      </c>
      <c r="C327" t="s">
        <v>113</v>
      </c>
      <c r="D327" t="s">
        <v>20</v>
      </c>
      <c r="E327" t="s">
        <v>21</v>
      </c>
      <c r="F327" s="12">
        <f t="shared" si="10"/>
        <v>10</v>
      </c>
      <c r="G327" s="5">
        <f t="shared" si="11"/>
        <v>2018</v>
      </c>
    </row>
    <row r="328" spans="1:7" x14ac:dyDescent="0.25">
      <c r="A328" t="s">
        <v>614</v>
      </c>
      <c r="B328" s="1">
        <v>43402</v>
      </c>
      <c r="C328" t="s">
        <v>615</v>
      </c>
      <c r="D328" t="s">
        <v>40</v>
      </c>
      <c r="E328" t="s">
        <v>54</v>
      </c>
      <c r="F328" s="12">
        <f t="shared" si="10"/>
        <v>10</v>
      </c>
      <c r="G328" s="5">
        <f t="shared" si="11"/>
        <v>2018</v>
      </c>
    </row>
    <row r="329" spans="1:7" x14ac:dyDescent="0.25">
      <c r="A329" t="s">
        <v>616</v>
      </c>
      <c r="B329" s="1">
        <v>43150</v>
      </c>
      <c r="C329" t="s">
        <v>617</v>
      </c>
      <c r="D329" t="s">
        <v>304</v>
      </c>
      <c r="E329" t="s">
        <v>305</v>
      </c>
      <c r="F329" s="12">
        <f t="shared" si="10"/>
        <v>2</v>
      </c>
      <c r="G329" s="5">
        <f t="shared" si="11"/>
        <v>2018</v>
      </c>
    </row>
    <row r="330" spans="1:7" x14ac:dyDescent="0.25">
      <c r="A330" t="s">
        <v>618</v>
      </c>
      <c r="B330" s="1">
        <v>43382</v>
      </c>
      <c r="C330" t="s">
        <v>619</v>
      </c>
      <c r="D330" t="s">
        <v>75</v>
      </c>
      <c r="E330" t="s">
        <v>76</v>
      </c>
      <c r="F330" s="12">
        <f t="shared" si="10"/>
        <v>10</v>
      </c>
      <c r="G330" s="5">
        <f t="shared" si="11"/>
        <v>2018</v>
      </c>
    </row>
    <row r="331" spans="1:7" x14ac:dyDescent="0.25">
      <c r="A331" t="s">
        <v>620</v>
      </c>
      <c r="B331" s="1">
        <v>43445</v>
      </c>
      <c r="C331" t="s">
        <v>621</v>
      </c>
      <c r="D331" t="s">
        <v>11</v>
      </c>
      <c r="E331" t="s">
        <v>11</v>
      </c>
      <c r="F331" s="12">
        <f t="shared" si="10"/>
        <v>12</v>
      </c>
      <c r="G331" s="5">
        <f t="shared" si="11"/>
        <v>2018</v>
      </c>
    </row>
    <row r="332" spans="1:7" x14ac:dyDescent="0.25">
      <c r="A332" t="s">
        <v>622</v>
      </c>
      <c r="B332" s="1">
        <v>43113</v>
      </c>
      <c r="C332" t="s">
        <v>623</v>
      </c>
      <c r="D332" t="s">
        <v>16</v>
      </c>
      <c r="E332" t="s">
        <v>27</v>
      </c>
      <c r="F332" s="12">
        <f t="shared" si="10"/>
        <v>1</v>
      </c>
      <c r="G332" s="5">
        <f t="shared" si="11"/>
        <v>2018</v>
      </c>
    </row>
    <row r="333" spans="1:7" x14ac:dyDescent="0.25">
      <c r="A333" t="s">
        <v>624</v>
      </c>
      <c r="B333" s="1">
        <v>43186</v>
      </c>
      <c r="C333" t="s">
        <v>477</v>
      </c>
      <c r="D333" t="s">
        <v>20</v>
      </c>
      <c r="E333" t="s">
        <v>72</v>
      </c>
      <c r="F333" s="12">
        <f t="shared" si="10"/>
        <v>3</v>
      </c>
      <c r="G333" s="5">
        <f t="shared" si="11"/>
        <v>2018</v>
      </c>
    </row>
    <row r="334" spans="1:7" x14ac:dyDescent="0.25">
      <c r="A334" t="s">
        <v>625</v>
      </c>
      <c r="B334" s="1">
        <v>43113</v>
      </c>
      <c r="C334" t="s">
        <v>626</v>
      </c>
      <c r="D334" t="s">
        <v>16</v>
      </c>
      <c r="E334" t="s">
        <v>17</v>
      </c>
      <c r="F334" s="12">
        <f t="shared" si="10"/>
        <v>1</v>
      </c>
      <c r="G334" s="5">
        <f t="shared" si="11"/>
        <v>2018</v>
      </c>
    </row>
    <row r="335" spans="1:7" x14ac:dyDescent="0.25">
      <c r="A335" t="s">
        <v>627</v>
      </c>
      <c r="B335" s="1">
        <v>43138</v>
      </c>
      <c r="C335" t="s">
        <v>628</v>
      </c>
      <c r="D335" t="s">
        <v>11</v>
      </c>
      <c r="E335" t="s">
        <v>11</v>
      </c>
      <c r="F335" s="12">
        <f t="shared" si="10"/>
        <v>2</v>
      </c>
      <c r="G335" s="5">
        <f t="shared" si="11"/>
        <v>2018</v>
      </c>
    </row>
    <row r="336" spans="1:7" x14ac:dyDescent="0.25">
      <c r="A336" t="s">
        <v>629</v>
      </c>
      <c r="B336" s="1">
        <v>43345</v>
      </c>
      <c r="C336" t="s">
        <v>630</v>
      </c>
      <c r="D336" t="s">
        <v>7</v>
      </c>
      <c r="E336" t="s">
        <v>120</v>
      </c>
      <c r="F336" s="12">
        <f t="shared" si="10"/>
        <v>9</v>
      </c>
      <c r="G336" s="5">
        <f t="shared" si="11"/>
        <v>2018</v>
      </c>
    </row>
    <row r="337" spans="1:7" x14ac:dyDescent="0.25">
      <c r="A337" t="s">
        <v>631</v>
      </c>
      <c r="B337" s="1">
        <v>43235</v>
      </c>
      <c r="C337" t="s">
        <v>632</v>
      </c>
      <c r="D337" t="s">
        <v>140</v>
      </c>
      <c r="E337" t="s">
        <v>141</v>
      </c>
      <c r="F337" s="12">
        <f t="shared" si="10"/>
        <v>5</v>
      </c>
      <c r="G337" s="5">
        <f t="shared" si="11"/>
        <v>2018</v>
      </c>
    </row>
    <row r="338" spans="1:7" x14ac:dyDescent="0.25">
      <c r="A338" t="s">
        <v>633</v>
      </c>
      <c r="B338" s="1">
        <v>43462</v>
      </c>
      <c r="C338" t="s">
        <v>634</v>
      </c>
      <c r="D338" t="s">
        <v>104</v>
      </c>
      <c r="E338" t="s">
        <v>105</v>
      </c>
      <c r="F338" s="12">
        <f t="shared" si="10"/>
        <v>12</v>
      </c>
      <c r="G338" s="5">
        <f t="shared" si="11"/>
        <v>2018</v>
      </c>
    </row>
    <row r="339" spans="1:7" x14ac:dyDescent="0.25">
      <c r="A339" t="s">
        <v>635</v>
      </c>
      <c r="B339" s="1">
        <v>43431</v>
      </c>
      <c r="C339" t="s">
        <v>636</v>
      </c>
      <c r="D339" t="s">
        <v>40</v>
      </c>
      <c r="E339" t="s">
        <v>41</v>
      </c>
      <c r="F339" s="12">
        <f t="shared" si="10"/>
        <v>11</v>
      </c>
      <c r="G339" s="5">
        <f t="shared" si="11"/>
        <v>2018</v>
      </c>
    </row>
    <row r="340" spans="1:7" x14ac:dyDescent="0.25">
      <c r="A340" t="s">
        <v>637</v>
      </c>
      <c r="B340" s="1">
        <v>43112</v>
      </c>
      <c r="C340" t="s">
        <v>638</v>
      </c>
      <c r="D340" t="s">
        <v>32</v>
      </c>
      <c r="E340" t="s">
        <v>33</v>
      </c>
      <c r="F340" s="12">
        <f t="shared" si="10"/>
        <v>1</v>
      </c>
      <c r="G340" s="5">
        <f t="shared" si="11"/>
        <v>2018</v>
      </c>
    </row>
    <row r="341" spans="1:7" x14ac:dyDescent="0.25">
      <c r="A341" t="s">
        <v>639</v>
      </c>
      <c r="B341" s="1">
        <v>43175</v>
      </c>
      <c r="C341" t="s">
        <v>437</v>
      </c>
      <c r="D341" t="s">
        <v>20</v>
      </c>
      <c r="E341" t="s">
        <v>21</v>
      </c>
      <c r="F341" s="12">
        <f t="shared" si="10"/>
        <v>3</v>
      </c>
      <c r="G341" s="5">
        <f t="shared" si="11"/>
        <v>2018</v>
      </c>
    </row>
    <row r="342" spans="1:7" x14ac:dyDescent="0.25">
      <c r="A342" t="s">
        <v>640</v>
      </c>
      <c r="B342" s="1">
        <v>43183</v>
      </c>
      <c r="C342" t="s">
        <v>45</v>
      </c>
      <c r="D342" t="s">
        <v>57</v>
      </c>
      <c r="E342" t="s">
        <v>58</v>
      </c>
      <c r="F342" s="12">
        <f t="shared" si="10"/>
        <v>3</v>
      </c>
      <c r="G342" s="5">
        <f t="shared" si="11"/>
        <v>2018</v>
      </c>
    </row>
    <row r="343" spans="1:7" x14ac:dyDescent="0.25">
      <c r="A343" t="s">
        <v>641</v>
      </c>
      <c r="B343" s="1">
        <v>43301</v>
      </c>
      <c r="C343" t="s">
        <v>642</v>
      </c>
      <c r="D343" t="s">
        <v>81</v>
      </c>
      <c r="E343" t="s">
        <v>82</v>
      </c>
      <c r="F343" s="12">
        <f t="shared" si="10"/>
        <v>7</v>
      </c>
      <c r="G343" s="5">
        <f t="shared" si="11"/>
        <v>2018</v>
      </c>
    </row>
    <row r="344" spans="1:7" x14ac:dyDescent="0.25">
      <c r="A344" t="s">
        <v>643</v>
      </c>
      <c r="B344" s="1">
        <v>43214</v>
      </c>
      <c r="C344" t="s">
        <v>255</v>
      </c>
      <c r="D344" t="s">
        <v>68</v>
      </c>
      <c r="E344" t="s">
        <v>69</v>
      </c>
      <c r="F344" s="12">
        <f t="shared" si="10"/>
        <v>4</v>
      </c>
      <c r="G344" s="5">
        <f t="shared" si="11"/>
        <v>2018</v>
      </c>
    </row>
    <row r="345" spans="1:7" x14ac:dyDescent="0.25">
      <c r="A345" t="s">
        <v>644</v>
      </c>
      <c r="B345" s="1">
        <v>43248</v>
      </c>
      <c r="C345" t="s">
        <v>645</v>
      </c>
      <c r="D345" t="s">
        <v>40</v>
      </c>
      <c r="E345" t="s">
        <v>54</v>
      </c>
      <c r="F345" s="12">
        <f t="shared" si="10"/>
        <v>5</v>
      </c>
      <c r="G345" s="5">
        <f t="shared" si="11"/>
        <v>2018</v>
      </c>
    </row>
    <row r="346" spans="1:7" x14ac:dyDescent="0.25">
      <c r="A346" t="s">
        <v>646</v>
      </c>
      <c r="B346" s="1">
        <v>43268</v>
      </c>
      <c r="C346" t="s">
        <v>647</v>
      </c>
      <c r="D346" t="s">
        <v>20</v>
      </c>
      <c r="E346" t="s">
        <v>21</v>
      </c>
      <c r="F346" s="12">
        <f t="shared" si="10"/>
        <v>6</v>
      </c>
      <c r="G346" s="5">
        <f t="shared" si="11"/>
        <v>2018</v>
      </c>
    </row>
    <row r="347" spans="1:7" x14ac:dyDescent="0.25">
      <c r="A347" t="s">
        <v>648</v>
      </c>
      <c r="B347" s="1">
        <v>43134</v>
      </c>
      <c r="C347" t="s">
        <v>53</v>
      </c>
      <c r="D347" t="s">
        <v>100</v>
      </c>
      <c r="E347" t="s">
        <v>101</v>
      </c>
      <c r="F347" s="12">
        <f t="shared" si="10"/>
        <v>2</v>
      </c>
      <c r="G347" s="5">
        <f t="shared" si="11"/>
        <v>2018</v>
      </c>
    </row>
    <row r="348" spans="1:7" x14ac:dyDescent="0.25">
      <c r="A348" t="s">
        <v>649</v>
      </c>
      <c r="B348" s="1">
        <v>43341</v>
      </c>
      <c r="C348" t="s">
        <v>650</v>
      </c>
      <c r="D348" t="s">
        <v>20</v>
      </c>
      <c r="E348" t="s">
        <v>72</v>
      </c>
      <c r="F348" s="12">
        <f t="shared" si="10"/>
        <v>8</v>
      </c>
      <c r="G348" s="5">
        <f t="shared" si="11"/>
        <v>2018</v>
      </c>
    </row>
    <row r="349" spans="1:7" x14ac:dyDescent="0.25">
      <c r="A349" t="s">
        <v>651</v>
      </c>
      <c r="B349" s="1">
        <v>43438</v>
      </c>
      <c r="C349" t="s">
        <v>201</v>
      </c>
      <c r="D349" t="s">
        <v>100</v>
      </c>
      <c r="E349" t="s">
        <v>101</v>
      </c>
      <c r="F349" s="12">
        <f t="shared" si="10"/>
        <v>12</v>
      </c>
      <c r="G349" s="5">
        <f t="shared" si="11"/>
        <v>2018</v>
      </c>
    </row>
    <row r="350" spans="1:7" x14ac:dyDescent="0.25">
      <c r="A350" t="s">
        <v>652</v>
      </c>
      <c r="B350" s="1">
        <v>43185</v>
      </c>
      <c r="C350" t="s">
        <v>529</v>
      </c>
      <c r="D350" t="s">
        <v>193</v>
      </c>
      <c r="E350" t="s">
        <v>193</v>
      </c>
      <c r="F350" s="12">
        <f t="shared" si="10"/>
        <v>3</v>
      </c>
      <c r="G350" s="5">
        <f t="shared" si="11"/>
        <v>2018</v>
      </c>
    </row>
    <row r="351" spans="1:7" x14ac:dyDescent="0.25">
      <c r="A351" t="s">
        <v>653</v>
      </c>
      <c r="B351" s="1">
        <v>43356</v>
      </c>
      <c r="C351" t="s">
        <v>654</v>
      </c>
      <c r="D351" t="s">
        <v>32</v>
      </c>
      <c r="E351" t="s">
        <v>33</v>
      </c>
      <c r="F351" s="12">
        <f t="shared" si="10"/>
        <v>9</v>
      </c>
      <c r="G351" s="5">
        <f t="shared" si="11"/>
        <v>2018</v>
      </c>
    </row>
    <row r="352" spans="1:7" x14ac:dyDescent="0.25">
      <c r="A352" t="s">
        <v>655</v>
      </c>
      <c r="B352" s="1">
        <v>43260</v>
      </c>
      <c r="C352" t="s">
        <v>656</v>
      </c>
      <c r="D352" t="s">
        <v>16</v>
      </c>
      <c r="E352" t="s">
        <v>17</v>
      </c>
      <c r="F352" s="12">
        <f t="shared" si="10"/>
        <v>6</v>
      </c>
      <c r="G352" s="5">
        <f t="shared" si="11"/>
        <v>2018</v>
      </c>
    </row>
    <row r="353" spans="1:7" x14ac:dyDescent="0.25">
      <c r="A353" t="s">
        <v>657</v>
      </c>
      <c r="B353" s="1">
        <v>43315</v>
      </c>
      <c r="C353" t="s">
        <v>658</v>
      </c>
      <c r="D353" t="s">
        <v>97</v>
      </c>
      <c r="E353" t="s">
        <v>69</v>
      </c>
      <c r="F353" s="12">
        <f t="shared" si="10"/>
        <v>8</v>
      </c>
      <c r="G353" s="5">
        <f t="shared" si="11"/>
        <v>2018</v>
      </c>
    </row>
    <row r="354" spans="1:7" x14ac:dyDescent="0.25">
      <c r="A354" t="s">
        <v>659</v>
      </c>
      <c r="B354" s="1">
        <v>43307</v>
      </c>
      <c r="C354" t="s">
        <v>660</v>
      </c>
      <c r="D354" t="s">
        <v>140</v>
      </c>
      <c r="E354" t="s">
        <v>141</v>
      </c>
      <c r="F354" s="12">
        <f t="shared" si="10"/>
        <v>7</v>
      </c>
      <c r="G354" s="5">
        <f t="shared" si="11"/>
        <v>2018</v>
      </c>
    </row>
    <row r="355" spans="1:7" x14ac:dyDescent="0.25">
      <c r="A355" t="s">
        <v>661</v>
      </c>
      <c r="B355" s="1">
        <v>43224</v>
      </c>
      <c r="C355" t="s">
        <v>549</v>
      </c>
      <c r="D355" t="s">
        <v>68</v>
      </c>
      <c r="E355" t="s">
        <v>69</v>
      </c>
      <c r="F355" s="12">
        <f t="shared" si="10"/>
        <v>5</v>
      </c>
      <c r="G355" s="5">
        <f t="shared" si="11"/>
        <v>2018</v>
      </c>
    </row>
    <row r="356" spans="1:7" x14ac:dyDescent="0.25">
      <c r="A356" t="s">
        <v>662</v>
      </c>
      <c r="B356" s="1">
        <v>43155</v>
      </c>
      <c r="C356" t="s">
        <v>65</v>
      </c>
      <c r="D356" t="s">
        <v>57</v>
      </c>
      <c r="E356" t="s">
        <v>58</v>
      </c>
      <c r="F356" s="12">
        <f t="shared" si="10"/>
        <v>2</v>
      </c>
      <c r="G356" s="5">
        <f t="shared" si="11"/>
        <v>2018</v>
      </c>
    </row>
    <row r="357" spans="1:7" x14ac:dyDescent="0.25">
      <c r="A357" t="s">
        <v>663</v>
      </c>
      <c r="B357" s="1">
        <v>43276</v>
      </c>
      <c r="C357" t="s">
        <v>664</v>
      </c>
      <c r="D357" t="s">
        <v>16</v>
      </c>
      <c r="E357" t="s">
        <v>17</v>
      </c>
      <c r="F357" s="12">
        <f t="shared" si="10"/>
        <v>6</v>
      </c>
      <c r="G357" s="5">
        <f t="shared" si="11"/>
        <v>2018</v>
      </c>
    </row>
    <row r="358" spans="1:7" x14ac:dyDescent="0.25">
      <c r="A358" t="s">
        <v>665</v>
      </c>
      <c r="B358" s="1">
        <v>43145</v>
      </c>
      <c r="C358" t="s">
        <v>363</v>
      </c>
      <c r="D358" t="s">
        <v>140</v>
      </c>
      <c r="E358" t="s">
        <v>141</v>
      </c>
      <c r="F358" s="12">
        <f t="shared" si="10"/>
        <v>2</v>
      </c>
      <c r="G358" s="5">
        <f t="shared" si="11"/>
        <v>2018</v>
      </c>
    </row>
    <row r="359" spans="1:7" x14ac:dyDescent="0.25">
      <c r="A359" t="s">
        <v>666</v>
      </c>
      <c r="B359" s="1">
        <v>43280</v>
      </c>
      <c r="C359" t="s">
        <v>667</v>
      </c>
      <c r="D359" t="s">
        <v>16</v>
      </c>
      <c r="E359" t="s">
        <v>17</v>
      </c>
      <c r="F359" s="12">
        <f t="shared" si="10"/>
        <v>6</v>
      </c>
      <c r="G359" s="5">
        <f t="shared" si="11"/>
        <v>2018</v>
      </c>
    </row>
    <row r="360" spans="1:7" x14ac:dyDescent="0.25">
      <c r="A360" t="s">
        <v>668</v>
      </c>
      <c r="B360" s="1">
        <v>43383</v>
      </c>
      <c r="C360" t="s">
        <v>669</v>
      </c>
      <c r="D360" t="s">
        <v>16</v>
      </c>
      <c r="E360" t="s">
        <v>17</v>
      </c>
      <c r="F360" s="12">
        <f t="shared" si="10"/>
        <v>10</v>
      </c>
      <c r="G360" s="5">
        <f t="shared" si="11"/>
        <v>2018</v>
      </c>
    </row>
    <row r="361" spans="1:7" x14ac:dyDescent="0.25">
      <c r="A361" t="s">
        <v>670</v>
      </c>
      <c r="B361" s="1">
        <v>43389</v>
      </c>
      <c r="C361" t="s">
        <v>270</v>
      </c>
      <c r="D361" t="s">
        <v>140</v>
      </c>
      <c r="E361" t="s">
        <v>141</v>
      </c>
      <c r="F361" s="12">
        <f t="shared" si="10"/>
        <v>10</v>
      </c>
      <c r="G361" s="5">
        <f t="shared" si="11"/>
        <v>2018</v>
      </c>
    </row>
    <row r="362" spans="1:7" x14ac:dyDescent="0.25">
      <c r="A362" t="s">
        <v>671</v>
      </c>
      <c r="B362" s="1">
        <v>43428</v>
      </c>
      <c r="C362" t="s">
        <v>344</v>
      </c>
      <c r="D362" t="s">
        <v>100</v>
      </c>
      <c r="E362" t="s">
        <v>101</v>
      </c>
      <c r="F362" s="12">
        <f t="shared" si="10"/>
        <v>11</v>
      </c>
      <c r="G362" s="5">
        <f t="shared" si="11"/>
        <v>2018</v>
      </c>
    </row>
    <row r="363" spans="1:7" x14ac:dyDescent="0.25">
      <c r="A363" t="s">
        <v>672</v>
      </c>
      <c r="B363" s="1">
        <v>43244</v>
      </c>
      <c r="C363" t="s">
        <v>289</v>
      </c>
      <c r="D363" t="s">
        <v>61</v>
      </c>
      <c r="E363" t="s">
        <v>62</v>
      </c>
      <c r="F363" s="12">
        <f t="shared" si="10"/>
        <v>5</v>
      </c>
      <c r="G363" s="5">
        <f t="shared" si="11"/>
        <v>2018</v>
      </c>
    </row>
    <row r="364" spans="1:7" x14ac:dyDescent="0.25">
      <c r="A364" t="s">
        <v>673</v>
      </c>
      <c r="B364" s="1">
        <v>43374</v>
      </c>
      <c r="C364" t="s">
        <v>674</v>
      </c>
      <c r="D364" t="s">
        <v>16</v>
      </c>
      <c r="E364" t="s">
        <v>27</v>
      </c>
      <c r="F364" s="12">
        <f t="shared" si="10"/>
        <v>10</v>
      </c>
      <c r="G364" s="5">
        <f t="shared" si="11"/>
        <v>2018</v>
      </c>
    </row>
    <row r="365" spans="1:7" x14ac:dyDescent="0.25">
      <c r="A365" t="s">
        <v>675</v>
      </c>
      <c r="B365" s="1">
        <v>43101</v>
      </c>
      <c r="C365" t="s">
        <v>676</v>
      </c>
      <c r="D365" t="s">
        <v>57</v>
      </c>
      <c r="E365" t="s">
        <v>58</v>
      </c>
      <c r="F365" s="12">
        <f t="shared" si="10"/>
        <v>1</v>
      </c>
      <c r="G365" s="5">
        <f t="shared" si="11"/>
        <v>2018</v>
      </c>
    </row>
    <row r="366" spans="1:7" x14ac:dyDescent="0.25">
      <c r="A366" t="s">
        <v>677</v>
      </c>
      <c r="B366" s="1">
        <v>43148</v>
      </c>
      <c r="C366" t="s">
        <v>554</v>
      </c>
      <c r="D366" t="s">
        <v>75</v>
      </c>
      <c r="E366" t="s">
        <v>76</v>
      </c>
      <c r="F366" s="12">
        <f t="shared" si="10"/>
        <v>2</v>
      </c>
      <c r="G366" s="5">
        <f t="shared" si="11"/>
        <v>2018</v>
      </c>
    </row>
    <row r="367" spans="1:7" x14ac:dyDescent="0.25">
      <c r="A367" t="s">
        <v>678</v>
      </c>
      <c r="B367" s="1">
        <v>43175</v>
      </c>
      <c r="C367" t="s">
        <v>679</v>
      </c>
      <c r="D367" t="s">
        <v>16</v>
      </c>
      <c r="E367" t="s">
        <v>17</v>
      </c>
      <c r="F367" s="12">
        <f t="shared" si="10"/>
        <v>3</v>
      </c>
      <c r="G367" s="5">
        <f t="shared" si="11"/>
        <v>2018</v>
      </c>
    </row>
    <row r="368" spans="1:7" x14ac:dyDescent="0.25">
      <c r="A368" t="s">
        <v>680</v>
      </c>
      <c r="B368" s="1">
        <v>43430</v>
      </c>
      <c r="C368" t="s">
        <v>681</v>
      </c>
      <c r="D368" t="s">
        <v>68</v>
      </c>
      <c r="E368" t="s">
        <v>175</v>
      </c>
      <c r="F368" s="12">
        <f t="shared" si="10"/>
        <v>11</v>
      </c>
      <c r="G368" s="5">
        <f t="shared" si="11"/>
        <v>2018</v>
      </c>
    </row>
    <row r="369" spans="1:7" x14ac:dyDescent="0.25">
      <c r="A369" t="s">
        <v>682</v>
      </c>
      <c r="B369" s="1">
        <v>43438</v>
      </c>
      <c r="C369" t="s">
        <v>683</v>
      </c>
      <c r="D369" t="s">
        <v>20</v>
      </c>
      <c r="E369" t="s">
        <v>21</v>
      </c>
      <c r="F369" s="12">
        <f t="shared" si="10"/>
        <v>12</v>
      </c>
      <c r="G369" s="5">
        <f t="shared" si="11"/>
        <v>2018</v>
      </c>
    </row>
    <row r="370" spans="1:7" x14ac:dyDescent="0.25">
      <c r="A370" t="s">
        <v>684</v>
      </c>
      <c r="B370" s="1">
        <v>43389</v>
      </c>
      <c r="C370" t="s">
        <v>685</v>
      </c>
      <c r="D370" t="s">
        <v>100</v>
      </c>
      <c r="E370" t="s">
        <v>170</v>
      </c>
      <c r="F370" s="12">
        <f t="shared" si="10"/>
        <v>10</v>
      </c>
      <c r="G370" s="5">
        <f t="shared" si="11"/>
        <v>2018</v>
      </c>
    </row>
    <row r="371" spans="1:7" x14ac:dyDescent="0.25">
      <c r="A371" t="s">
        <v>686</v>
      </c>
      <c r="B371" s="1">
        <v>43437</v>
      </c>
      <c r="C371" t="s">
        <v>231</v>
      </c>
      <c r="D371" t="s">
        <v>40</v>
      </c>
      <c r="E371" t="s">
        <v>41</v>
      </c>
      <c r="F371" s="12">
        <f t="shared" si="10"/>
        <v>12</v>
      </c>
      <c r="G371" s="5">
        <f t="shared" si="11"/>
        <v>2018</v>
      </c>
    </row>
    <row r="372" spans="1:7" x14ac:dyDescent="0.25">
      <c r="A372" t="s">
        <v>687</v>
      </c>
      <c r="B372" s="1">
        <v>43425</v>
      </c>
      <c r="C372" t="s">
        <v>688</v>
      </c>
      <c r="D372" t="s">
        <v>40</v>
      </c>
      <c r="E372" t="s">
        <v>41</v>
      </c>
      <c r="F372" s="12">
        <f t="shared" si="10"/>
        <v>11</v>
      </c>
      <c r="G372" s="5">
        <f t="shared" si="11"/>
        <v>2018</v>
      </c>
    </row>
    <row r="373" spans="1:7" x14ac:dyDescent="0.25">
      <c r="A373" t="s">
        <v>689</v>
      </c>
      <c r="B373" s="1">
        <v>43216</v>
      </c>
      <c r="C373" t="s">
        <v>690</v>
      </c>
      <c r="D373" t="s">
        <v>20</v>
      </c>
      <c r="E373" t="s">
        <v>21</v>
      </c>
      <c r="F373" s="12">
        <f t="shared" si="10"/>
        <v>4</v>
      </c>
      <c r="G373" s="5">
        <f t="shared" si="11"/>
        <v>2018</v>
      </c>
    </row>
    <row r="374" spans="1:7" x14ac:dyDescent="0.25">
      <c r="A374" t="s">
        <v>691</v>
      </c>
      <c r="B374" s="1">
        <v>43205</v>
      </c>
      <c r="C374" t="s">
        <v>529</v>
      </c>
      <c r="D374" t="s">
        <v>193</v>
      </c>
      <c r="E374" t="s">
        <v>193</v>
      </c>
      <c r="F374" s="12">
        <f t="shared" si="10"/>
        <v>4</v>
      </c>
      <c r="G374" s="5">
        <f t="shared" si="11"/>
        <v>2018</v>
      </c>
    </row>
    <row r="375" spans="1:7" x14ac:dyDescent="0.25">
      <c r="A375" t="s">
        <v>692</v>
      </c>
      <c r="B375" s="1">
        <v>43123</v>
      </c>
      <c r="C375" t="s">
        <v>693</v>
      </c>
      <c r="D375" t="s">
        <v>100</v>
      </c>
      <c r="E375" t="s">
        <v>101</v>
      </c>
      <c r="F375" s="12">
        <f t="shared" si="10"/>
        <v>1</v>
      </c>
      <c r="G375" s="5">
        <f t="shared" si="11"/>
        <v>2018</v>
      </c>
    </row>
    <row r="376" spans="1:7" x14ac:dyDescent="0.25">
      <c r="A376" t="s">
        <v>694</v>
      </c>
      <c r="B376" s="1">
        <v>43378</v>
      </c>
      <c r="C376" t="s">
        <v>198</v>
      </c>
      <c r="D376" t="s">
        <v>16</v>
      </c>
      <c r="E376" t="s">
        <v>17</v>
      </c>
      <c r="F376" s="12">
        <f t="shared" si="10"/>
        <v>10</v>
      </c>
      <c r="G376" s="5">
        <f t="shared" si="11"/>
        <v>2018</v>
      </c>
    </row>
    <row r="377" spans="1:7" x14ac:dyDescent="0.25">
      <c r="A377" t="s">
        <v>695</v>
      </c>
      <c r="B377" s="1">
        <v>43419</v>
      </c>
      <c r="C377" t="s">
        <v>489</v>
      </c>
      <c r="D377" t="s">
        <v>130</v>
      </c>
      <c r="E377" t="s">
        <v>131</v>
      </c>
      <c r="F377" s="12">
        <f t="shared" si="10"/>
        <v>11</v>
      </c>
      <c r="G377" s="5">
        <f t="shared" si="11"/>
        <v>2018</v>
      </c>
    </row>
    <row r="378" spans="1:7" x14ac:dyDescent="0.25">
      <c r="A378" t="s">
        <v>696</v>
      </c>
      <c r="B378" s="1">
        <v>43181</v>
      </c>
      <c r="C378" t="s">
        <v>697</v>
      </c>
      <c r="D378" t="s">
        <v>156</v>
      </c>
      <c r="E378" t="s">
        <v>157</v>
      </c>
      <c r="F378" s="12">
        <f t="shared" si="10"/>
        <v>3</v>
      </c>
      <c r="G378" s="5">
        <f t="shared" si="11"/>
        <v>2018</v>
      </c>
    </row>
    <row r="379" spans="1:7" x14ac:dyDescent="0.25">
      <c r="A379" t="s">
        <v>698</v>
      </c>
      <c r="B379" s="1">
        <v>43380</v>
      </c>
      <c r="C379" t="s">
        <v>699</v>
      </c>
      <c r="D379" t="s">
        <v>7</v>
      </c>
      <c r="E379" t="s">
        <v>120</v>
      </c>
      <c r="F379" s="12">
        <f t="shared" si="10"/>
        <v>10</v>
      </c>
      <c r="G379" s="5">
        <f t="shared" si="11"/>
        <v>2018</v>
      </c>
    </row>
    <row r="380" spans="1:7" x14ac:dyDescent="0.25">
      <c r="A380" t="s">
        <v>700</v>
      </c>
      <c r="B380" s="1">
        <v>43310</v>
      </c>
      <c r="C380" t="s">
        <v>253</v>
      </c>
      <c r="D380" t="s">
        <v>20</v>
      </c>
      <c r="E380" t="s">
        <v>21</v>
      </c>
      <c r="F380" s="12">
        <f t="shared" si="10"/>
        <v>7</v>
      </c>
      <c r="G380" s="5">
        <f t="shared" si="11"/>
        <v>2018</v>
      </c>
    </row>
    <row r="381" spans="1:7" x14ac:dyDescent="0.25">
      <c r="A381" t="s">
        <v>701</v>
      </c>
      <c r="B381" s="1">
        <v>43428</v>
      </c>
      <c r="C381" t="s">
        <v>702</v>
      </c>
      <c r="D381" t="s">
        <v>100</v>
      </c>
      <c r="E381" t="s">
        <v>101</v>
      </c>
      <c r="F381" s="12">
        <f t="shared" si="10"/>
        <v>11</v>
      </c>
      <c r="G381" s="5">
        <f t="shared" si="11"/>
        <v>2018</v>
      </c>
    </row>
    <row r="382" spans="1:7" x14ac:dyDescent="0.25">
      <c r="A382" t="s">
        <v>703</v>
      </c>
      <c r="B382" s="1">
        <v>43104</v>
      </c>
      <c r="C382" t="s">
        <v>704</v>
      </c>
      <c r="D382" t="s">
        <v>20</v>
      </c>
      <c r="E382" t="s">
        <v>21</v>
      </c>
      <c r="F382" s="12">
        <f t="shared" si="10"/>
        <v>1</v>
      </c>
      <c r="G382" s="5">
        <f t="shared" si="11"/>
        <v>2018</v>
      </c>
    </row>
    <row r="383" spans="1:7" x14ac:dyDescent="0.25">
      <c r="A383" t="s">
        <v>705</v>
      </c>
      <c r="B383" s="1">
        <v>43451</v>
      </c>
      <c r="C383" t="s">
        <v>706</v>
      </c>
      <c r="D383" t="s">
        <v>11</v>
      </c>
      <c r="E383" t="s">
        <v>11</v>
      </c>
      <c r="F383" s="12">
        <f t="shared" si="10"/>
        <v>12</v>
      </c>
      <c r="G383" s="5">
        <f t="shared" si="11"/>
        <v>2018</v>
      </c>
    </row>
    <row r="384" spans="1:7" x14ac:dyDescent="0.25">
      <c r="A384" t="s">
        <v>707</v>
      </c>
      <c r="B384" s="1">
        <v>43450</v>
      </c>
      <c r="C384" t="s">
        <v>708</v>
      </c>
      <c r="D384" t="s">
        <v>11</v>
      </c>
      <c r="E384" t="s">
        <v>11</v>
      </c>
      <c r="F384" s="12">
        <f t="shared" si="10"/>
        <v>12</v>
      </c>
      <c r="G384" s="5">
        <f t="shared" si="11"/>
        <v>2018</v>
      </c>
    </row>
    <row r="385" spans="1:7" x14ac:dyDescent="0.25">
      <c r="A385" t="s">
        <v>709</v>
      </c>
      <c r="B385" s="1">
        <v>43393</v>
      </c>
      <c r="C385" t="s">
        <v>710</v>
      </c>
      <c r="D385" t="s">
        <v>20</v>
      </c>
      <c r="E385" t="s">
        <v>21</v>
      </c>
      <c r="F385" s="12">
        <f t="shared" si="10"/>
        <v>10</v>
      </c>
      <c r="G385" s="5">
        <f t="shared" si="11"/>
        <v>2018</v>
      </c>
    </row>
    <row r="386" spans="1:7" x14ac:dyDescent="0.25">
      <c r="A386" t="s">
        <v>711</v>
      </c>
      <c r="B386" s="1">
        <v>43287</v>
      </c>
      <c r="C386" t="s">
        <v>453</v>
      </c>
      <c r="D386" t="s">
        <v>20</v>
      </c>
      <c r="E386" t="s">
        <v>72</v>
      </c>
      <c r="F386" s="12">
        <f t="shared" si="10"/>
        <v>7</v>
      </c>
      <c r="G386" s="5">
        <f t="shared" si="11"/>
        <v>2018</v>
      </c>
    </row>
    <row r="387" spans="1:7" x14ac:dyDescent="0.25">
      <c r="A387" t="s">
        <v>712</v>
      </c>
      <c r="B387" s="1">
        <v>43419</v>
      </c>
      <c r="C387" t="s">
        <v>713</v>
      </c>
      <c r="D387" t="s">
        <v>16</v>
      </c>
      <c r="E387" t="s">
        <v>17</v>
      </c>
      <c r="F387" s="12">
        <f t="shared" ref="F387:F450" si="12">MONTH(B387)</f>
        <v>11</v>
      </c>
      <c r="G387" s="5">
        <f t="shared" ref="G387:G450" si="13">YEAR(B387)</f>
        <v>2018</v>
      </c>
    </row>
    <row r="388" spans="1:7" x14ac:dyDescent="0.25">
      <c r="A388" t="s">
        <v>714</v>
      </c>
      <c r="B388" s="1">
        <v>43455</v>
      </c>
      <c r="C388" t="s">
        <v>441</v>
      </c>
      <c r="D388" t="s">
        <v>16</v>
      </c>
      <c r="E388" t="s">
        <v>17</v>
      </c>
      <c r="F388" s="12">
        <f t="shared" si="12"/>
        <v>12</v>
      </c>
      <c r="G388" s="5">
        <f t="shared" si="13"/>
        <v>2018</v>
      </c>
    </row>
    <row r="389" spans="1:7" x14ac:dyDescent="0.25">
      <c r="A389" t="s">
        <v>715</v>
      </c>
      <c r="B389" s="1">
        <v>43164</v>
      </c>
      <c r="C389" t="s">
        <v>86</v>
      </c>
      <c r="D389" t="s">
        <v>20</v>
      </c>
      <c r="E389" t="s">
        <v>72</v>
      </c>
      <c r="F389" s="12">
        <f t="shared" si="12"/>
        <v>3</v>
      </c>
      <c r="G389" s="5">
        <f t="shared" si="13"/>
        <v>2018</v>
      </c>
    </row>
    <row r="390" spans="1:7" x14ac:dyDescent="0.25">
      <c r="A390" t="s">
        <v>716</v>
      </c>
      <c r="B390" s="1">
        <v>43458</v>
      </c>
      <c r="C390" t="s">
        <v>717</v>
      </c>
      <c r="D390" t="s">
        <v>7</v>
      </c>
      <c r="E390" t="s">
        <v>24</v>
      </c>
      <c r="F390" s="12">
        <f t="shared" si="12"/>
        <v>12</v>
      </c>
      <c r="G390" s="5">
        <f t="shared" si="13"/>
        <v>2018</v>
      </c>
    </row>
    <row r="391" spans="1:7" x14ac:dyDescent="0.25">
      <c r="A391" t="s">
        <v>718</v>
      </c>
      <c r="B391" s="1">
        <v>43275</v>
      </c>
      <c r="C391" t="s">
        <v>719</v>
      </c>
      <c r="D391" t="s">
        <v>7</v>
      </c>
      <c r="E391" t="s">
        <v>120</v>
      </c>
      <c r="F391" s="12">
        <f t="shared" si="12"/>
        <v>6</v>
      </c>
      <c r="G391" s="5">
        <f t="shared" si="13"/>
        <v>2018</v>
      </c>
    </row>
    <row r="392" spans="1:7" x14ac:dyDescent="0.25">
      <c r="A392" t="s">
        <v>720</v>
      </c>
      <c r="B392" s="1">
        <v>43311</v>
      </c>
      <c r="C392" t="s">
        <v>721</v>
      </c>
      <c r="D392" t="s">
        <v>7</v>
      </c>
      <c r="E392" t="s">
        <v>120</v>
      </c>
      <c r="F392" s="12">
        <f t="shared" si="12"/>
        <v>7</v>
      </c>
      <c r="G392" s="5">
        <f t="shared" si="13"/>
        <v>2018</v>
      </c>
    </row>
    <row r="393" spans="1:7" x14ac:dyDescent="0.25">
      <c r="A393" t="s">
        <v>722</v>
      </c>
      <c r="B393" s="1">
        <v>43277</v>
      </c>
      <c r="C393" t="s">
        <v>723</v>
      </c>
      <c r="D393" t="s">
        <v>20</v>
      </c>
      <c r="E393" t="s">
        <v>21</v>
      </c>
      <c r="F393" s="12">
        <f t="shared" si="12"/>
        <v>6</v>
      </c>
      <c r="G393" s="5">
        <f t="shared" si="13"/>
        <v>2018</v>
      </c>
    </row>
    <row r="394" spans="1:7" x14ac:dyDescent="0.25">
      <c r="A394" t="s">
        <v>724</v>
      </c>
      <c r="B394" s="1">
        <v>43186</v>
      </c>
      <c r="C394" t="s">
        <v>461</v>
      </c>
      <c r="D394" t="s">
        <v>40</v>
      </c>
      <c r="E394" t="s">
        <v>54</v>
      </c>
      <c r="F394" s="12">
        <f t="shared" si="12"/>
        <v>3</v>
      </c>
      <c r="G394" s="5">
        <f t="shared" si="13"/>
        <v>2018</v>
      </c>
    </row>
    <row r="395" spans="1:7" x14ac:dyDescent="0.25">
      <c r="A395" t="s">
        <v>725</v>
      </c>
      <c r="B395" s="1">
        <v>43182</v>
      </c>
      <c r="C395" t="s">
        <v>264</v>
      </c>
      <c r="D395" t="s">
        <v>7</v>
      </c>
      <c r="E395" t="s">
        <v>120</v>
      </c>
      <c r="F395" s="12">
        <f t="shared" si="12"/>
        <v>3</v>
      </c>
      <c r="G395" s="5">
        <f t="shared" si="13"/>
        <v>2018</v>
      </c>
    </row>
    <row r="396" spans="1:7" x14ac:dyDescent="0.25">
      <c r="A396" t="s">
        <v>726</v>
      </c>
      <c r="B396" s="1">
        <v>43387</v>
      </c>
      <c r="C396" t="s">
        <v>727</v>
      </c>
      <c r="D396" t="s">
        <v>20</v>
      </c>
      <c r="E396" t="s">
        <v>21</v>
      </c>
      <c r="F396" s="12">
        <f t="shared" si="12"/>
        <v>10</v>
      </c>
      <c r="G396" s="5">
        <f t="shared" si="13"/>
        <v>2018</v>
      </c>
    </row>
    <row r="397" spans="1:7" x14ac:dyDescent="0.25">
      <c r="A397" t="s">
        <v>728</v>
      </c>
      <c r="B397" s="1">
        <v>43407</v>
      </c>
      <c r="C397" t="s">
        <v>729</v>
      </c>
      <c r="D397" t="s">
        <v>68</v>
      </c>
      <c r="E397" t="s">
        <v>69</v>
      </c>
      <c r="F397" s="12">
        <f t="shared" si="12"/>
        <v>11</v>
      </c>
      <c r="G397" s="5">
        <f t="shared" si="13"/>
        <v>2018</v>
      </c>
    </row>
    <row r="398" spans="1:7" x14ac:dyDescent="0.25">
      <c r="A398" t="s">
        <v>730</v>
      </c>
      <c r="B398" s="1">
        <v>43143</v>
      </c>
      <c r="C398" t="s">
        <v>161</v>
      </c>
      <c r="D398" t="s">
        <v>40</v>
      </c>
      <c r="E398" t="s">
        <v>54</v>
      </c>
      <c r="F398" s="12">
        <f t="shared" si="12"/>
        <v>2</v>
      </c>
      <c r="G398" s="5">
        <f t="shared" si="13"/>
        <v>2018</v>
      </c>
    </row>
    <row r="399" spans="1:7" x14ac:dyDescent="0.25">
      <c r="A399" t="s">
        <v>731</v>
      </c>
      <c r="B399" s="1">
        <v>43214</v>
      </c>
      <c r="C399" t="s">
        <v>588</v>
      </c>
      <c r="D399" t="s">
        <v>97</v>
      </c>
      <c r="E399" t="s">
        <v>69</v>
      </c>
      <c r="F399" s="12">
        <f t="shared" si="12"/>
        <v>4</v>
      </c>
      <c r="G399" s="5">
        <f t="shared" si="13"/>
        <v>2018</v>
      </c>
    </row>
    <row r="400" spans="1:7" x14ac:dyDescent="0.25">
      <c r="A400" t="s">
        <v>732</v>
      </c>
      <c r="B400" s="1">
        <v>43196</v>
      </c>
      <c r="C400" t="s">
        <v>425</v>
      </c>
      <c r="D400" t="s">
        <v>104</v>
      </c>
      <c r="E400" t="s">
        <v>105</v>
      </c>
      <c r="F400" s="12">
        <f t="shared" si="12"/>
        <v>4</v>
      </c>
      <c r="G400" s="5">
        <f t="shared" si="13"/>
        <v>2018</v>
      </c>
    </row>
    <row r="401" spans="1:7" x14ac:dyDescent="0.25">
      <c r="A401" t="s">
        <v>733</v>
      </c>
      <c r="B401" s="1">
        <v>43322</v>
      </c>
      <c r="C401" t="s">
        <v>215</v>
      </c>
      <c r="D401" t="s">
        <v>16</v>
      </c>
      <c r="E401" t="s">
        <v>27</v>
      </c>
      <c r="F401" s="12">
        <f t="shared" si="12"/>
        <v>8</v>
      </c>
      <c r="G401" s="5">
        <f t="shared" si="13"/>
        <v>2018</v>
      </c>
    </row>
    <row r="402" spans="1:7" x14ac:dyDescent="0.25">
      <c r="A402" t="s">
        <v>734</v>
      </c>
      <c r="B402" s="1">
        <v>43139</v>
      </c>
      <c r="C402" t="s">
        <v>735</v>
      </c>
      <c r="D402" t="s">
        <v>140</v>
      </c>
      <c r="E402" t="s">
        <v>141</v>
      </c>
      <c r="F402" s="12">
        <f t="shared" si="12"/>
        <v>2</v>
      </c>
      <c r="G402" s="5">
        <f t="shared" si="13"/>
        <v>2018</v>
      </c>
    </row>
    <row r="403" spans="1:7" x14ac:dyDescent="0.25">
      <c r="A403" t="s">
        <v>736</v>
      </c>
      <c r="B403" s="1">
        <v>43407</v>
      </c>
      <c r="C403" t="s">
        <v>737</v>
      </c>
      <c r="D403" t="s">
        <v>20</v>
      </c>
      <c r="E403" t="s">
        <v>21</v>
      </c>
      <c r="F403" s="12">
        <f t="shared" si="12"/>
        <v>11</v>
      </c>
      <c r="G403" s="5">
        <f t="shared" si="13"/>
        <v>2018</v>
      </c>
    </row>
    <row r="404" spans="1:7" x14ac:dyDescent="0.25">
      <c r="A404" t="s">
        <v>738</v>
      </c>
      <c r="B404" s="1">
        <v>43423</v>
      </c>
      <c r="C404" t="s">
        <v>739</v>
      </c>
      <c r="D404" t="s">
        <v>81</v>
      </c>
      <c r="E404" t="s">
        <v>82</v>
      </c>
      <c r="F404" s="12">
        <f t="shared" si="12"/>
        <v>11</v>
      </c>
      <c r="G404" s="5">
        <f t="shared" si="13"/>
        <v>2018</v>
      </c>
    </row>
    <row r="405" spans="1:7" x14ac:dyDescent="0.25">
      <c r="A405" t="s">
        <v>740</v>
      </c>
      <c r="B405" s="1">
        <v>43175</v>
      </c>
      <c r="C405" t="s">
        <v>127</v>
      </c>
      <c r="D405" t="s">
        <v>16</v>
      </c>
      <c r="E405" t="s">
        <v>27</v>
      </c>
      <c r="F405" s="12">
        <f t="shared" si="12"/>
        <v>3</v>
      </c>
      <c r="G405" s="5">
        <f t="shared" si="13"/>
        <v>2018</v>
      </c>
    </row>
    <row r="406" spans="1:7" x14ac:dyDescent="0.25">
      <c r="A406" t="s">
        <v>741</v>
      </c>
      <c r="B406" s="1">
        <v>43419</v>
      </c>
      <c r="C406" t="s">
        <v>742</v>
      </c>
      <c r="D406" t="s">
        <v>20</v>
      </c>
      <c r="E406" t="s">
        <v>21</v>
      </c>
      <c r="F406" s="12">
        <f t="shared" si="12"/>
        <v>11</v>
      </c>
      <c r="G406" s="5">
        <f t="shared" si="13"/>
        <v>2018</v>
      </c>
    </row>
    <row r="407" spans="1:7" x14ac:dyDescent="0.25">
      <c r="A407" t="s">
        <v>743</v>
      </c>
      <c r="B407" s="1">
        <v>43156</v>
      </c>
      <c r="C407" t="s">
        <v>107</v>
      </c>
      <c r="D407" t="s">
        <v>75</v>
      </c>
      <c r="E407" t="s">
        <v>76</v>
      </c>
      <c r="F407" s="12">
        <f t="shared" si="12"/>
        <v>2</v>
      </c>
      <c r="G407" s="5">
        <f t="shared" si="13"/>
        <v>2018</v>
      </c>
    </row>
    <row r="408" spans="1:7" x14ac:dyDescent="0.25">
      <c r="A408" t="s">
        <v>744</v>
      </c>
      <c r="B408" s="1">
        <v>43454</v>
      </c>
      <c r="C408" t="s">
        <v>745</v>
      </c>
      <c r="D408" t="s">
        <v>40</v>
      </c>
      <c r="E408" t="s">
        <v>41</v>
      </c>
      <c r="F408" s="12">
        <f t="shared" si="12"/>
        <v>12</v>
      </c>
      <c r="G408" s="5">
        <f t="shared" si="13"/>
        <v>2018</v>
      </c>
    </row>
    <row r="409" spans="1:7" x14ac:dyDescent="0.25">
      <c r="A409" t="s">
        <v>746</v>
      </c>
      <c r="B409" s="1">
        <v>43186</v>
      </c>
      <c r="C409" t="s">
        <v>497</v>
      </c>
      <c r="D409" t="s">
        <v>81</v>
      </c>
      <c r="E409" t="s">
        <v>82</v>
      </c>
      <c r="F409" s="12">
        <f t="shared" si="12"/>
        <v>3</v>
      </c>
      <c r="G409" s="5">
        <f t="shared" si="13"/>
        <v>2018</v>
      </c>
    </row>
    <row r="410" spans="1:7" x14ac:dyDescent="0.25">
      <c r="A410" t="s">
        <v>747</v>
      </c>
      <c r="B410" s="1">
        <v>43131</v>
      </c>
      <c r="C410" t="s">
        <v>748</v>
      </c>
      <c r="D410" t="s">
        <v>11</v>
      </c>
      <c r="E410" t="s">
        <v>11</v>
      </c>
      <c r="F410" s="12">
        <f t="shared" si="12"/>
        <v>1</v>
      </c>
      <c r="G410" s="5">
        <f t="shared" si="13"/>
        <v>2018</v>
      </c>
    </row>
    <row r="411" spans="1:7" x14ac:dyDescent="0.25">
      <c r="A411" t="s">
        <v>749</v>
      </c>
      <c r="B411" s="1">
        <v>43445</v>
      </c>
      <c r="C411" t="s">
        <v>750</v>
      </c>
      <c r="D411" t="s">
        <v>11</v>
      </c>
      <c r="E411" t="s">
        <v>11</v>
      </c>
      <c r="F411" s="12">
        <f t="shared" si="12"/>
        <v>12</v>
      </c>
      <c r="G411" s="5">
        <f t="shared" si="13"/>
        <v>2018</v>
      </c>
    </row>
    <row r="412" spans="1:7" x14ac:dyDescent="0.25">
      <c r="A412" t="s">
        <v>751</v>
      </c>
      <c r="B412" s="1">
        <v>43145</v>
      </c>
      <c r="C412" t="s">
        <v>697</v>
      </c>
      <c r="D412" t="s">
        <v>156</v>
      </c>
      <c r="E412" t="s">
        <v>157</v>
      </c>
      <c r="F412" s="12">
        <f t="shared" si="12"/>
        <v>2</v>
      </c>
      <c r="G412" s="5">
        <f t="shared" si="13"/>
        <v>2018</v>
      </c>
    </row>
    <row r="413" spans="1:7" x14ac:dyDescent="0.25">
      <c r="A413" t="s">
        <v>752</v>
      </c>
      <c r="B413" s="1">
        <v>43220</v>
      </c>
      <c r="C413" t="s">
        <v>361</v>
      </c>
      <c r="D413" t="s">
        <v>16</v>
      </c>
      <c r="E413" t="s">
        <v>17</v>
      </c>
      <c r="F413" s="12">
        <f t="shared" si="12"/>
        <v>4</v>
      </c>
      <c r="G413" s="5">
        <f t="shared" si="13"/>
        <v>2018</v>
      </c>
    </row>
    <row r="414" spans="1:7" x14ac:dyDescent="0.25">
      <c r="A414" t="s">
        <v>753</v>
      </c>
      <c r="B414" s="1">
        <v>43255</v>
      </c>
      <c r="C414" t="s">
        <v>754</v>
      </c>
      <c r="D414" t="s">
        <v>16</v>
      </c>
      <c r="E414" t="s">
        <v>17</v>
      </c>
      <c r="F414" s="12">
        <f t="shared" si="12"/>
        <v>6</v>
      </c>
      <c r="G414" s="5">
        <f t="shared" si="13"/>
        <v>2018</v>
      </c>
    </row>
    <row r="415" spans="1:7" x14ac:dyDescent="0.25">
      <c r="A415" t="s">
        <v>755</v>
      </c>
      <c r="B415" s="1">
        <v>43299</v>
      </c>
      <c r="C415" t="s">
        <v>756</v>
      </c>
      <c r="D415" t="s">
        <v>16</v>
      </c>
      <c r="E415" t="s">
        <v>17</v>
      </c>
      <c r="F415" s="12">
        <f t="shared" si="12"/>
        <v>7</v>
      </c>
      <c r="G415" s="5">
        <f t="shared" si="13"/>
        <v>2018</v>
      </c>
    </row>
    <row r="416" spans="1:7" x14ac:dyDescent="0.25">
      <c r="A416" t="s">
        <v>757</v>
      </c>
      <c r="B416" s="1">
        <v>43195</v>
      </c>
      <c r="C416" t="s">
        <v>363</v>
      </c>
      <c r="D416" t="s">
        <v>140</v>
      </c>
      <c r="E416" t="s">
        <v>141</v>
      </c>
      <c r="F416" s="12">
        <f t="shared" si="12"/>
        <v>4</v>
      </c>
      <c r="G416" s="5">
        <f t="shared" si="13"/>
        <v>2018</v>
      </c>
    </row>
    <row r="417" spans="1:7" x14ac:dyDescent="0.25">
      <c r="A417" t="s">
        <v>758</v>
      </c>
      <c r="B417" s="1">
        <v>43367</v>
      </c>
      <c r="C417" t="s">
        <v>231</v>
      </c>
      <c r="D417" t="s">
        <v>16</v>
      </c>
      <c r="E417" t="s">
        <v>17</v>
      </c>
      <c r="F417" s="12">
        <f t="shared" si="12"/>
        <v>9</v>
      </c>
      <c r="G417" s="5">
        <f t="shared" si="13"/>
        <v>2018</v>
      </c>
    </row>
    <row r="418" spans="1:7" x14ac:dyDescent="0.25">
      <c r="A418" t="s">
        <v>759</v>
      </c>
      <c r="B418" s="1">
        <v>43255</v>
      </c>
      <c r="C418" t="s">
        <v>475</v>
      </c>
      <c r="D418" t="s">
        <v>20</v>
      </c>
      <c r="E418" t="s">
        <v>21</v>
      </c>
      <c r="F418" s="12">
        <f t="shared" si="12"/>
        <v>6</v>
      </c>
      <c r="G418" s="5">
        <f t="shared" si="13"/>
        <v>2018</v>
      </c>
    </row>
    <row r="419" spans="1:7" x14ac:dyDescent="0.25">
      <c r="A419" t="s">
        <v>760</v>
      </c>
      <c r="B419" s="1">
        <v>43104</v>
      </c>
      <c r="C419" t="s">
        <v>761</v>
      </c>
      <c r="D419" t="s">
        <v>16</v>
      </c>
      <c r="E419" t="s">
        <v>17</v>
      </c>
      <c r="F419" s="12">
        <f t="shared" si="12"/>
        <v>1</v>
      </c>
      <c r="G419" s="5">
        <f t="shared" si="13"/>
        <v>2018</v>
      </c>
    </row>
    <row r="420" spans="1:7" x14ac:dyDescent="0.25">
      <c r="A420" t="s">
        <v>762</v>
      </c>
      <c r="B420" s="1">
        <v>43104</v>
      </c>
      <c r="C420" t="s">
        <v>763</v>
      </c>
      <c r="D420" t="s">
        <v>20</v>
      </c>
      <c r="E420" t="s">
        <v>21</v>
      </c>
      <c r="F420" s="12">
        <f t="shared" si="12"/>
        <v>1</v>
      </c>
      <c r="G420" s="5">
        <f t="shared" si="13"/>
        <v>2018</v>
      </c>
    </row>
    <row r="421" spans="1:7" x14ac:dyDescent="0.25">
      <c r="A421" t="s">
        <v>764</v>
      </c>
      <c r="B421" s="1">
        <v>43133</v>
      </c>
      <c r="C421" t="s">
        <v>765</v>
      </c>
      <c r="D421" t="s">
        <v>11</v>
      </c>
      <c r="E421" t="s">
        <v>11</v>
      </c>
      <c r="F421" s="12">
        <f t="shared" si="12"/>
        <v>2</v>
      </c>
      <c r="G421" s="5">
        <f t="shared" si="13"/>
        <v>2018</v>
      </c>
    </row>
    <row r="422" spans="1:7" x14ac:dyDescent="0.25">
      <c r="A422" t="s">
        <v>766</v>
      </c>
      <c r="B422" s="1">
        <v>43205</v>
      </c>
      <c r="C422" t="s">
        <v>617</v>
      </c>
      <c r="D422" t="s">
        <v>304</v>
      </c>
      <c r="E422" t="s">
        <v>305</v>
      </c>
      <c r="F422" s="12">
        <f t="shared" si="12"/>
        <v>4</v>
      </c>
      <c r="G422" s="5">
        <f t="shared" si="13"/>
        <v>2018</v>
      </c>
    </row>
    <row r="423" spans="1:7" x14ac:dyDescent="0.25">
      <c r="A423" t="s">
        <v>767</v>
      </c>
      <c r="B423" s="1">
        <v>43153</v>
      </c>
      <c r="C423" t="s">
        <v>477</v>
      </c>
      <c r="D423" t="s">
        <v>20</v>
      </c>
      <c r="E423" t="s">
        <v>72</v>
      </c>
      <c r="F423" s="12">
        <f t="shared" si="12"/>
        <v>2</v>
      </c>
      <c r="G423" s="5">
        <f t="shared" si="13"/>
        <v>2018</v>
      </c>
    </row>
    <row r="424" spans="1:7" x14ac:dyDescent="0.25">
      <c r="A424" t="s">
        <v>768</v>
      </c>
      <c r="B424" s="1">
        <v>43374</v>
      </c>
      <c r="C424" t="s">
        <v>769</v>
      </c>
      <c r="D424" t="s">
        <v>20</v>
      </c>
      <c r="E424" t="s">
        <v>72</v>
      </c>
      <c r="F424" s="12">
        <f t="shared" si="12"/>
        <v>10</v>
      </c>
      <c r="G424" s="5">
        <f t="shared" si="13"/>
        <v>2018</v>
      </c>
    </row>
    <row r="425" spans="1:7" x14ac:dyDescent="0.25">
      <c r="A425" t="s">
        <v>770</v>
      </c>
      <c r="B425" s="1">
        <v>43402</v>
      </c>
      <c r="C425" t="s">
        <v>771</v>
      </c>
      <c r="D425" t="s">
        <v>20</v>
      </c>
      <c r="E425" t="s">
        <v>21</v>
      </c>
      <c r="F425" s="12">
        <f t="shared" si="12"/>
        <v>10</v>
      </c>
      <c r="G425" s="5">
        <f t="shared" si="13"/>
        <v>2018</v>
      </c>
    </row>
    <row r="426" spans="1:7" x14ac:dyDescent="0.25">
      <c r="A426" t="s">
        <v>772</v>
      </c>
      <c r="B426" s="1">
        <v>43181</v>
      </c>
      <c r="C426" t="s">
        <v>435</v>
      </c>
      <c r="D426" t="s">
        <v>100</v>
      </c>
      <c r="E426" t="s">
        <v>170</v>
      </c>
      <c r="F426" s="12">
        <f t="shared" si="12"/>
        <v>3</v>
      </c>
      <c r="G426" s="5">
        <f t="shared" si="13"/>
        <v>2018</v>
      </c>
    </row>
    <row r="427" spans="1:7" x14ac:dyDescent="0.25">
      <c r="A427" t="s">
        <v>773</v>
      </c>
      <c r="B427" s="1">
        <v>43105</v>
      </c>
      <c r="C427" t="s">
        <v>774</v>
      </c>
      <c r="D427" t="s">
        <v>68</v>
      </c>
      <c r="E427" t="s">
        <v>69</v>
      </c>
      <c r="F427" s="12">
        <f t="shared" si="12"/>
        <v>1</v>
      </c>
      <c r="G427" s="5">
        <f t="shared" si="13"/>
        <v>2018</v>
      </c>
    </row>
    <row r="428" spans="1:7" x14ac:dyDescent="0.25">
      <c r="A428" t="s">
        <v>775</v>
      </c>
      <c r="B428" s="1">
        <v>43105</v>
      </c>
      <c r="C428" t="s">
        <v>433</v>
      </c>
      <c r="D428" t="s">
        <v>61</v>
      </c>
      <c r="E428" t="s">
        <v>62</v>
      </c>
      <c r="F428" s="12">
        <f t="shared" si="12"/>
        <v>1</v>
      </c>
      <c r="G428" s="5">
        <f t="shared" si="13"/>
        <v>2018</v>
      </c>
    </row>
    <row r="429" spans="1:7" x14ac:dyDescent="0.25">
      <c r="A429" t="s">
        <v>776</v>
      </c>
      <c r="B429" s="1">
        <v>43292</v>
      </c>
      <c r="C429" t="s">
        <v>117</v>
      </c>
      <c r="D429" t="s">
        <v>130</v>
      </c>
      <c r="E429" t="s">
        <v>131</v>
      </c>
      <c r="F429" s="12">
        <f t="shared" si="12"/>
        <v>7</v>
      </c>
      <c r="G429" s="5">
        <f t="shared" si="13"/>
        <v>2018</v>
      </c>
    </row>
    <row r="430" spans="1:7" x14ac:dyDescent="0.25">
      <c r="A430" t="s">
        <v>777</v>
      </c>
      <c r="B430" s="1">
        <v>43315</v>
      </c>
      <c r="C430" t="s">
        <v>778</v>
      </c>
      <c r="D430" t="s">
        <v>16</v>
      </c>
      <c r="E430" t="s">
        <v>17</v>
      </c>
      <c r="F430" s="12">
        <f t="shared" si="12"/>
        <v>8</v>
      </c>
      <c r="G430" s="5">
        <f t="shared" si="13"/>
        <v>2018</v>
      </c>
    </row>
    <row r="431" spans="1:7" x14ac:dyDescent="0.25">
      <c r="A431" t="s">
        <v>779</v>
      </c>
      <c r="B431" s="1">
        <v>43339</v>
      </c>
      <c r="C431" t="s">
        <v>780</v>
      </c>
      <c r="D431" t="s">
        <v>40</v>
      </c>
      <c r="E431" t="s">
        <v>54</v>
      </c>
      <c r="F431" s="12">
        <f t="shared" si="12"/>
        <v>8</v>
      </c>
      <c r="G431" s="5">
        <f t="shared" si="13"/>
        <v>2018</v>
      </c>
    </row>
    <row r="432" spans="1:7" x14ac:dyDescent="0.25">
      <c r="A432" t="s">
        <v>781</v>
      </c>
      <c r="B432" s="1">
        <v>43426</v>
      </c>
      <c r="C432" t="s">
        <v>638</v>
      </c>
      <c r="D432" t="s">
        <v>16</v>
      </c>
      <c r="E432" t="s">
        <v>17</v>
      </c>
      <c r="F432" s="12">
        <f t="shared" si="12"/>
        <v>11</v>
      </c>
      <c r="G432" s="5">
        <f t="shared" si="13"/>
        <v>2018</v>
      </c>
    </row>
    <row r="433" spans="1:7" x14ac:dyDescent="0.25">
      <c r="A433" t="s">
        <v>782</v>
      </c>
      <c r="B433" s="1">
        <v>43428</v>
      </c>
      <c r="C433" t="s">
        <v>125</v>
      </c>
      <c r="D433" t="s">
        <v>20</v>
      </c>
      <c r="E433" t="s">
        <v>21</v>
      </c>
      <c r="F433" s="12">
        <f t="shared" si="12"/>
        <v>11</v>
      </c>
      <c r="G433" s="5">
        <f t="shared" si="13"/>
        <v>2018</v>
      </c>
    </row>
    <row r="434" spans="1:7" x14ac:dyDescent="0.25">
      <c r="A434" t="s">
        <v>783</v>
      </c>
      <c r="B434" s="1">
        <v>43464</v>
      </c>
      <c r="C434" t="s">
        <v>784</v>
      </c>
      <c r="D434" t="s">
        <v>20</v>
      </c>
      <c r="E434" t="s">
        <v>21</v>
      </c>
      <c r="F434" s="12">
        <f t="shared" si="12"/>
        <v>12</v>
      </c>
      <c r="G434" s="5">
        <f t="shared" si="13"/>
        <v>2018</v>
      </c>
    </row>
    <row r="435" spans="1:7" x14ac:dyDescent="0.25">
      <c r="A435" t="s">
        <v>785</v>
      </c>
      <c r="B435" s="1">
        <v>43180</v>
      </c>
      <c r="C435" t="s">
        <v>161</v>
      </c>
      <c r="D435" t="s">
        <v>40</v>
      </c>
      <c r="E435" t="s">
        <v>54</v>
      </c>
      <c r="F435" s="12">
        <f t="shared" si="12"/>
        <v>3</v>
      </c>
      <c r="G435" s="5">
        <f t="shared" si="13"/>
        <v>2018</v>
      </c>
    </row>
    <row r="436" spans="1:7" x14ac:dyDescent="0.25">
      <c r="A436" t="s">
        <v>786</v>
      </c>
      <c r="B436" s="1">
        <v>43213</v>
      </c>
      <c r="C436" t="s">
        <v>259</v>
      </c>
      <c r="D436" t="s">
        <v>20</v>
      </c>
      <c r="E436" t="s">
        <v>21</v>
      </c>
      <c r="F436" s="12">
        <f t="shared" si="12"/>
        <v>4</v>
      </c>
      <c r="G436" s="5">
        <f t="shared" si="13"/>
        <v>2018</v>
      </c>
    </row>
    <row r="437" spans="1:7" x14ac:dyDescent="0.25">
      <c r="A437" t="s">
        <v>787</v>
      </c>
      <c r="B437" s="1">
        <v>43106</v>
      </c>
      <c r="C437" t="s">
        <v>788</v>
      </c>
      <c r="D437" t="s">
        <v>193</v>
      </c>
      <c r="E437" t="s">
        <v>193</v>
      </c>
      <c r="F437" s="12">
        <f t="shared" si="12"/>
        <v>1</v>
      </c>
      <c r="G437" s="5">
        <f t="shared" si="13"/>
        <v>2018</v>
      </c>
    </row>
    <row r="438" spans="1:7" x14ac:dyDescent="0.25">
      <c r="A438" t="s">
        <v>789</v>
      </c>
      <c r="B438" s="1">
        <v>43163</v>
      </c>
      <c r="C438" t="s">
        <v>690</v>
      </c>
      <c r="D438" t="s">
        <v>20</v>
      </c>
      <c r="E438" t="s">
        <v>21</v>
      </c>
      <c r="F438" s="12">
        <f t="shared" si="12"/>
        <v>3</v>
      </c>
      <c r="G438" s="5">
        <f t="shared" si="13"/>
        <v>2018</v>
      </c>
    </row>
    <row r="439" spans="1:7" x14ac:dyDescent="0.25">
      <c r="A439" t="s">
        <v>790</v>
      </c>
      <c r="B439" s="1">
        <v>43176</v>
      </c>
      <c r="C439" t="s">
        <v>632</v>
      </c>
      <c r="D439" t="s">
        <v>140</v>
      </c>
      <c r="E439" t="s">
        <v>141</v>
      </c>
      <c r="F439" s="12">
        <f t="shared" si="12"/>
        <v>3</v>
      </c>
      <c r="G439" s="5">
        <f t="shared" si="13"/>
        <v>2018</v>
      </c>
    </row>
    <row r="440" spans="1:7" x14ac:dyDescent="0.25">
      <c r="A440" t="s">
        <v>791</v>
      </c>
      <c r="B440" s="1">
        <v>43151</v>
      </c>
      <c r="C440" t="s">
        <v>497</v>
      </c>
      <c r="D440" t="s">
        <v>81</v>
      </c>
      <c r="E440" t="s">
        <v>82</v>
      </c>
      <c r="F440" s="12">
        <f t="shared" si="12"/>
        <v>2</v>
      </c>
      <c r="G440" s="5">
        <f t="shared" si="13"/>
        <v>2018</v>
      </c>
    </row>
    <row r="441" spans="1:7" x14ac:dyDescent="0.25">
      <c r="A441" t="s">
        <v>792</v>
      </c>
      <c r="B441" s="1">
        <v>43119</v>
      </c>
      <c r="C441" t="s">
        <v>793</v>
      </c>
      <c r="D441" t="s">
        <v>16</v>
      </c>
      <c r="E441" t="s">
        <v>17</v>
      </c>
      <c r="F441" s="12">
        <f t="shared" si="12"/>
        <v>1</v>
      </c>
      <c r="G441" s="5">
        <f t="shared" si="13"/>
        <v>2018</v>
      </c>
    </row>
    <row r="442" spans="1:7" x14ac:dyDescent="0.25">
      <c r="A442" t="s">
        <v>794</v>
      </c>
      <c r="B442" s="1">
        <v>43460</v>
      </c>
      <c r="C442" t="s">
        <v>795</v>
      </c>
      <c r="D442" t="s">
        <v>40</v>
      </c>
      <c r="E442" t="s">
        <v>41</v>
      </c>
      <c r="F442" s="12">
        <f t="shared" si="12"/>
        <v>12</v>
      </c>
      <c r="G442" s="5">
        <f t="shared" si="13"/>
        <v>2018</v>
      </c>
    </row>
    <row r="443" spans="1:7" x14ac:dyDescent="0.25">
      <c r="A443" t="s">
        <v>796</v>
      </c>
      <c r="B443" s="1">
        <v>43420</v>
      </c>
      <c r="C443" t="s">
        <v>511</v>
      </c>
      <c r="D443" t="s">
        <v>61</v>
      </c>
      <c r="E443" t="s">
        <v>62</v>
      </c>
      <c r="F443" s="12">
        <f t="shared" si="12"/>
        <v>11</v>
      </c>
      <c r="G443" s="5">
        <f t="shared" si="13"/>
        <v>2018</v>
      </c>
    </row>
    <row r="444" spans="1:7" x14ac:dyDescent="0.25">
      <c r="A444" t="s">
        <v>797</v>
      </c>
      <c r="B444" s="1">
        <v>43196</v>
      </c>
      <c r="C444" t="s">
        <v>697</v>
      </c>
      <c r="D444" t="s">
        <v>156</v>
      </c>
      <c r="E444" t="s">
        <v>157</v>
      </c>
      <c r="F444" s="12">
        <f t="shared" si="12"/>
        <v>4</v>
      </c>
      <c r="G444" s="5">
        <f t="shared" si="13"/>
        <v>2018</v>
      </c>
    </row>
    <row r="445" spans="1:7" x14ac:dyDescent="0.25">
      <c r="A445" t="s">
        <v>798</v>
      </c>
      <c r="B445" s="1">
        <v>43351</v>
      </c>
      <c r="C445" t="s">
        <v>799</v>
      </c>
      <c r="D445" t="s">
        <v>97</v>
      </c>
      <c r="E445" t="s">
        <v>69</v>
      </c>
      <c r="F445" s="12">
        <f t="shared" si="12"/>
        <v>9</v>
      </c>
      <c r="G445" s="5">
        <f t="shared" si="13"/>
        <v>2018</v>
      </c>
    </row>
    <row r="446" spans="1:7" x14ac:dyDescent="0.25">
      <c r="A446" t="s">
        <v>800</v>
      </c>
      <c r="B446" s="1">
        <v>43135</v>
      </c>
      <c r="C446" t="s">
        <v>801</v>
      </c>
      <c r="D446" t="s">
        <v>100</v>
      </c>
      <c r="E446" t="s">
        <v>101</v>
      </c>
      <c r="F446" s="12">
        <f t="shared" si="12"/>
        <v>2</v>
      </c>
      <c r="G446" s="5">
        <f t="shared" si="13"/>
        <v>2018</v>
      </c>
    </row>
    <row r="447" spans="1:7" x14ac:dyDescent="0.25">
      <c r="A447" t="s">
        <v>802</v>
      </c>
      <c r="B447" s="1">
        <v>43174</v>
      </c>
      <c r="C447" t="s">
        <v>556</v>
      </c>
      <c r="D447" t="s">
        <v>193</v>
      </c>
      <c r="E447" t="s">
        <v>193</v>
      </c>
      <c r="F447" s="12">
        <f t="shared" si="12"/>
        <v>3</v>
      </c>
      <c r="G447" s="5">
        <f t="shared" si="13"/>
        <v>2018</v>
      </c>
    </row>
    <row r="448" spans="1:7" x14ac:dyDescent="0.25">
      <c r="A448" t="s">
        <v>803</v>
      </c>
      <c r="B448" s="1">
        <v>43298</v>
      </c>
      <c r="C448" t="s">
        <v>804</v>
      </c>
      <c r="D448" t="s">
        <v>61</v>
      </c>
      <c r="E448" t="s">
        <v>62</v>
      </c>
      <c r="F448" s="12">
        <f t="shared" si="12"/>
        <v>7</v>
      </c>
      <c r="G448" s="5">
        <f t="shared" si="13"/>
        <v>2018</v>
      </c>
    </row>
    <row r="449" spans="1:7" x14ac:dyDescent="0.25">
      <c r="A449" t="s">
        <v>805</v>
      </c>
      <c r="B449" s="1">
        <v>43352</v>
      </c>
      <c r="C449" t="s">
        <v>806</v>
      </c>
      <c r="D449" t="s">
        <v>16</v>
      </c>
      <c r="E449" t="s">
        <v>17</v>
      </c>
      <c r="F449" s="12">
        <f t="shared" si="12"/>
        <v>9</v>
      </c>
      <c r="G449" s="5">
        <f t="shared" si="13"/>
        <v>2018</v>
      </c>
    </row>
    <row r="450" spans="1:7" x14ac:dyDescent="0.25">
      <c r="A450" t="s">
        <v>807</v>
      </c>
      <c r="B450" s="1">
        <v>43153</v>
      </c>
      <c r="C450" t="s">
        <v>374</v>
      </c>
      <c r="D450" t="s">
        <v>100</v>
      </c>
      <c r="E450" t="s">
        <v>170</v>
      </c>
      <c r="F450" s="12">
        <f t="shared" si="12"/>
        <v>2</v>
      </c>
      <c r="G450" s="5">
        <f t="shared" si="13"/>
        <v>2018</v>
      </c>
    </row>
    <row r="451" spans="1:7" x14ac:dyDescent="0.25">
      <c r="A451" t="s">
        <v>808</v>
      </c>
      <c r="B451" s="1">
        <v>43281</v>
      </c>
      <c r="C451" t="s">
        <v>229</v>
      </c>
      <c r="D451" t="s">
        <v>20</v>
      </c>
      <c r="E451" t="s">
        <v>21</v>
      </c>
      <c r="F451" s="12">
        <f t="shared" ref="F451:F501" si="14">MONTH(B451)</f>
        <v>6</v>
      </c>
      <c r="G451" s="5">
        <f t="shared" ref="G451:G501" si="15">YEAR(B451)</f>
        <v>2018</v>
      </c>
    </row>
    <row r="452" spans="1:7" x14ac:dyDescent="0.25">
      <c r="A452" t="s">
        <v>809</v>
      </c>
      <c r="B452" s="1">
        <v>43214</v>
      </c>
      <c r="C452" t="s">
        <v>65</v>
      </c>
      <c r="D452" t="s">
        <v>57</v>
      </c>
      <c r="E452" t="s">
        <v>58</v>
      </c>
      <c r="F452" s="12">
        <f t="shared" si="14"/>
        <v>4</v>
      </c>
      <c r="G452" s="5">
        <f t="shared" si="15"/>
        <v>2018</v>
      </c>
    </row>
    <row r="453" spans="1:7" x14ac:dyDescent="0.25">
      <c r="A453" t="s">
        <v>810</v>
      </c>
      <c r="B453" s="1">
        <v>43309</v>
      </c>
      <c r="C453" t="s">
        <v>811</v>
      </c>
      <c r="D453" t="s">
        <v>16</v>
      </c>
      <c r="E453" t="s">
        <v>17</v>
      </c>
      <c r="F453" s="12">
        <f t="shared" si="14"/>
        <v>7</v>
      </c>
      <c r="G453" s="5">
        <f t="shared" si="15"/>
        <v>2018</v>
      </c>
    </row>
    <row r="454" spans="1:7" x14ac:dyDescent="0.25">
      <c r="A454" t="s">
        <v>812</v>
      </c>
      <c r="B454" s="1">
        <v>43223</v>
      </c>
      <c r="C454" t="s">
        <v>293</v>
      </c>
      <c r="D454" t="s">
        <v>75</v>
      </c>
      <c r="E454" t="s">
        <v>76</v>
      </c>
      <c r="F454" s="12">
        <f t="shared" si="14"/>
        <v>5</v>
      </c>
      <c r="G454" s="5">
        <f t="shared" si="15"/>
        <v>2018</v>
      </c>
    </row>
    <row r="455" spans="1:7" x14ac:dyDescent="0.25">
      <c r="A455" t="s">
        <v>813</v>
      </c>
      <c r="B455" s="1">
        <v>43366</v>
      </c>
      <c r="C455" t="s">
        <v>814</v>
      </c>
      <c r="D455" t="s">
        <v>57</v>
      </c>
      <c r="E455" t="s">
        <v>58</v>
      </c>
      <c r="F455" s="12">
        <f t="shared" si="14"/>
        <v>9</v>
      </c>
      <c r="G455" s="5">
        <f t="shared" si="15"/>
        <v>2018</v>
      </c>
    </row>
    <row r="456" spans="1:7" x14ac:dyDescent="0.25">
      <c r="A456" t="s">
        <v>815</v>
      </c>
      <c r="B456" s="1">
        <v>43282</v>
      </c>
      <c r="C456" t="s">
        <v>816</v>
      </c>
      <c r="D456" t="s">
        <v>20</v>
      </c>
      <c r="E456" t="s">
        <v>21</v>
      </c>
      <c r="F456" s="12">
        <f t="shared" si="14"/>
        <v>7</v>
      </c>
      <c r="G456" s="5">
        <f t="shared" si="15"/>
        <v>2018</v>
      </c>
    </row>
    <row r="457" spans="1:7" x14ac:dyDescent="0.25">
      <c r="A457" t="s">
        <v>817</v>
      </c>
      <c r="B457" s="1">
        <v>43449</v>
      </c>
      <c r="C457" t="s">
        <v>818</v>
      </c>
      <c r="D457" t="s">
        <v>20</v>
      </c>
      <c r="E457" t="s">
        <v>72</v>
      </c>
      <c r="F457" s="12">
        <f t="shared" si="14"/>
        <v>12</v>
      </c>
      <c r="G457" s="5">
        <f t="shared" si="15"/>
        <v>2018</v>
      </c>
    </row>
    <row r="458" spans="1:7" x14ac:dyDescent="0.25">
      <c r="A458" t="s">
        <v>819</v>
      </c>
      <c r="B458" s="1">
        <v>43350</v>
      </c>
      <c r="C458" t="s">
        <v>820</v>
      </c>
      <c r="D458" t="s">
        <v>68</v>
      </c>
      <c r="E458" t="s">
        <v>69</v>
      </c>
      <c r="F458" s="12">
        <f t="shared" si="14"/>
        <v>9</v>
      </c>
      <c r="G458" s="5">
        <f t="shared" si="15"/>
        <v>2018</v>
      </c>
    </row>
    <row r="459" spans="1:7" x14ac:dyDescent="0.25">
      <c r="A459" t="s">
        <v>821</v>
      </c>
      <c r="B459" s="1">
        <v>43159</v>
      </c>
      <c r="C459" t="s">
        <v>822</v>
      </c>
      <c r="D459" t="s">
        <v>61</v>
      </c>
      <c r="E459" t="s">
        <v>62</v>
      </c>
      <c r="F459" s="12">
        <f t="shared" si="14"/>
        <v>2</v>
      </c>
      <c r="G459" s="5">
        <f t="shared" si="15"/>
        <v>2018</v>
      </c>
    </row>
    <row r="460" spans="1:7" x14ac:dyDescent="0.25">
      <c r="A460" t="s">
        <v>823</v>
      </c>
      <c r="B460" s="1">
        <v>43383</v>
      </c>
      <c r="C460" t="s">
        <v>243</v>
      </c>
      <c r="D460" t="s">
        <v>81</v>
      </c>
      <c r="E460" t="s">
        <v>82</v>
      </c>
      <c r="F460" s="12">
        <f t="shared" si="14"/>
        <v>10</v>
      </c>
      <c r="G460" s="5">
        <f t="shared" si="15"/>
        <v>2018</v>
      </c>
    </row>
    <row r="461" spans="1:7" x14ac:dyDescent="0.25">
      <c r="A461" t="s">
        <v>824</v>
      </c>
      <c r="B461" s="1">
        <v>43391</v>
      </c>
      <c r="C461" t="s">
        <v>825</v>
      </c>
      <c r="D461" t="s">
        <v>104</v>
      </c>
      <c r="E461" t="s">
        <v>105</v>
      </c>
      <c r="F461" s="12">
        <f t="shared" si="14"/>
        <v>10</v>
      </c>
      <c r="G461" s="5">
        <f t="shared" si="15"/>
        <v>2018</v>
      </c>
    </row>
    <row r="462" spans="1:7" x14ac:dyDescent="0.25">
      <c r="A462" t="s">
        <v>826</v>
      </c>
      <c r="B462" s="1">
        <v>43180</v>
      </c>
      <c r="C462" t="s">
        <v>827</v>
      </c>
      <c r="D462" t="s">
        <v>16</v>
      </c>
      <c r="E462" t="s">
        <v>27</v>
      </c>
      <c r="F462" s="12">
        <f t="shared" si="14"/>
        <v>3</v>
      </c>
      <c r="G462" s="5">
        <f t="shared" si="15"/>
        <v>2018</v>
      </c>
    </row>
    <row r="463" spans="1:7" x14ac:dyDescent="0.25">
      <c r="A463" t="s">
        <v>828</v>
      </c>
      <c r="B463" s="1">
        <v>43358</v>
      </c>
      <c r="C463" t="s">
        <v>359</v>
      </c>
      <c r="D463" t="s">
        <v>20</v>
      </c>
      <c r="E463" t="s">
        <v>21</v>
      </c>
      <c r="F463" s="12">
        <f t="shared" si="14"/>
        <v>9</v>
      </c>
      <c r="G463" s="5">
        <f t="shared" si="15"/>
        <v>2018</v>
      </c>
    </row>
    <row r="464" spans="1:7" x14ac:dyDescent="0.25">
      <c r="A464" t="s">
        <v>829</v>
      </c>
      <c r="B464" s="1">
        <v>43163</v>
      </c>
      <c r="C464" t="s">
        <v>329</v>
      </c>
      <c r="D464" t="s">
        <v>16</v>
      </c>
      <c r="E464" t="s">
        <v>17</v>
      </c>
      <c r="F464" s="12">
        <f t="shared" si="14"/>
        <v>3</v>
      </c>
      <c r="G464" s="5">
        <f t="shared" si="15"/>
        <v>2018</v>
      </c>
    </row>
    <row r="465" spans="1:7" x14ac:dyDescent="0.25">
      <c r="A465" t="s">
        <v>830</v>
      </c>
      <c r="B465" s="1">
        <v>43266</v>
      </c>
      <c r="C465" t="s">
        <v>831</v>
      </c>
      <c r="D465" t="s">
        <v>20</v>
      </c>
      <c r="E465" t="s">
        <v>21</v>
      </c>
      <c r="F465" s="12">
        <f t="shared" si="14"/>
        <v>6</v>
      </c>
      <c r="G465" s="5">
        <f t="shared" si="15"/>
        <v>2018</v>
      </c>
    </row>
    <row r="466" spans="1:7" x14ac:dyDescent="0.25">
      <c r="A466" t="s">
        <v>832</v>
      </c>
      <c r="B466" s="1">
        <v>43282</v>
      </c>
      <c r="C466" t="s">
        <v>833</v>
      </c>
      <c r="D466" t="s">
        <v>193</v>
      </c>
      <c r="E466" t="s">
        <v>193</v>
      </c>
      <c r="F466" s="12">
        <f t="shared" si="14"/>
        <v>7</v>
      </c>
      <c r="G466" s="5">
        <f t="shared" si="15"/>
        <v>2018</v>
      </c>
    </row>
    <row r="467" spans="1:7" x14ac:dyDescent="0.25">
      <c r="A467" t="s">
        <v>834</v>
      </c>
      <c r="B467" s="1">
        <v>43312</v>
      </c>
      <c r="C467" t="s">
        <v>835</v>
      </c>
      <c r="D467" t="s">
        <v>16</v>
      </c>
      <c r="E467" t="s">
        <v>17</v>
      </c>
      <c r="F467" s="12">
        <f t="shared" si="14"/>
        <v>7</v>
      </c>
      <c r="G467" s="5">
        <f t="shared" si="15"/>
        <v>2018</v>
      </c>
    </row>
    <row r="468" spans="1:7" x14ac:dyDescent="0.25">
      <c r="A468" t="s">
        <v>836</v>
      </c>
      <c r="B468" s="1">
        <v>43296</v>
      </c>
      <c r="C468" t="s">
        <v>837</v>
      </c>
      <c r="D468" t="s">
        <v>68</v>
      </c>
      <c r="E468" t="s">
        <v>69</v>
      </c>
      <c r="F468" s="12">
        <f t="shared" si="14"/>
        <v>7</v>
      </c>
      <c r="G468" s="5">
        <f t="shared" si="15"/>
        <v>2018</v>
      </c>
    </row>
    <row r="469" spans="1:7" x14ac:dyDescent="0.25">
      <c r="A469" t="s">
        <v>838</v>
      </c>
      <c r="B469" s="1">
        <v>43445</v>
      </c>
      <c r="C469" t="s">
        <v>839</v>
      </c>
      <c r="D469" t="s">
        <v>20</v>
      </c>
      <c r="E469" t="s">
        <v>72</v>
      </c>
      <c r="F469" s="12">
        <f t="shared" si="14"/>
        <v>12</v>
      </c>
      <c r="G469" s="5">
        <f t="shared" si="15"/>
        <v>2018</v>
      </c>
    </row>
    <row r="470" spans="1:7" x14ac:dyDescent="0.25">
      <c r="A470" t="s">
        <v>840</v>
      </c>
      <c r="B470" s="1">
        <v>43293</v>
      </c>
      <c r="C470" t="s">
        <v>647</v>
      </c>
      <c r="D470" t="s">
        <v>20</v>
      </c>
      <c r="E470" t="s">
        <v>21</v>
      </c>
      <c r="F470" s="12">
        <f t="shared" si="14"/>
        <v>7</v>
      </c>
      <c r="G470" s="5">
        <f t="shared" si="15"/>
        <v>2018</v>
      </c>
    </row>
    <row r="471" spans="1:7" x14ac:dyDescent="0.25">
      <c r="A471" t="s">
        <v>841</v>
      </c>
      <c r="B471" s="1">
        <v>43144</v>
      </c>
      <c r="C471" t="s">
        <v>137</v>
      </c>
      <c r="D471" t="s">
        <v>20</v>
      </c>
      <c r="E471" t="s">
        <v>72</v>
      </c>
      <c r="F471" s="12">
        <f t="shared" si="14"/>
        <v>2</v>
      </c>
      <c r="G471" s="5">
        <f t="shared" si="15"/>
        <v>2018</v>
      </c>
    </row>
    <row r="472" spans="1:7" x14ac:dyDescent="0.25">
      <c r="A472" t="s">
        <v>842</v>
      </c>
      <c r="B472" s="1">
        <v>43161</v>
      </c>
      <c r="C472" t="s">
        <v>441</v>
      </c>
      <c r="D472" t="s">
        <v>193</v>
      </c>
      <c r="E472" t="s">
        <v>193</v>
      </c>
      <c r="F472" s="12">
        <f t="shared" si="14"/>
        <v>3</v>
      </c>
      <c r="G472" s="5">
        <f t="shared" si="15"/>
        <v>2018</v>
      </c>
    </row>
    <row r="473" spans="1:7" x14ac:dyDescent="0.25">
      <c r="A473" t="s">
        <v>843</v>
      </c>
      <c r="B473" s="1">
        <v>43225</v>
      </c>
      <c r="C473" t="s">
        <v>844</v>
      </c>
      <c r="D473" t="s">
        <v>97</v>
      </c>
      <c r="E473" t="s">
        <v>69</v>
      </c>
      <c r="F473" s="12">
        <f t="shared" si="14"/>
        <v>5</v>
      </c>
      <c r="G473" s="5">
        <f t="shared" si="15"/>
        <v>2018</v>
      </c>
    </row>
    <row r="474" spans="1:7" x14ac:dyDescent="0.25">
      <c r="A474" t="s">
        <v>845</v>
      </c>
      <c r="B474" s="1">
        <v>43234</v>
      </c>
      <c r="C474" t="s">
        <v>572</v>
      </c>
      <c r="D474" t="s">
        <v>100</v>
      </c>
      <c r="E474" t="s">
        <v>170</v>
      </c>
      <c r="F474" s="12">
        <f t="shared" si="14"/>
        <v>5</v>
      </c>
      <c r="G474" s="5">
        <f t="shared" si="15"/>
        <v>2018</v>
      </c>
    </row>
    <row r="475" spans="1:7" x14ac:dyDescent="0.25">
      <c r="A475" t="s">
        <v>846</v>
      </c>
      <c r="B475" s="1">
        <v>43248</v>
      </c>
      <c r="C475" t="s">
        <v>847</v>
      </c>
      <c r="D475" t="s">
        <v>32</v>
      </c>
      <c r="E475" t="s">
        <v>33</v>
      </c>
      <c r="F475" s="12">
        <f t="shared" si="14"/>
        <v>5</v>
      </c>
      <c r="G475" s="5">
        <f t="shared" si="15"/>
        <v>2018</v>
      </c>
    </row>
    <row r="476" spans="1:7" x14ac:dyDescent="0.25">
      <c r="A476" t="s">
        <v>848</v>
      </c>
      <c r="B476" s="1">
        <v>43212</v>
      </c>
      <c r="C476" t="s">
        <v>316</v>
      </c>
      <c r="D476" t="s">
        <v>104</v>
      </c>
      <c r="E476" t="s">
        <v>105</v>
      </c>
      <c r="F476" s="12">
        <f t="shared" si="14"/>
        <v>4</v>
      </c>
      <c r="G476" s="5">
        <f t="shared" si="15"/>
        <v>2018</v>
      </c>
    </row>
    <row r="477" spans="1:7" x14ac:dyDescent="0.25">
      <c r="A477" t="s">
        <v>849</v>
      </c>
      <c r="B477" s="1">
        <v>43432</v>
      </c>
      <c r="C477" t="s">
        <v>850</v>
      </c>
      <c r="D477" t="s">
        <v>16</v>
      </c>
      <c r="E477" t="s">
        <v>17</v>
      </c>
      <c r="F477" s="12">
        <f t="shared" si="14"/>
        <v>11</v>
      </c>
      <c r="G477" s="5">
        <f t="shared" si="15"/>
        <v>2018</v>
      </c>
    </row>
    <row r="478" spans="1:7" x14ac:dyDescent="0.25">
      <c r="A478" t="s">
        <v>851</v>
      </c>
      <c r="B478" s="1">
        <v>43217</v>
      </c>
      <c r="C478" t="s">
        <v>139</v>
      </c>
      <c r="D478" t="s">
        <v>140</v>
      </c>
      <c r="E478" t="s">
        <v>141</v>
      </c>
      <c r="F478" s="12">
        <f t="shared" si="14"/>
        <v>4</v>
      </c>
      <c r="G478" s="5">
        <f t="shared" si="15"/>
        <v>2018</v>
      </c>
    </row>
    <row r="479" spans="1:7" x14ac:dyDescent="0.25">
      <c r="A479" t="s">
        <v>852</v>
      </c>
      <c r="B479" s="1">
        <v>43405</v>
      </c>
      <c r="C479" t="s">
        <v>853</v>
      </c>
      <c r="D479" t="s">
        <v>16</v>
      </c>
      <c r="E479" t="s">
        <v>17</v>
      </c>
      <c r="F479" s="12">
        <f t="shared" si="14"/>
        <v>11</v>
      </c>
      <c r="G479" s="5">
        <f t="shared" si="15"/>
        <v>2018</v>
      </c>
    </row>
    <row r="480" spans="1:7" x14ac:dyDescent="0.25">
      <c r="A480" t="s">
        <v>854</v>
      </c>
      <c r="B480" s="1">
        <v>43127</v>
      </c>
      <c r="C480" t="s">
        <v>229</v>
      </c>
      <c r="D480" t="s">
        <v>100</v>
      </c>
      <c r="E480" t="s">
        <v>101</v>
      </c>
      <c r="F480" s="12">
        <f t="shared" si="14"/>
        <v>1</v>
      </c>
      <c r="G480" s="5">
        <f t="shared" si="15"/>
        <v>2018</v>
      </c>
    </row>
    <row r="481" spans="1:7" x14ac:dyDescent="0.25">
      <c r="A481" t="s">
        <v>855</v>
      </c>
      <c r="B481" s="1">
        <v>43144</v>
      </c>
      <c r="C481" t="s">
        <v>827</v>
      </c>
      <c r="D481" t="s">
        <v>16</v>
      </c>
      <c r="E481" t="s">
        <v>27</v>
      </c>
      <c r="F481" s="12">
        <f t="shared" si="14"/>
        <v>2</v>
      </c>
      <c r="G481" s="5">
        <f t="shared" si="15"/>
        <v>2018</v>
      </c>
    </row>
    <row r="482" spans="1:7" x14ac:dyDescent="0.25">
      <c r="A482" t="s">
        <v>856</v>
      </c>
      <c r="B482" s="1">
        <v>43151</v>
      </c>
      <c r="C482" t="s">
        <v>461</v>
      </c>
      <c r="D482" t="s">
        <v>40</v>
      </c>
      <c r="E482" t="s">
        <v>54</v>
      </c>
      <c r="F482" s="12">
        <f t="shared" si="14"/>
        <v>2</v>
      </c>
      <c r="G482" s="5">
        <f t="shared" si="15"/>
        <v>2018</v>
      </c>
    </row>
    <row r="483" spans="1:7" x14ac:dyDescent="0.25">
      <c r="A483" t="s">
        <v>857</v>
      </c>
      <c r="B483" s="1">
        <v>43178</v>
      </c>
      <c r="C483" t="s">
        <v>542</v>
      </c>
      <c r="D483" t="s">
        <v>156</v>
      </c>
      <c r="E483" t="s">
        <v>157</v>
      </c>
      <c r="F483" s="12">
        <f t="shared" si="14"/>
        <v>3</v>
      </c>
      <c r="G483" s="5">
        <f t="shared" si="15"/>
        <v>2018</v>
      </c>
    </row>
    <row r="484" spans="1:7" x14ac:dyDescent="0.25">
      <c r="A484" t="s">
        <v>858</v>
      </c>
      <c r="B484" s="1">
        <v>43221</v>
      </c>
      <c r="C484" t="s">
        <v>428</v>
      </c>
      <c r="D484" t="s">
        <v>57</v>
      </c>
      <c r="E484" t="s">
        <v>58</v>
      </c>
      <c r="F484" s="12">
        <f t="shared" si="14"/>
        <v>5</v>
      </c>
      <c r="G484" s="5">
        <f t="shared" si="15"/>
        <v>2018</v>
      </c>
    </row>
    <row r="485" spans="1:7" x14ac:dyDescent="0.25">
      <c r="A485" t="s">
        <v>859</v>
      </c>
      <c r="B485" s="1">
        <v>43253</v>
      </c>
      <c r="C485" t="s">
        <v>540</v>
      </c>
      <c r="D485" t="s">
        <v>140</v>
      </c>
      <c r="E485" t="s">
        <v>141</v>
      </c>
      <c r="F485" s="12">
        <f t="shared" si="14"/>
        <v>6</v>
      </c>
      <c r="G485" s="5">
        <f t="shared" si="15"/>
        <v>2018</v>
      </c>
    </row>
    <row r="486" spans="1:7" x14ac:dyDescent="0.25">
      <c r="A486" t="s">
        <v>860</v>
      </c>
      <c r="B486" s="1">
        <v>43335</v>
      </c>
      <c r="C486" t="s">
        <v>384</v>
      </c>
      <c r="D486" t="s">
        <v>304</v>
      </c>
      <c r="E486" t="s">
        <v>305</v>
      </c>
      <c r="F486" s="12">
        <f t="shared" si="14"/>
        <v>8</v>
      </c>
      <c r="G486" s="5">
        <f t="shared" si="15"/>
        <v>2018</v>
      </c>
    </row>
    <row r="487" spans="1:7" x14ac:dyDescent="0.25">
      <c r="A487" t="s">
        <v>861</v>
      </c>
      <c r="B487" s="1">
        <v>43171</v>
      </c>
      <c r="C487" t="s">
        <v>844</v>
      </c>
      <c r="D487" t="s">
        <v>97</v>
      </c>
      <c r="E487" t="s">
        <v>69</v>
      </c>
      <c r="F487" s="12">
        <f t="shared" si="14"/>
        <v>3</v>
      </c>
      <c r="G487" s="5">
        <f t="shared" si="15"/>
        <v>2018</v>
      </c>
    </row>
    <row r="488" spans="1:7" x14ac:dyDescent="0.25">
      <c r="A488" t="s">
        <v>862</v>
      </c>
      <c r="B488" s="1">
        <v>43215</v>
      </c>
      <c r="C488" t="s">
        <v>822</v>
      </c>
      <c r="D488" t="s">
        <v>61</v>
      </c>
      <c r="E488" t="s">
        <v>62</v>
      </c>
      <c r="F488" s="12">
        <f t="shared" si="14"/>
        <v>4</v>
      </c>
      <c r="G488" s="5">
        <f t="shared" si="15"/>
        <v>2018</v>
      </c>
    </row>
    <row r="489" spans="1:7" x14ac:dyDescent="0.25">
      <c r="A489" t="s">
        <v>863</v>
      </c>
      <c r="B489" s="1">
        <v>43181</v>
      </c>
      <c r="C489" t="s">
        <v>425</v>
      </c>
      <c r="D489" t="s">
        <v>104</v>
      </c>
      <c r="E489" t="s">
        <v>105</v>
      </c>
      <c r="F489" s="12">
        <f t="shared" si="14"/>
        <v>3</v>
      </c>
      <c r="G489" s="5">
        <f t="shared" si="15"/>
        <v>2018</v>
      </c>
    </row>
    <row r="490" spans="1:7" x14ac:dyDescent="0.25">
      <c r="A490" t="s">
        <v>864</v>
      </c>
      <c r="B490" s="1">
        <v>43248</v>
      </c>
      <c r="C490" t="s">
        <v>182</v>
      </c>
      <c r="D490" t="s">
        <v>16</v>
      </c>
      <c r="E490" t="s">
        <v>27</v>
      </c>
      <c r="F490" s="12">
        <f t="shared" si="14"/>
        <v>5</v>
      </c>
      <c r="G490" s="5">
        <f t="shared" si="15"/>
        <v>2018</v>
      </c>
    </row>
    <row r="491" spans="1:7" x14ac:dyDescent="0.25">
      <c r="A491" t="s">
        <v>865</v>
      </c>
      <c r="B491" s="1">
        <v>43121</v>
      </c>
      <c r="C491" t="s">
        <v>866</v>
      </c>
      <c r="D491" t="s">
        <v>140</v>
      </c>
      <c r="E491" t="s">
        <v>141</v>
      </c>
      <c r="F491" s="12">
        <f t="shared" si="14"/>
        <v>1</v>
      </c>
      <c r="G491" s="5">
        <f t="shared" si="15"/>
        <v>2018</v>
      </c>
    </row>
    <row r="492" spans="1:7" x14ac:dyDescent="0.25">
      <c r="A492" t="s">
        <v>867</v>
      </c>
      <c r="B492" s="1">
        <v>43308</v>
      </c>
      <c r="C492" t="s">
        <v>868</v>
      </c>
      <c r="D492" t="s">
        <v>104</v>
      </c>
      <c r="E492" t="s">
        <v>105</v>
      </c>
      <c r="F492" s="12">
        <f t="shared" si="14"/>
        <v>7</v>
      </c>
      <c r="G492" s="5">
        <f t="shared" si="15"/>
        <v>2018</v>
      </c>
    </row>
    <row r="493" spans="1:7" x14ac:dyDescent="0.25">
      <c r="A493" t="s">
        <v>869</v>
      </c>
      <c r="B493" s="1">
        <v>43402</v>
      </c>
      <c r="C493" t="s">
        <v>870</v>
      </c>
      <c r="D493" t="s">
        <v>32</v>
      </c>
      <c r="E493" t="s">
        <v>33</v>
      </c>
      <c r="F493" s="12">
        <f t="shared" si="14"/>
        <v>10</v>
      </c>
      <c r="G493" s="5">
        <f t="shared" si="15"/>
        <v>2018</v>
      </c>
    </row>
    <row r="494" spans="1:7" x14ac:dyDescent="0.25">
      <c r="A494" t="s">
        <v>871</v>
      </c>
      <c r="B494" s="1">
        <v>43358</v>
      </c>
      <c r="C494" t="s">
        <v>872</v>
      </c>
      <c r="D494" t="s">
        <v>100</v>
      </c>
      <c r="E494" t="s">
        <v>170</v>
      </c>
      <c r="F494" s="12">
        <f t="shared" si="14"/>
        <v>9</v>
      </c>
      <c r="G494" s="5">
        <f t="shared" si="15"/>
        <v>2018</v>
      </c>
    </row>
    <row r="495" spans="1:7" x14ac:dyDescent="0.25">
      <c r="A495" t="s">
        <v>873</v>
      </c>
      <c r="B495" s="1">
        <v>43129</v>
      </c>
      <c r="C495" t="s">
        <v>874</v>
      </c>
      <c r="D495" t="s">
        <v>11</v>
      </c>
      <c r="E495" t="s">
        <v>11</v>
      </c>
      <c r="F495" s="12">
        <f t="shared" si="14"/>
        <v>1</v>
      </c>
      <c r="G495" s="5">
        <f t="shared" si="15"/>
        <v>2018</v>
      </c>
    </row>
    <row r="496" spans="1:7" x14ac:dyDescent="0.25">
      <c r="A496" t="s">
        <v>875</v>
      </c>
      <c r="B496" s="1">
        <v>43364</v>
      </c>
      <c r="C496" t="s">
        <v>876</v>
      </c>
      <c r="D496" t="s">
        <v>130</v>
      </c>
      <c r="E496" t="s">
        <v>131</v>
      </c>
      <c r="F496" s="12">
        <f t="shared" si="14"/>
        <v>9</v>
      </c>
      <c r="G496" s="5">
        <f t="shared" si="15"/>
        <v>2018</v>
      </c>
    </row>
    <row r="497" spans="1:7" x14ac:dyDescent="0.25">
      <c r="A497" t="s">
        <v>877</v>
      </c>
      <c r="B497" s="1">
        <v>43315</v>
      </c>
      <c r="C497" t="s">
        <v>878</v>
      </c>
      <c r="D497" t="s">
        <v>193</v>
      </c>
      <c r="E497" t="s">
        <v>193</v>
      </c>
      <c r="F497" s="12">
        <f t="shared" si="14"/>
        <v>8</v>
      </c>
      <c r="G497" s="5">
        <f t="shared" si="15"/>
        <v>2018</v>
      </c>
    </row>
    <row r="498" spans="1:7" x14ac:dyDescent="0.25">
      <c r="A498" t="s">
        <v>879</v>
      </c>
      <c r="B498" s="1">
        <v>43185</v>
      </c>
      <c r="C498" t="s">
        <v>617</v>
      </c>
      <c r="D498" t="s">
        <v>304</v>
      </c>
      <c r="E498" t="s">
        <v>305</v>
      </c>
      <c r="F498" s="12">
        <f t="shared" si="14"/>
        <v>3</v>
      </c>
      <c r="G498" s="5">
        <f t="shared" si="15"/>
        <v>2018</v>
      </c>
    </row>
    <row r="499" spans="1:7" x14ac:dyDescent="0.25">
      <c r="A499" t="s">
        <v>880</v>
      </c>
      <c r="B499" s="1">
        <v>43282</v>
      </c>
      <c r="C499" t="s">
        <v>683</v>
      </c>
      <c r="D499" t="s">
        <v>16</v>
      </c>
      <c r="E499" t="s">
        <v>17</v>
      </c>
      <c r="F499" s="12">
        <f t="shared" si="14"/>
        <v>7</v>
      </c>
      <c r="G499" s="5">
        <f t="shared" si="15"/>
        <v>2018</v>
      </c>
    </row>
    <row r="500" spans="1:7" x14ac:dyDescent="0.25">
      <c r="A500" t="s">
        <v>881</v>
      </c>
      <c r="B500" s="1">
        <v>43334</v>
      </c>
      <c r="C500" t="s">
        <v>314</v>
      </c>
      <c r="D500" t="s">
        <v>61</v>
      </c>
      <c r="E500" t="s">
        <v>62</v>
      </c>
      <c r="F500" s="12">
        <f t="shared" si="14"/>
        <v>8</v>
      </c>
      <c r="G500" s="5">
        <f t="shared" si="15"/>
        <v>2018</v>
      </c>
    </row>
    <row r="501" spans="1:7" x14ac:dyDescent="0.25">
      <c r="A501" t="s">
        <v>882</v>
      </c>
      <c r="B501" s="1">
        <v>43187</v>
      </c>
      <c r="C501" t="s">
        <v>374</v>
      </c>
      <c r="D501" t="s">
        <v>100</v>
      </c>
      <c r="E501" t="s">
        <v>170</v>
      </c>
      <c r="F501" s="12">
        <f t="shared" si="14"/>
        <v>3</v>
      </c>
      <c r="G501" s="5">
        <f t="shared" si="15"/>
        <v>2018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5A04D-6E01-48FA-820D-FB7ECF8E1094}">
  <dimension ref="A1:I1501"/>
  <sheetViews>
    <sheetView workbookViewId="0">
      <selection activeCell="E3" sqref="E3"/>
    </sheetView>
  </sheetViews>
  <sheetFormatPr defaultRowHeight="15" x14ac:dyDescent="0.25"/>
  <cols>
    <col min="5" max="5" width="10.5703125" bestFit="1" customWidth="1"/>
    <col min="6" max="6" width="16.28515625" bestFit="1" customWidth="1"/>
    <col min="7" max="7" width="14.140625" bestFit="1" customWidth="1"/>
    <col min="8" max="8" width="18.85546875" bestFit="1" customWidth="1"/>
    <col min="9" max="9" width="19.7109375" bestFit="1" customWidth="1"/>
  </cols>
  <sheetData>
    <row r="1" spans="1:9" s="2" customFormat="1" x14ac:dyDescent="0.25">
      <c r="A1" s="2" t="s">
        <v>0</v>
      </c>
      <c r="B1" s="2" t="s">
        <v>883</v>
      </c>
      <c r="C1" s="2" t="s">
        <v>884</v>
      </c>
      <c r="D1" s="2" t="s">
        <v>885</v>
      </c>
      <c r="E1" s="2" t="s">
        <v>886</v>
      </c>
      <c r="F1" s="2" t="s">
        <v>887</v>
      </c>
      <c r="G1" s="2" t="s">
        <v>888</v>
      </c>
      <c r="H1" s="19" t="s">
        <v>3</v>
      </c>
      <c r="I1" s="19" t="s">
        <v>4</v>
      </c>
    </row>
    <row r="2" spans="1:9" x14ac:dyDescent="0.25">
      <c r="A2" t="s">
        <v>87</v>
      </c>
      <c r="B2">
        <v>1096</v>
      </c>
      <c r="C2">
        <v>658</v>
      </c>
      <c r="D2">
        <v>7</v>
      </c>
      <c r="E2" t="s">
        <v>889</v>
      </c>
      <c r="F2" t="s">
        <v>890</v>
      </c>
      <c r="G2" t="s">
        <v>891</v>
      </c>
      <c r="H2" t="str">
        <f>VLOOKUP(A2,'Orders Dataset'!$A:$D,4,FALSE)</f>
        <v>Madhya Pradesh</v>
      </c>
      <c r="I2" t="str">
        <f>VLOOKUP(A2,'Orders Dataset'!$A:$E,5,FALSE)</f>
        <v>Indore</v>
      </c>
    </row>
    <row r="3" spans="1:9" x14ac:dyDescent="0.25">
      <c r="A3" t="s">
        <v>5</v>
      </c>
      <c r="B3">
        <v>5729</v>
      </c>
      <c r="C3">
        <v>64</v>
      </c>
      <c r="D3">
        <v>14</v>
      </c>
      <c r="E3" t="s">
        <v>892</v>
      </c>
      <c r="F3" t="s">
        <v>893</v>
      </c>
      <c r="G3" t="s">
        <v>894</v>
      </c>
      <c r="H3" s="3" t="str">
        <f>VLOOKUP(A3,'Orders Dataset'!$A:$D,4,FALSE)</f>
        <v>Uttar Pradesh</v>
      </c>
      <c r="I3" s="5" t="str">
        <f>VLOOKUP(A3,'Orders Dataset'!$A:$E,5,FALSE)</f>
        <v>Mathura</v>
      </c>
    </row>
    <row r="4" spans="1:9" x14ac:dyDescent="0.25">
      <c r="A4" t="s">
        <v>25</v>
      </c>
      <c r="B4">
        <v>2927</v>
      </c>
      <c r="C4">
        <v>146</v>
      </c>
      <c r="D4">
        <v>8</v>
      </c>
      <c r="E4" t="s">
        <v>892</v>
      </c>
      <c r="F4" t="s">
        <v>895</v>
      </c>
      <c r="G4" t="s">
        <v>894</v>
      </c>
      <c r="H4" s="3" t="str">
        <f>VLOOKUP(A4,'Orders Dataset'!$A:$D,4,FALSE)</f>
        <v>Maharashtra</v>
      </c>
      <c r="I4" s="5" t="str">
        <f>VLOOKUP(A4,'Orders Dataset'!$A:$E,5,FALSE)</f>
        <v>Pune</v>
      </c>
    </row>
    <row r="5" spans="1:9" x14ac:dyDescent="0.25">
      <c r="A5" t="s">
        <v>28</v>
      </c>
      <c r="B5">
        <v>2847</v>
      </c>
      <c r="C5">
        <v>712</v>
      </c>
      <c r="D5">
        <v>8</v>
      </c>
      <c r="E5" t="s">
        <v>889</v>
      </c>
      <c r="F5" t="s">
        <v>896</v>
      </c>
      <c r="G5" t="s">
        <v>897</v>
      </c>
      <c r="H5" s="3" t="str">
        <f>VLOOKUP(A5,'Orders Dataset'!$A:$D,4,FALSE)</f>
        <v>Maharashtra</v>
      </c>
      <c r="I5" s="5" t="str">
        <f>VLOOKUP(A5,'Orders Dataset'!$A:$E,5,FALSE)</f>
        <v>Pune</v>
      </c>
    </row>
    <row r="6" spans="1:9" x14ac:dyDescent="0.25">
      <c r="A6" t="s">
        <v>34</v>
      </c>
      <c r="B6">
        <v>2617</v>
      </c>
      <c r="C6">
        <v>1151</v>
      </c>
      <c r="D6">
        <v>4</v>
      </c>
      <c r="E6" t="s">
        <v>889</v>
      </c>
      <c r="F6" t="s">
        <v>898</v>
      </c>
      <c r="G6" t="s">
        <v>897</v>
      </c>
      <c r="H6" s="3" t="str">
        <f>VLOOKUP(A6,'Orders Dataset'!$A:$D,4,FALSE)</f>
        <v>Maharashtra</v>
      </c>
      <c r="I6" s="5" t="str">
        <f>VLOOKUP(A6,'Orders Dataset'!$A:$E,5,FALSE)</f>
        <v>Pune</v>
      </c>
    </row>
    <row r="7" spans="1:9" x14ac:dyDescent="0.25">
      <c r="A7" t="s">
        <v>46</v>
      </c>
      <c r="B7">
        <v>2244</v>
      </c>
      <c r="C7">
        <v>247</v>
      </c>
      <c r="D7">
        <v>4</v>
      </c>
      <c r="E7" t="s">
        <v>899</v>
      </c>
      <c r="F7" t="s">
        <v>900</v>
      </c>
      <c r="G7" t="s">
        <v>897</v>
      </c>
      <c r="H7" s="3" t="str">
        <f>VLOOKUP(A7,'Orders Dataset'!$A:$D,4,FALSE)</f>
        <v>Uttar Pradesh</v>
      </c>
      <c r="I7" s="5" t="str">
        <f>VLOOKUP(A7,'Orders Dataset'!$A:$E,5,FALSE)</f>
        <v>Mathura</v>
      </c>
    </row>
    <row r="8" spans="1:9" x14ac:dyDescent="0.25">
      <c r="A8" t="s">
        <v>239</v>
      </c>
      <c r="B8">
        <v>275</v>
      </c>
      <c r="C8">
        <v>-275</v>
      </c>
      <c r="D8">
        <v>4</v>
      </c>
      <c r="E8" t="s">
        <v>899</v>
      </c>
      <c r="F8" t="s">
        <v>901</v>
      </c>
      <c r="G8" t="s">
        <v>891</v>
      </c>
      <c r="H8" s="3" t="str">
        <f>VLOOKUP(A8,'Orders Dataset'!$A:$D,4,FALSE)</f>
        <v>Karnataka</v>
      </c>
      <c r="I8" s="5" t="str">
        <f>VLOOKUP(A8,'Orders Dataset'!$A:$E,5,FALSE)</f>
        <v>Bangalore</v>
      </c>
    </row>
    <row r="9" spans="1:9" x14ac:dyDescent="0.25">
      <c r="A9" t="s">
        <v>444</v>
      </c>
      <c r="B9">
        <v>387</v>
      </c>
      <c r="C9">
        <v>-213</v>
      </c>
      <c r="D9">
        <v>5</v>
      </c>
      <c r="E9" t="s">
        <v>899</v>
      </c>
      <c r="F9" t="s">
        <v>901</v>
      </c>
      <c r="G9" t="s">
        <v>902</v>
      </c>
      <c r="H9" s="3" t="str">
        <f>VLOOKUP(A9,'Orders Dataset'!$A:$D,4,FALSE)</f>
        <v>Maharashtra</v>
      </c>
      <c r="I9" s="5" t="str">
        <f>VLOOKUP(A9,'Orders Dataset'!$A:$E,5,FALSE)</f>
        <v>Mumbai</v>
      </c>
    </row>
    <row r="10" spans="1:9" x14ac:dyDescent="0.25">
      <c r="A10" t="s">
        <v>206</v>
      </c>
      <c r="B10">
        <v>50</v>
      </c>
      <c r="C10">
        <v>-44</v>
      </c>
      <c r="D10">
        <v>2</v>
      </c>
      <c r="E10" t="s">
        <v>899</v>
      </c>
      <c r="F10" t="s">
        <v>903</v>
      </c>
      <c r="G10" t="s">
        <v>902</v>
      </c>
      <c r="H10" s="3" t="str">
        <f>VLOOKUP(A10,'Orders Dataset'!$A:$D,4,FALSE)</f>
        <v>Jammu and Kashmir</v>
      </c>
      <c r="I10" s="5" t="str">
        <f>VLOOKUP(A10,'Orders Dataset'!$A:$E,5,FALSE)</f>
        <v>Kashmir</v>
      </c>
    </row>
    <row r="11" spans="1:9" x14ac:dyDescent="0.25">
      <c r="A11" t="s">
        <v>472</v>
      </c>
      <c r="B11">
        <v>135</v>
      </c>
      <c r="C11">
        <v>-54</v>
      </c>
      <c r="D11">
        <v>5</v>
      </c>
      <c r="E11" t="s">
        <v>899</v>
      </c>
      <c r="F11" t="s">
        <v>904</v>
      </c>
      <c r="G11" t="s">
        <v>891</v>
      </c>
      <c r="H11" s="3" t="str">
        <f>VLOOKUP(A11,'Orders Dataset'!$A:$D,4,FALSE)</f>
        <v>Nagaland</v>
      </c>
      <c r="I11" s="5" t="str">
        <f>VLOOKUP(A11,'Orders Dataset'!$A:$E,5,FALSE)</f>
        <v>Kohima</v>
      </c>
    </row>
    <row r="12" spans="1:9" x14ac:dyDescent="0.25">
      <c r="A12" t="s">
        <v>539</v>
      </c>
      <c r="B12">
        <v>231</v>
      </c>
      <c r="C12">
        <v>-190</v>
      </c>
      <c r="D12">
        <v>9</v>
      </c>
      <c r="E12" t="s">
        <v>899</v>
      </c>
      <c r="F12" t="s">
        <v>903</v>
      </c>
      <c r="G12" t="s">
        <v>891</v>
      </c>
      <c r="H12" s="3" t="str">
        <f>VLOOKUP(A12,'Orders Dataset'!$A:$D,4,FALSE)</f>
        <v>Madhya Pradesh</v>
      </c>
      <c r="I12" s="5" t="str">
        <f>VLOOKUP(A12,'Orders Dataset'!$A:$E,5,FALSE)</f>
        <v>Indore</v>
      </c>
    </row>
    <row r="13" spans="1:9" x14ac:dyDescent="0.25">
      <c r="A13" t="s">
        <v>49</v>
      </c>
      <c r="B13">
        <v>2125</v>
      </c>
      <c r="C13">
        <v>-234</v>
      </c>
      <c r="D13">
        <v>6</v>
      </c>
      <c r="E13" t="s">
        <v>889</v>
      </c>
      <c r="F13" t="s">
        <v>896</v>
      </c>
      <c r="G13" t="s">
        <v>894</v>
      </c>
      <c r="H13" s="3" t="str">
        <f>VLOOKUP(A13,'Orders Dataset'!$A:$D,4,FALSE)</f>
        <v>Uttar Pradesh</v>
      </c>
      <c r="I13" s="5" t="str">
        <f>VLOOKUP(A13,'Orders Dataset'!$A:$E,5,FALSE)</f>
        <v>Prayagraj</v>
      </c>
    </row>
    <row r="14" spans="1:9" x14ac:dyDescent="0.25">
      <c r="A14" t="s">
        <v>14</v>
      </c>
      <c r="B14">
        <v>3873</v>
      </c>
      <c r="C14">
        <v>-891</v>
      </c>
      <c r="D14">
        <v>6</v>
      </c>
      <c r="E14" t="s">
        <v>889</v>
      </c>
      <c r="F14" t="s">
        <v>898</v>
      </c>
      <c r="G14" t="s">
        <v>897</v>
      </c>
      <c r="H14" s="3" t="str">
        <f>VLOOKUP(A14,'Orders Dataset'!$A:$D,4,FALSE)</f>
        <v>Maharashtra</v>
      </c>
      <c r="I14" s="5" t="str">
        <f>VLOOKUP(A14,'Orders Dataset'!$A:$E,5,FALSE)</f>
        <v>Mumbai</v>
      </c>
    </row>
    <row r="15" spans="1:9" x14ac:dyDescent="0.25">
      <c r="A15" t="s">
        <v>297</v>
      </c>
      <c r="B15">
        <v>729</v>
      </c>
      <c r="C15">
        <v>-492</v>
      </c>
      <c r="D15">
        <v>5</v>
      </c>
      <c r="E15" t="s">
        <v>892</v>
      </c>
      <c r="F15" t="s">
        <v>895</v>
      </c>
      <c r="G15" t="s">
        <v>902</v>
      </c>
      <c r="H15" s="3" t="str">
        <f>VLOOKUP(A15,'Orders Dataset'!$A:$D,4,FALSE)</f>
        <v>Maharashtra</v>
      </c>
      <c r="I15" s="5" t="str">
        <f>VLOOKUP(A15,'Orders Dataset'!$A:$E,5,FALSE)</f>
        <v>Mumbai</v>
      </c>
    </row>
    <row r="16" spans="1:9" x14ac:dyDescent="0.25">
      <c r="A16" t="s">
        <v>48</v>
      </c>
      <c r="B16">
        <v>2188</v>
      </c>
      <c r="C16">
        <v>1050</v>
      </c>
      <c r="D16">
        <v>5</v>
      </c>
      <c r="E16" t="s">
        <v>892</v>
      </c>
      <c r="F16" t="s">
        <v>895</v>
      </c>
      <c r="G16" t="s">
        <v>897</v>
      </c>
      <c r="H16" s="3" t="str">
        <f>VLOOKUP(A16,'Orders Dataset'!$A:$D,4,FALSE)</f>
        <v>Uttar Pradesh</v>
      </c>
      <c r="I16" s="5" t="str">
        <f>VLOOKUP(A16,'Orders Dataset'!$A:$E,5,FALSE)</f>
        <v>Mathura</v>
      </c>
    </row>
    <row r="17" spans="1:9" x14ac:dyDescent="0.25">
      <c r="A17" t="s">
        <v>436</v>
      </c>
      <c r="B17">
        <v>6</v>
      </c>
      <c r="C17">
        <v>-3</v>
      </c>
      <c r="D17">
        <v>1</v>
      </c>
      <c r="E17" t="s">
        <v>899</v>
      </c>
      <c r="F17" t="s">
        <v>903</v>
      </c>
      <c r="G17" t="s">
        <v>902</v>
      </c>
      <c r="H17" s="3" t="str">
        <f>VLOOKUP(A17,'Orders Dataset'!$A:$D,4,FALSE)</f>
        <v>Madhya Pradesh</v>
      </c>
      <c r="I17" s="5" t="str">
        <f>VLOOKUP(A17,'Orders Dataset'!$A:$E,5,FALSE)</f>
        <v>Indore</v>
      </c>
    </row>
    <row r="18" spans="1:9" x14ac:dyDescent="0.25">
      <c r="A18" t="s">
        <v>63</v>
      </c>
      <c r="B18">
        <v>1854</v>
      </c>
      <c r="C18">
        <v>433</v>
      </c>
      <c r="D18">
        <v>5</v>
      </c>
      <c r="E18" t="s">
        <v>892</v>
      </c>
      <c r="F18" t="s">
        <v>895</v>
      </c>
      <c r="G18" t="s">
        <v>897</v>
      </c>
      <c r="H18" s="3" t="str">
        <f>VLOOKUP(A18,'Orders Dataset'!$A:$D,4,FALSE)</f>
        <v>Uttar Pradesh</v>
      </c>
      <c r="I18" s="5" t="str">
        <f>VLOOKUP(A18,'Orders Dataset'!$A:$E,5,FALSE)</f>
        <v>Mathura</v>
      </c>
    </row>
    <row r="19" spans="1:9" x14ac:dyDescent="0.25">
      <c r="A19" t="s">
        <v>882</v>
      </c>
      <c r="B19">
        <v>6</v>
      </c>
      <c r="C19">
        <v>1</v>
      </c>
      <c r="D19">
        <v>1</v>
      </c>
      <c r="E19" t="s">
        <v>899</v>
      </c>
      <c r="F19" t="s">
        <v>904</v>
      </c>
      <c r="G19" t="s">
        <v>902</v>
      </c>
      <c r="H19" s="3" t="str">
        <f>VLOOKUP(A19,'Orders Dataset'!$A:$D,4,FALSE)</f>
        <v>Rajasthan</v>
      </c>
      <c r="I19" s="5" t="str">
        <f>VLOOKUP(A19,'Orders Dataset'!$A:$E,5,FALSE)</f>
        <v>Jaipur</v>
      </c>
    </row>
    <row r="20" spans="1:9" x14ac:dyDescent="0.25">
      <c r="A20" t="s">
        <v>52</v>
      </c>
      <c r="B20">
        <v>2093</v>
      </c>
      <c r="C20">
        <v>721</v>
      </c>
      <c r="D20">
        <v>5</v>
      </c>
      <c r="E20" t="s">
        <v>892</v>
      </c>
      <c r="F20" t="s">
        <v>893</v>
      </c>
      <c r="G20" t="s">
        <v>897</v>
      </c>
      <c r="H20" s="3" t="str">
        <f>VLOOKUP(A20,'Orders Dataset'!$A:$D,4,FALSE)</f>
        <v>Gujarat</v>
      </c>
      <c r="I20" s="5" t="str">
        <f>VLOOKUP(A20,'Orders Dataset'!$A:$E,5,FALSE)</f>
        <v>Ahmedabad</v>
      </c>
    </row>
    <row r="21" spans="1:9" x14ac:dyDescent="0.25">
      <c r="A21" t="s">
        <v>720</v>
      </c>
      <c r="B21">
        <v>7</v>
      </c>
      <c r="C21">
        <v>-1</v>
      </c>
      <c r="D21">
        <v>2</v>
      </c>
      <c r="E21" t="s">
        <v>899</v>
      </c>
      <c r="F21" t="s">
        <v>905</v>
      </c>
      <c r="G21" t="s">
        <v>902</v>
      </c>
      <c r="H21" s="3" t="str">
        <f>VLOOKUP(A21,'Orders Dataset'!$A:$D,4,FALSE)</f>
        <v>Uttar Pradesh</v>
      </c>
      <c r="I21" s="5" t="str">
        <f>VLOOKUP(A21,'Orders Dataset'!$A:$E,5,FALSE)</f>
        <v>Lucknow</v>
      </c>
    </row>
    <row r="22" spans="1:9" x14ac:dyDescent="0.25">
      <c r="A22" t="s">
        <v>91</v>
      </c>
      <c r="B22">
        <v>1622</v>
      </c>
      <c r="C22">
        <v>-624</v>
      </c>
      <c r="D22">
        <v>5</v>
      </c>
      <c r="E22" t="s">
        <v>892</v>
      </c>
      <c r="F22" t="s">
        <v>906</v>
      </c>
      <c r="G22" t="s">
        <v>897</v>
      </c>
      <c r="H22" s="3" t="str">
        <f>VLOOKUP(A22,'Orders Dataset'!$A:$D,4,FALSE)</f>
        <v>Delhi</v>
      </c>
      <c r="I22" s="5" t="str">
        <f>VLOOKUP(A22,'Orders Dataset'!$A:$E,5,FALSE)</f>
        <v>Delhi</v>
      </c>
    </row>
    <row r="23" spans="1:9" x14ac:dyDescent="0.25">
      <c r="A23" t="s">
        <v>93</v>
      </c>
      <c r="B23">
        <v>1622</v>
      </c>
      <c r="C23">
        <v>95</v>
      </c>
      <c r="D23">
        <v>5</v>
      </c>
      <c r="E23" t="s">
        <v>889</v>
      </c>
      <c r="F23" t="s">
        <v>896</v>
      </c>
      <c r="G23" t="s">
        <v>897</v>
      </c>
      <c r="H23" s="3" t="str">
        <f>VLOOKUP(A23,'Orders Dataset'!$A:$D,4,FALSE)</f>
        <v>Madhya Pradesh</v>
      </c>
      <c r="I23" s="5" t="str">
        <f>VLOOKUP(A23,'Orders Dataset'!$A:$E,5,FALSE)</f>
        <v>Indore</v>
      </c>
    </row>
    <row r="24" spans="1:9" x14ac:dyDescent="0.25">
      <c r="A24" t="s">
        <v>454</v>
      </c>
      <c r="B24">
        <v>373</v>
      </c>
      <c r="C24">
        <v>254</v>
      </c>
      <c r="D24">
        <v>6</v>
      </c>
      <c r="E24" t="s">
        <v>889</v>
      </c>
      <c r="F24" t="s">
        <v>896</v>
      </c>
      <c r="G24" t="s">
        <v>902</v>
      </c>
      <c r="H24" s="3" t="str">
        <f>VLOOKUP(A24,'Orders Dataset'!$A:$D,4,FALSE)</f>
        <v>Andhra Pradesh</v>
      </c>
      <c r="I24" s="5" t="str">
        <f>VLOOKUP(A24,'Orders Dataset'!$A:$E,5,FALSE)</f>
        <v>Hyderabad</v>
      </c>
    </row>
    <row r="25" spans="1:9" x14ac:dyDescent="0.25">
      <c r="A25" t="s">
        <v>282</v>
      </c>
      <c r="B25">
        <v>82</v>
      </c>
      <c r="C25">
        <v>-33</v>
      </c>
      <c r="D25">
        <v>4</v>
      </c>
      <c r="E25" t="s">
        <v>899</v>
      </c>
      <c r="F25" t="s">
        <v>904</v>
      </c>
      <c r="G25" t="s">
        <v>891</v>
      </c>
      <c r="H25" s="3" t="str">
        <f>VLOOKUP(A25,'Orders Dataset'!$A:$D,4,FALSE)</f>
        <v>Kerala</v>
      </c>
      <c r="I25" s="5" t="str">
        <f>VLOOKUP(A25,'Orders Dataset'!$A:$E,5,FALSE)</f>
        <v>Thiruvananthapuram</v>
      </c>
    </row>
    <row r="26" spans="1:9" x14ac:dyDescent="0.25">
      <c r="A26" t="s">
        <v>627</v>
      </c>
      <c r="B26">
        <v>8</v>
      </c>
      <c r="C26">
        <v>2</v>
      </c>
      <c r="D26">
        <v>2</v>
      </c>
      <c r="E26" t="s">
        <v>899</v>
      </c>
      <c r="F26" t="s">
        <v>905</v>
      </c>
      <c r="G26" t="s">
        <v>902</v>
      </c>
      <c r="H26" s="3" t="str">
        <f>VLOOKUP(A26,'Orders Dataset'!$A:$D,4,FALSE)</f>
        <v>Delhi</v>
      </c>
      <c r="I26" s="5" t="str">
        <f>VLOOKUP(A26,'Orders Dataset'!$A:$E,5,FALSE)</f>
        <v>Delhi</v>
      </c>
    </row>
    <row r="27" spans="1:9" x14ac:dyDescent="0.25">
      <c r="A27" t="s">
        <v>59</v>
      </c>
      <c r="B27">
        <v>1954</v>
      </c>
      <c r="C27">
        <v>782</v>
      </c>
      <c r="D27">
        <v>3</v>
      </c>
      <c r="E27" t="s">
        <v>889</v>
      </c>
      <c r="F27" t="s">
        <v>898</v>
      </c>
      <c r="G27" t="s">
        <v>897</v>
      </c>
      <c r="H27" s="3" t="str">
        <f>VLOOKUP(A27,'Orders Dataset'!$A:$D,4,FALSE)</f>
        <v>Himachal Pradesh</v>
      </c>
      <c r="I27" s="5" t="str">
        <f>VLOOKUP(A27,'Orders Dataset'!$A:$E,5,FALSE)</f>
        <v>Simla</v>
      </c>
    </row>
    <row r="28" spans="1:9" x14ac:dyDescent="0.25">
      <c r="A28" t="s">
        <v>112</v>
      </c>
      <c r="B28">
        <v>1543</v>
      </c>
      <c r="C28">
        <v>370</v>
      </c>
      <c r="D28">
        <v>8</v>
      </c>
      <c r="E28" t="s">
        <v>889</v>
      </c>
      <c r="F28" t="s">
        <v>896</v>
      </c>
      <c r="G28" t="s">
        <v>897</v>
      </c>
      <c r="H28" s="3" t="str">
        <f>VLOOKUP(A28,'Orders Dataset'!$A:$D,4,FALSE)</f>
        <v>Maharashtra</v>
      </c>
      <c r="I28" s="5" t="str">
        <f>VLOOKUP(A28,'Orders Dataset'!$A:$E,5,FALSE)</f>
        <v>Pune</v>
      </c>
    </row>
    <row r="29" spans="1:9" x14ac:dyDescent="0.25">
      <c r="A29" t="s">
        <v>116</v>
      </c>
      <c r="B29">
        <v>1506</v>
      </c>
      <c r="C29">
        <v>-266</v>
      </c>
      <c r="D29">
        <v>6</v>
      </c>
      <c r="E29" t="s">
        <v>889</v>
      </c>
      <c r="F29" t="s">
        <v>896</v>
      </c>
      <c r="G29" t="s">
        <v>897</v>
      </c>
      <c r="H29" s="3" t="str">
        <f>VLOOKUP(A29,'Orders Dataset'!$A:$D,4,FALSE)</f>
        <v>Maharashtra</v>
      </c>
      <c r="I29" s="5" t="str">
        <f>VLOOKUP(A29,'Orders Dataset'!$A:$E,5,FALSE)</f>
        <v>Mumbai</v>
      </c>
    </row>
    <row r="30" spans="1:9" x14ac:dyDescent="0.25">
      <c r="A30" t="s">
        <v>64</v>
      </c>
      <c r="B30">
        <v>1829</v>
      </c>
      <c r="C30">
        <v>-56</v>
      </c>
      <c r="D30">
        <v>6</v>
      </c>
      <c r="E30" t="s">
        <v>892</v>
      </c>
      <c r="F30" t="s">
        <v>906</v>
      </c>
      <c r="G30" t="s">
        <v>897</v>
      </c>
      <c r="H30" s="3" t="str">
        <f>VLOOKUP(A30,'Orders Dataset'!$A:$D,4,FALSE)</f>
        <v>Himachal Pradesh</v>
      </c>
      <c r="I30" s="5" t="str">
        <f>VLOOKUP(A30,'Orders Dataset'!$A:$E,5,FALSE)</f>
        <v>Simla</v>
      </c>
    </row>
    <row r="31" spans="1:9" x14ac:dyDescent="0.25">
      <c r="A31" t="s">
        <v>488</v>
      </c>
      <c r="B31">
        <v>9</v>
      </c>
      <c r="C31">
        <v>-1</v>
      </c>
      <c r="D31">
        <v>3</v>
      </c>
      <c r="E31" t="s">
        <v>899</v>
      </c>
      <c r="F31" t="s">
        <v>905</v>
      </c>
      <c r="G31" t="s">
        <v>902</v>
      </c>
      <c r="H31" s="3" t="str">
        <f>VLOOKUP(A31,'Orders Dataset'!$A:$D,4,FALSE)</f>
        <v>Bihar</v>
      </c>
      <c r="I31" s="5" t="str">
        <f>VLOOKUP(A31,'Orders Dataset'!$A:$E,5,FALSE)</f>
        <v>Patna</v>
      </c>
    </row>
    <row r="32" spans="1:9" x14ac:dyDescent="0.25">
      <c r="A32" t="s">
        <v>122</v>
      </c>
      <c r="B32">
        <v>1461</v>
      </c>
      <c r="C32">
        <v>202</v>
      </c>
      <c r="D32">
        <v>5</v>
      </c>
      <c r="E32" t="s">
        <v>892</v>
      </c>
      <c r="F32" t="s">
        <v>906</v>
      </c>
      <c r="G32" t="s">
        <v>894</v>
      </c>
      <c r="H32" s="3" t="str">
        <f>VLOOKUP(A32,'Orders Dataset'!$A:$D,4,FALSE)</f>
        <v>Maharashtra</v>
      </c>
      <c r="I32" s="5" t="str">
        <f>VLOOKUP(A32,'Orders Dataset'!$A:$E,5,FALSE)</f>
        <v>Pune</v>
      </c>
    </row>
    <row r="33" spans="1:9" x14ac:dyDescent="0.25">
      <c r="A33" t="s">
        <v>438</v>
      </c>
      <c r="B33">
        <v>391</v>
      </c>
      <c r="C33">
        <v>113</v>
      </c>
      <c r="D33">
        <v>8</v>
      </c>
      <c r="E33" t="s">
        <v>899</v>
      </c>
      <c r="F33" t="s">
        <v>907</v>
      </c>
      <c r="G33" t="s">
        <v>891</v>
      </c>
      <c r="H33" s="3" t="str">
        <f>VLOOKUP(A33,'Orders Dataset'!$A:$D,4,FALSE)</f>
        <v>Andhra Pradesh</v>
      </c>
      <c r="I33" s="5" t="str">
        <f>VLOOKUP(A33,'Orders Dataset'!$A:$E,5,FALSE)</f>
        <v>Hyderabad</v>
      </c>
    </row>
    <row r="34" spans="1:9" x14ac:dyDescent="0.25">
      <c r="A34" t="s">
        <v>66</v>
      </c>
      <c r="B34">
        <v>1824</v>
      </c>
      <c r="C34">
        <v>1303</v>
      </c>
      <c r="D34">
        <v>8</v>
      </c>
      <c r="E34" t="s">
        <v>889</v>
      </c>
      <c r="F34" t="s">
        <v>898</v>
      </c>
      <c r="G34" t="s">
        <v>897</v>
      </c>
      <c r="H34" s="3" t="str">
        <f>VLOOKUP(A34,'Orders Dataset'!$A:$D,4,FALSE)</f>
        <v>Punjab</v>
      </c>
      <c r="I34" s="5" t="str">
        <f>VLOOKUP(A34,'Orders Dataset'!$A:$E,5,FALSE)</f>
        <v>Chandigarh</v>
      </c>
    </row>
    <row r="35" spans="1:9" x14ac:dyDescent="0.25">
      <c r="A35" t="s">
        <v>635</v>
      </c>
      <c r="B35">
        <v>16</v>
      </c>
      <c r="C35">
        <v>-15</v>
      </c>
      <c r="D35">
        <v>4</v>
      </c>
      <c r="E35" t="s">
        <v>899</v>
      </c>
      <c r="F35" t="s">
        <v>903</v>
      </c>
      <c r="G35" t="s">
        <v>902</v>
      </c>
      <c r="H35" s="3" t="str">
        <f>VLOOKUP(A35,'Orders Dataset'!$A:$D,4,FALSE)</f>
        <v>Gujarat</v>
      </c>
      <c r="I35" s="5" t="str">
        <f>VLOOKUP(A35,'Orders Dataset'!$A:$E,5,FALSE)</f>
        <v>Surat</v>
      </c>
    </row>
    <row r="36" spans="1:9" x14ac:dyDescent="0.25">
      <c r="A36" t="s">
        <v>70</v>
      </c>
      <c r="B36">
        <v>1745</v>
      </c>
      <c r="C36">
        <v>122</v>
      </c>
      <c r="D36">
        <v>2</v>
      </c>
      <c r="E36" t="s">
        <v>892</v>
      </c>
      <c r="F36" t="s">
        <v>906</v>
      </c>
      <c r="G36" t="s">
        <v>897</v>
      </c>
      <c r="H36" s="3" t="str">
        <f>VLOOKUP(A36,'Orders Dataset'!$A:$D,4,FALSE)</f>
        <v>Madhya Pradesh</v>
      </c>
      <c r="I36" s="5" t="str">
        <f>VLOOKUP(A36,'Orders Dataset'!$A:$E,5,FALSE)</f>
        <v>Bhopal</v>
      </c>
    </row>
    <row r="37" spans="1:9" x14ac:dyDescent="0.25">
      <c r="A37" t="s">
        <v>315</v>
      </c>
      <c r="B37">
        <v>663</v>
      </c>
      <c r="C37">
        <v>-212</v>
      </c>
      <c r="D37">
        <v>5</v>
      </c>
      <c r="E37" t="s">
        <v>889</v>
      </c>
      <c r="F37" t="s">
        <v>896</v>
      </c>
      <c r="G37" t="s">
        <v>902</v>
      </c>
      <c r="H37" s="3" t="str">
        <f>VLOOKUP(A37,'Orders Dataset'!$A:$D,4,FALSE)</f>
        <v>Karnataka</v>
      </c>
      <c r="I37" s="5" t="str">
        <f>VLOOKUP(A37,'Orders Dataset'!$A:$E,5,FALSE)</f>
        <v>Bangalore</v>
      </c>
    </row>
    <row r="38" spans="1:9" x14ac:dyDescent="0.25">
      <c r="A38" t="s">
        <v>343</v>
      </c>
      <c r="B38">
        <v>10</v>
      </c>
      <c r="C38">
        <v>-1</v>
      </c>
      <c r="D38">
        <v>1</v>
      </c>
      <c r="E38" t="s">
        <v>899</v>
      </c>
      <c r="F38" t="s">
        <v>908</v>
      </c>
      <c r="G38" t="s">
        <v>902</v>
      </c>
      <c r="H38" s="3" t="str">
        <f>VLOOKUP(A38,'Orders Dataset'!$A:$D,4,FALSE)</f>
        <v>Maharashtra</v>
      </c>
      <c r="I38" s="5" t="str">
        <f>VLOOKUP(A38,'Orders Dataset'!$A:$E,5,FALSE)</f>
        <v>Pune</v>
      </c>
    </row>
    <row r="39" spans="1:9" x14ac:dyDescent="0.25">
      <c r="A39" t="s">
        <v>83</v>
      </c>
      <c r="B39">
        <v>1630</v>
      </c>
      <c r="C39">
        <v>802</v>
      </c>
      <c r="D39">
        <v>5</v>
      </c>
      <c r="E39" t="s">
        <v>892</v>
      </c>
      <c r="F39" t="s">
        <v>906</v>
      </c>
      <c r="G39" t="s">
        <v>894</v>
      </c>
      <c r="H39" s="3" t="str">
        <f>VLOOKUP(A39,'Orders Dataset'!$A:$D,4,FALSE)</f>
        <v>Madhya Pradesh</v>
      </c>
      <c r="I39" s="5" t="str">
        <f>VLOOKUP(A39,'Orders Dataset'!$A:$E,5,FALSE)</f>
        <v>Indore</v>
      </c>
    </row>
    <row r="40" spans="1:9" x14ac:dyDescent="0.25">
      <c r="A40" t="s">
        <v>456</v>
      </c>
      <c r="B40">
        <v>12</v>
      </c>
      <c r="C40">
        <v>0</v>
      </c>
      <c r="D40">
        <v>2</v>
      </c>
      <c r="E40" t="s">
        <v>899</v>
      </c>
      <c r="F40" t="s">
        <v>903</v>
      </c>
      <c r="G40" t="s">
        <v>902</v>
      </c>
      <c r="H40" s="3" t="str">
        <f>VLOOKUP(A40,'Orders Dataset'!$A:$D,4,FALSE)</f>
        <v>Andhra Pradesh</v>
      </c>
      <c r="I40" s="5" t="str">
        <f>VLOOKUP(A40,'Orders Dataset'!$A:$E,5,FALSE)</f>
        <v>Hyderabad</v>
      </c>
    </row>
    <row r="41" spans="1:9" x14ac:dyDescent="0.25">
      <c r="A41" t="s">
        <v>755</v>
      </c>
      <c r="B41">
        <v>12</v>
      </c>
      <c r="C41">
        <v>-7</v>
      </c>
      <c r="D41">
        <v>2</v>
      </c>
      <c r="E41" t="s">
        <v>899</v>
      </c>
      <c r="F41" t="s">
        <v>908</v>
      </c>
      <c r="G41" t="s">
        <v>902</v>
      </c>
      <c r="H41" s="3" t="str">
        <f>VLOOKUP(A41,'Orders Dataset'!$A:$D,4,FALSE)</f>
        <v>Maharashtra</v>
      </c>
      <c r="I41" s="5" t="str">
        <f>VLOOKUP(A41,'Orders Dataset'!$A:$E,5,FALSE)</f>
        <v>Mumbai</v>
      </c>
    </row>
    <row r="42" spans="1:9" x14ac:dyDescent="0.25">
      <c r="A42" t="s">
        <v>73</v>
      </c>
      <c r="B42">
        <v>1709</v>
      </c>
      <c r="C42">
        <v>564</v>
      </c>
      <c r="D42">
        <v>3</v>
      </c>
      <c r="E42" t="s">
        <v>899</v>
      </c>
      <c r="F42" t="s">
        <v>900</v>
      </c>
      <c r="G42" t="s">
        <v>897</v>
      </c>
      <c r="H42" s="3" t="str">
        <f>VLOOKUP(A42,'Orders Dataset'!$A:$D,4,FALSE)</f>
        <v>Kerala</v>
      </c>
      <c r="I42" s="5" t="str">
        <f>VLOOKUP(A42,'Orders Dataset'!$A:$E,5,FALSE)</f>
        <v>Thiruvananthapuram</v>
      </c>
    </row>
    <row r="43" spans="1:9" x14ac:dyDescent="0.25">
      <c r="A43" t="s">
        <v>875</v>
      </c>
      <c r="B43">
        <v>12</v>
      </c>
      <c r="C43">
        <v>3</v>
      </c>
      <c r="D43">
        <v>1</v>
      </c>
      <c r="E43" t="s">
        <v>899</v>
      </c>
      <c r="F43" t="s">
        <v>907</v>
      </c>
      <c r="G43" t="s">
        <v>902</v>
      </c>
      <c r="H43" s="3" t="str">
        <f>VLOOKUP(A43,'Orders Dataset'!$A:$D,4,FALSE)</f>
        <v>Tamil Nadu</v>
      </c>
      <c r="I43" s="5" t="str">
        <f>VLOOKUP(A43,'Orders Dataset'!$A:$E,5,FALSE)</f>
        <v>Chennai</v>
      </c>
    </row>
    <row r="44" spans="1:9" x14ac:dyDescent="0.25">
      <c r="A44" t="s">
        <v>87</v>
      </c>
      <c r="B44">
        <v>1625</v>
      </c>
      <c r="C44">
        <v>-77</v>
      </c>
      <c r="D44">
        <v>3</v>
      </c>
      <c r="E44" t="s">
        <v>889</v>
      </c>
      <c r="F44" t="s">
        <v>898</v>
      </c>
      <c r="G44" t="s">
        <v>894</v>
      </c>
      <c r="H44" s="3" t="str">
        <f>VLOOKUP(A44,'Orders Dataset'!$A:$D,4,FALSE)</f>
        <v>Madhya Pradesh</v>
      </c>
      <c r="I44" s="5" t="str">
        <f>VLOOKUP(A44,'Orders Dataset'!$A:$E,5,FALSE)</f>
        <v>Indore</v>
      </c>
    </row>
    <row r="45" spans="1:9" x14ac:dyDescent="0.25">
      <c r="A45" t="s">
        <v>577</v>
      </c>
      <c r="B45">
        <v>13</v>
      </c>
      <c r="C45">
        <v>5</v>
      </c>
      <c r="D45">
        <v>2</v>
      </c>
      <c r="E45" t="s">
        <v>899</v>
      </c>
      <c r="F45" t="s">
        <v>903</v>
      </c>
      <c r="G45" t="s">
        <v>902</v>
      </c>
      <c r="H45" s="3" t="str">
        <f>VLOOKUP(A45,'Orders Dataset'!$A:$D,4,FALSE)</f>
        <v>Madhya Pradesh</v>
      </c>
      <c r="I45" s="5" t="str">
        <f>VLOOKUP(A45,'Orders Dataset'!$A:$E,5,FALSE)</f>
        <v>Indore</v>
      </c>
    </row>
    <row r="46" spans="1:9" x14ac:dyDescent="0.25">
      <c r="A46" t="s">
        <v>134</v>
      </c>
      <c r="B46">
        <v>1361</v>
      </c>
      <c r="C46">
        <v>980</v>
      </c>
      <c r="D46">
        <v>3</v>
      </c>
      <c r="E46" t="s">
        <v>892</v>
      </c>
      <c r="F46" t="s">
        <v>906</v>
      </c>
      <c r="G46" t="s">
        <v>891</v>
      </c>
      <c r="H46" s="3" t="str">
        <f>VLOOKUP(A46,'Orders Dataset'!$A:$D,4,FALSE)</f>
        <v>Maharashtra</v>
      </c>
      <c r="I46" s="5" t="str">
        <f>VLOOKUP(A46,'Orders Dataset'!$A:$E,5,FALSE)</f>
        <v>Pune</v>
      </c>
    </row>
    <row r="47" spans="1:9" x14ac:dyDescent="0.25">
      <c r="A47" t="s">
        <v>89</v>
      </c>
      <c r="B47">
        <v>1622</v>
      </c>
      <c r="C47">
        <v>-448</v>
      </c>
      <c r="D47">
        <v>3</v>
      </c>
      <c r="E47" t="s">
        <v>889</v>
      </c>
      <c r="F47" t="s">
        <v>898</v>
      </c>
      <c r="G47" t="s">
        <v>894</v>
      </c>
      <c r="H47" s="3" t="str">
        <f>VLOOKUP(A47,'Orders Dataset'!$A:$D,4,FALSE)</f>
        <v>Maharashtra</v>
      </c>
      <c r="I47" s="5" t="str">
        <f>VLOOKUP(A47,'Orders Dataset'!$A:$E,5,FALSE)</f>
        <v>Pune</v>
      </c>
    </row>
    <row r="48" spans="1:9" x14ac:dyDescent="0.25">
      <c r="A48" t="s">
        <v>110</v>
      </c>
      <c r="B48">
        <v>1547</v>
      </c>
      <c r="C48">
        <v>340</v>
      </c>
      <c r="D48">
        <v>6</v>
      </c>
      <c r="E48" t="s">
        <v>889</v>
      </c>
      <c r="F48" t="s">
        <v>909</v>
      </c>
      <c r="G48" t="s">
        <v>894</v>
      </c>
      <c r="H48" s="3" t="str">
        <f>VLOOKUP(A48,'Orders Dataset'!$A:$D,4,FALSE)</f>
        <v>Gujarat</v>
      </c>
      <c r="I48" s="5" t="str">
        <f>VLOOKUP(A48,'Orders Dataset'!$A:$E,5,FALSE)</f>
        <v>Ahmedabad</v>
      </c>
    </row>
    <row r="49" spans="1:9" x14ac:dyDescent="0.25">
      <c r="A49" t="s">
        <v>79</v>
      </c>
      <c r="B49">
        <v>1657</v>
      </c>
      <c r="C49">
        <v>460</v>
      </c>
      <c r="D49">
        <v>4</v>
      </c>
      <c r="E49" t="s">
        <v>892</v>
      </c>
      <c r="F49" t="s">
        <v>893</v>
      </c>
      <c r="G49" t="s">
        <v>897</v>
      </c>
      <c r="H49" s="3" t="str">
        <f>VLOOKUP(A49,'Orders Dataset'!$A:$D,4,FALSE)</f>
        <v>Nagaland</v>
      </c>
      <c r="I49" s="5" t="str">
        <f>VLOOKUP(A49,'Orders Dataset'!$A:$E,5,FALSE)</f>
        <v>Kohima</v>
      </c>
    </row>
    <row r="50" spans="1:9" x14ac:dyDescent="0.25">
      <c r="A50" t="s">
        <v>95</v>
      </c>
      <c r="B50">
        <v>1603</v>
      </c>
      <c r="C50">
        <v>0</v>
      </c>
      <c r="D50">
        <v>9</v>
      </c>
      <c r="E50" t="s">
        <v>899</v>
      </c>
      <c r="F50" t="s">
        <v>901</v>
      </c>
      <c r="G50" t="s">
        <v>897</v>
      </c>
      <c r="H50" s="3" t="str">
        <f>VLOOKUP(A50,'Orders Dataset'!$A:$D,4,FALSE)</f>
        <v>Haryana</v>
      </c>
      <c r="I50" s="5" t="str">
        <f>VLOOKUP(A50,'Orders Dataset'!$A:$E,5,FALSE)</f>
        <v>Chandigarh</v>
      </c>
    </row>
    <row r="51" spans="1:9" x14ac:dyDescent="0.25">
      <c r="A51" t="s">
        <v>108</v>
      </c>
      <c r="B51">
        <v>1549</v>
      </c>
      <c r="C51">
        <v>-439</v>
      </c>
      <c r="D51">
        <v>4</v>
      </c>
      <c r="E51" t="s">
        <v>889</v>
      </c>
      <c r="F51" t="s">
        <v>898</v>
      </c>
      <c r="G51" t="s">
        <v>897</v>
      </c>
      <c r="H51" s="3" t="str">
        <f>VLOOKUP(A51,'Orders Dataset'!$A:$D,4,FALSE)</f>
        <v>Madhya Pradesh</v>
      </c>
      <c r="I51" s="5" t="str">
        <f>VLOOKUP(A51,'Orders Dataset'!$A:$E,5,FALSE)</f>
        <v>Bhopal</v>
      </c>
    </row>
    <row r="52" spans="1:9" x14ac:dyDescent="0.25">
      <c r="A52" t="s">
        <v>179</v>
      </c>
      <c r="B52">
        <v>1183</v>
      </c>
      <c r="C52">
        <v>106</v>
      </c>
      <c r="D52">
        <v>4</v>
      </c>
      <c r="E52" t="s">
        <v>889</v>
      </c>
      <c r="F52" t="s">
        <v>896</v>
      </c>
      <c r="G52" t="s">
        <v>894</v>
      </c>
      <c r="H52" s="3" t="str">
        <f>VLOOKUP(A52,'Orders Dataset'!$A:$D,4,FALSE)</f>
        <v>Bihar</v>
      </c>
      <c r="I52" s="5" t="str">
        <f>VLOOKUP(A52,'Orders Dataset'!$A:$E,5,FALSE)</f>
        <v>Patna</v>
      </c>
    </row>
    <row r="53" spans="1:9" x14ac:dyDescent="0.25">
      <c r="A53" t="s">
        <v>436</v>
      </c>
      <c r="B53">
        <v>74</v>
      </c>
      <c r="C53">
        <v>-123</v>
      </c>
      <c r="D53">
        <v>8</v>
      </c>
      <c r="E53" t="s">
        <v>899</v>
      </c>
      <c r="F53" t="s">
        <v>905</v>
      </c>
      <c r="G53" t="s">
        <v>902</v>
      </c>
      <c r="H53" s="3" t="str">
        <f>VLOOKUP(A53,'Orders Dataset'!$A:$D,4,FALSE)</f>
        <v>Madhya Pradesh</v>
      </c>
      <c r="I53" s="5" t="str">
        <f>VLOOKUP(A53,'Orders Dataset'!$A:$E,5,FALSE)</f>
        <v>Indore</v>
      </c>
    </row>
    <row r="54" spans="1:9" x14ac:dyDescent="0.25">
      <c r="A54" t="s">
        <v>491</v>
      </c>
      <c r="B54">
        <v>1499</v>
      </c>
      <c r="C54">
        <v>239</v>
      </c>
      <c r="D54">
        <v>13</v>
      </c>
      <c r="E54" t="s">
        <v>899</v>
      </c>
      <c r="F54" t="s">
        <v>901</v>
      </c>
      <c r="G54" t="s">
        <v>897</v>
      </c>
      <c r="H54" s="3" t="str">
        <f>VLOOKUP(A54,'Orders Dataset'!$A:$D,4,FALSE)</f>
        <v>Rajasthan</v>
      </c>
      <c r="I54" s="5" t="str">
        <f>VLOOKUP(A54,'Orders Dataset'!$A:$E,5,FALSE)</f>
        <v>Jaipur</v>
      </c>
    </row>
    <row r="55" spans="1:9" x14ac:dyDescent="0.25">
      <c r="A55" t="s">
        <v>189</v>
      </c>
      <c r="B55">
        <v>1120</v>
      </c>
      <c r="C55">
        <v>199</v>
      </c>
      <c r="D55">
        <v>6</v>
      </c>
      <c r="E55" t="s">
        <v>899</v>
      </c>
      <c r="F55" t="s">
        <v>901</v>
      </c>
      <c r="G55" t="s">
        <v>894</v>
      </c>
      <c r="H55" s="3" t="str">
        <f>VLOOKUP(A55,'Orders Dataset'!$A:$D,4,FALSE)</f>
        <v>Punjab</v>
      </c>
      <c r="I55" s="5" t="str">
        <f>VLOOKUP(A55,'Orders Dataset'!$A:$E,5,FALSE)</f>
        <v>Chandigarh</v>
      </c>
    </row>
    <row r="56" spans="1:9" x14ac:dyDescent="0.25">
      <c r="A56" t="s">
        <v>768</v>
      </c>
      <c r="B56">
        <v>15</v>
      </c>
      <c r="C56">
        <v>-2</v>
      </c>
      <c r="D56">
        <v>1</v>
      </c>
      <c r="E56" t="s">
        <v>899</v>
      </c>
      <c r="F56" t="s">
        <v>910</v>
      </c>
      <c r="G56" t="s">
        <v>911</v>
      </c>
      <c r="H56" s="3" t="str">
        <f>VLOOKUP(A56,'Orders Dataset'!$A:$D,4,FALSE)</f>
        <v>Madhya Pradesh</v>
      </c>
      <c r="I56" s="5" t="str">
        <f>VLOOKUP(A56,'Orders Dataset'!$A:$E,5,FALSE)</f>
        <v>Bhopal</v>
      </c>
    </row>
    <row r="57" spans="1:9" x14ac:dyDescent="0.25">
      <c r="A57" t="s">
        <v>121</v>
      </c>
      <c r="B57">
        <v>1487</v>
      </c>
      <c r="C57">
        <v>624</v>
      </c>
      <c r="D57">
        <v>3</v>
      </c>
      <c r="E57" t="s">
        <v>899</v>
      </c>
      <c r="F57" t="s">
        <v>900</v>
      </c>
      <c r="G57" t="s">
        <v>897</v>
      </c>
      <c r="H57" s="3" t="str">
        <f>VLOOKUP(A57,'Orders Dataset'!$A:$D,4,FALSE)</f>
        <v>Punjab</v>
      </c>
      <c r="I57" s="5" t="str">
        <f>VLOOKUP(A57,'Orders Dataset'!$A:$E,5,FALSE)</f>
        <v>Chandigarh</v>
      </c>
    </row>
    <row r="58" spans="1:9" x14ac:dyDescent="0.25">
      <c r="A58" t="s">
        <v>191</v>
      </c>
      <c r="B58">
        <v>1118</v>
      </c>
      <c r="C58">
        <v>206</v>
      </c>
      <c r="D58">
        <v>2</v>
      </c>
      <c r="E58" t="s">
        <v>892</v>
      </c>
      <c r="F58" t="s">
        <v>906</v>
      </c>
      <c r="G58" t="s">
        <v>897</v>
      </c>
      <c r="H58" s="3" t="str">
        <f>VLOOKUP(A58,'Orders Dataset'!$A:$D,4,FALSE)</f>
        <v>Goa</v>
      </c>
      <c r="I58" s="5" t="str">
        <f>VLOOKUP(A58,'Orders Dataset'!$A:$E,5,FALSE)</f>
        <v>Goa</v>
      </c>
    </row>
    <row r="59" spans="1:9" x14ac:dyDescent="0.25">
      <c r="A59" t="s">
        <v>467</v>
      </c>
      <c r="B59">
        <v>11</v>
      </c>
      <c r="C59">
        <v>-5</v>
      </c>
      <c r="D59">
        <v>2</v>
      </c>
      <c r="E59" t="s">
        <v>899</v>
      </c>
      <c r="F59" t="s">
        <v>903</v>
      </c>
      <c r="G59" t="s">
        <v>891</v>
      </c>
      <c r="H59" s="3" t="str">
        <f>VLOOKUP(A59,'Orders Dataset'!$A:$D,4,FALSE)</f>
        <v>Karnataka</v>
      </c>
      <c r="I59" s="5" t="str">
        <f>VLOOKUP(A59,'Orders Dataset'!$A:$E,5,FALSE)</f>
        <v>Bangalore</v>
      </c>
    </row>
    <row r="60" spans="1:9" x14ac:dyDescent="0.25">
      <c r="A60" t="s">
        <v>871</v>
      </c>
      <c r="B60">
        <v>15</v>
      </c>
      <c r="C60">
        <v>4</v>
      </c>
      <c r="D60">
        <v>1</v>
      </c>
      <c r="E60" t="s">
        <v>899</v>
      </c>
      <c r="F60" t="s">
        <v>903</v>
      </c>
      <c r="G60" t="s">
        <v>911</v>
      </c>
      <c r="H60" s="3" t="str">
        <f>VLOOKUP(A60,'Orders Dataset'!$A:$D,4,FALSE)</f>
        <v>Rajasthan</v>
      </c>
      <c r="I60" s="5" t="str">
        <f>VLOOKUP(A60,'Orders Dataset'!$A:$E,5,FALSE)</f>
        <v>Jaipur</v>
      </c>
    </row>
    <row r="61" spans="1:9" x14ac:dyDescent="0.25">
      <c r="A61" t="s">
        <v>128</v>
      </c>
      <c r="B61">
        <v>1364</v>
      </c>
      <c r="C61">
        <v>1864</v>
      </c>
      <c r="D61">
        <v>5</v>
      </c>
      <c r="E61" t="s">
        <v>892</v>
      </c>
      <c r="F61" t="s">
        <v>906</v>
      </c>
      <c r="G61" t="s">
        <v>897</v>
      </c>
      <c r="H61" s="3" t="str">
        <f>VLOOKUP(A61,'Orders Dataset'!$A:$D,4,FALSE)</f>
        <v>Tamil Nadu</v>
      </c>
      <c r="I61" s="5" t="str">
        <f>VLOOKUP(A61,'Orders Dataset'!$A:$E,5,FALSE)</f>
        <v>Chennai</v>
      </c>
    </row>
    <row r="62" spans="1:9" x14ac:dyDescent="0.25">
      <c r="A62" t="s">
        <v>138</v>
      </c>
      <c r="B62">
        <v>1337</v>
      </c>
      <c r="C62">
        <v>147</v>
      </c>
      <c r="D62">
        <v>7</v>
      </c>
      <c r="E62" t="s">
        <v>889</v>
      </c>
      <c r="F62" t="s">
        <v>896</v>
      </c>
      <c r="G62" t="s">
        <v>897</v>
      </c>
      <c r="H62" s="3" t="str">
        <f>VLOOKUP(A62,'Orders Dataset'!$A:$D,4,FALSE)</f>
        <v>West Bengal</v>
      </c>
      <c r="I62" s="5" t="str">
        <f>VLOOKUP(A62,'Orders Dataset'!$A:$E,5,FALSE)</f>
        <v>Kolkata</v>
      </c>
    </row>
    <row r="63" spans="1:9" x14ac:dyDescent="0.25">
      <c r="A63" t="s">
        <v>552</v>
      </c>
      <c r="B63">
        <v>15</v>
      </c>
      <c r="C63">
        <v>2</v>
      </c>
      <c r="D63">
        <v>1</v>
      </c>
      <c r="E63" t="s">
        <v>899</v>
      </c>
      <c r="F63" t="s">
        <v>908</v>
      </c>
      <c r="G63" t="s">
        <v>911</v>
      </c>
      <c r="H63" s="3" t="str">
        <f>VLOOKUP(A63,'Orders Dataset'!$A:$D,4,FALSE)</f>
        <v>Punjab</v>
      </c>
      <c r="I63" s="5" t="str">
        <f>VLOOKUP(A63,'Orders Dataset'!$A:$E,5,FALSE)</f>
        <v>Amritsar</v>
      </c>
    </row>
    <row r="64" spans="1:9" x14ac:dyDescent="0.25">
      <c r="A64" t="s">
        <v>485</v>
      </c>
      <c r="B64">
        <v>322</v>
      </c>
      <c r="C64">
        <v>-193</v>
      </c>
      <c r="D64">
        <v>5</v>
      </c>
      <c r="E64" t="s">
        <v>889</v>
      </c>
      <c r="F64" t="s">
        <v>896</v>
      </c>
      <c r="G64" t="s">
        <v>902</v>
      </c>
      <c r="H64" s="3" t="str">
        <f>VLOOKUP(A64,'Orders Dataset'!$A:$D,4,FALSE)</f>
        <v>Goa</v>
      </c>
      <c r="I64" s="5" t="str">
        <f>VLOOKUP(A64,'Orders Dataset'!$A:$E,5,FALSE)</f>
        <v>Goa</v>
      </c>
    </row>
    <row r="65" spans="1:9" x14ac:dyDescent="0.25">
      <c r="A65" t="s">
        <v>146</v>
      </c>
      <c r="B65">
        <v>1316</v>
      </c>
      <c r="C65">
        <v>527</v>
      </c>
      <c r="D65">
        <v>7</v>
      </c>
      <c r="E65" t="s">
        <v>889</v>
      </c>
      <c r="F65" t="s">
        <v>890</v>
      </c>
      <c r="G65" t="s">
        <v>897</v>
      </c>
      <c r="H65" s="3" t="str">
        <f>VLOOKUP(A65,'Orders Dataset'!$A:$D,4,FALSE)</f>
        <v>Madhya Pradesh</v>
      </c>
      <c r="I65" s="5" t="str">
        <f>VLOOKUP(A65,'Orders Dataset'!$A:$E,5,FALSE)</f>
        <v>Indore</v>
      </c>
    </row>
    <row r="66" spans="1:9" x14ac:dyDescent="0.25">
      <c r="A66" t="s">
        <v>148</v>
      </c>
      <c r="B66">
        <v>1314</v>
      </c>
      <c r="C66">
        <v>342</v>
      </c>
      <c r="D66">
        <v>3</v>
      </c>
      <c r="E66" t="s">
        <v>892</v>
      </c>
      <c r="F66" t="s">
        <v>895</v>
      </c>
      <c r="G66" t="s">
        <v>897</v>
      </c>
      <c r="H66" s="3" t="str">
        <f>VLOOKUP(A66,'Orders Dataset'!$A:$D,4,FALSE)</f>
        <v>Delhi</v>
      </c>
      <c r="I66" s="5" t="str">
        <f>VLOOKUP(A66,'Orders Dataset'!$A:$E,5,FALSE)</f>
        <v>Delhi</v>
      </c>
    </row>
    <row r="67" spans="1:9" x14ac:dyDescent="0.25">
      <c r="A67" t="s">
        <v>865</v>
      </c>
      <c r="B67">
        <v>17</v>
      </c>
      <c r="C67">
        <v>7</v>
      </c>
      <c r="D67">
        <v>3</v>
      </c>
      <c r="E67" t="s">
        <v>899</v>
      </c>
      <c r="F67" t="s">
        <v>903</v>
      </c>
      <c r="G67" t="s">
        <v>911</v>
      </c>
      <c r="H67" s="3" t="str">
        <f>VLOOKUP(A67,'Orders Dataset'!$A:$D,4,FALSE)</f>
        <v>West Bengal</v>
      </c>
      <c r="I67" s="5" t="str">
        <f>VLOOKUP(A67,'Orders Dataset'!$A:$E,5,FALSE)</f>
        <v>Kolkata</v>
      </c>
    </row>
    <row r="68" spans="1:9" x14ac:dyDescent="0.25">
      <c r="A68" t="s">
        <v>22</v>
      </c>
      <c r="B68">
        <v>17</v>
      </c>
      <c r="C68">
        <v>2</v>
      </c>
      <c r="D68">
        <v>2</v>
      </c>
      <c r="E68" t="s">
        <v>899</v>
      </c>
      <c r="F68" t="s">
        <v>905</v>
      </c>
      <c r="G68" t="s">
        <v>911</v>
      </c>
      <c r="H68" s="3" t="str">
        <f>VLOOKUP(A68,'Orders Dataset'!$A:$D,4,FALSE)</f>
        <v>Uttar Pradesh</v>
      </c>
      <c r="I68" s="5" t="str">
        <f>VLOOKUP(A68,'Orders Dataset'!$A:$E,5,FALSE)</f>
        <v>Prayagraj</v>
      </c>
    </row>
    <row r="69" spans="1:9" x14ac:dyDescent="0.25">
      <c r="A69" t="s">
        <v>864</v>
      </c>
      <c r="B69">
        <v>17</v>
      </c>
      <c r="C69">
        <v>-12</v>
      </c>
      <c r="D69">
        <v>5</v>
      </c>
      <c r="E69" t="s">
        <v>899</v>
      </c>
      <c r="F69" t="s">
        <v>905</v>
      </c>
      <c r="G69" t="s">
        <v>911</v>
      </c>
      <c r="H69" s="3" t="str">
        <f>VLOOKUP(A69,'Orders Dataset'!$A:$D,4,FALSE)</f>
        <v>Maharashtra</v>
      </c>
      <c r="I69" s="5" t="str">
        <f>VLOOKUP(A69,'Orders Dataset'!$A:$E,5,FALSE)</f>
        <v>Pune</v>
      </c>
    </row>
    <row r="70" spans="1:9" x14ac:dyDescent="0.25">
      <c r="A70" t="s">
        <v>150</v>
      </c>
      <c r="B70">
        <v>1308</v>
      </c>
      <c r="C70">
        <v>536</v>
      </c>
      <c r="D70">
        <v>3</v>
      </c>
      <c r="E70" t="s">
        <v>892</v>
      </c>
      <c r="F70" t="s">
        <v>895</v>
      </c>
      <c r="G70" t="s">
        <v>897</v>
      </c>
      <c r="H70" s="3" t="str">
        <f>VLOOKUP(A70,'Orders Dataset'!$A:$D,4,FALSE)</f>
        <v>Kerala</v>
      </c>
      <c r="I70" s="5" t="str">
        <f>VLOOKUP(A70,'Orders Dataset'!$A:$E,5,FALSE)</f>
        <v>Thiruvananthapuram</v>
      </c>
    </row>
    <row r="71" spans="1:9" x14ac:dyDescent="0.25">
      <c r="A71" t="s">
        <v>200</v>
      </c>
      <c r="B71">
        <v>1076</v>
      </c>
      <c r="C71">
        <v>-38</v>
      </c>
      <c r="D71">
        <v>4</v>
      </c>
      <c r="E71" t="s">
        <v>889</v>
      </c>
      <c r="F71" t="s">
        <v>896</v>
      </c>
      <c r="G71" t="s">
        <v>897</v>
      </c>
      <c r="H71" s="3" t="str">
        <f>VLOOKUP(A71,'Orders Dataset'!$A:$D,4,FALSE)</f>
        <v>Madhya Pradesh</v>
      </c>
      <c r="I71" s="5" t="str">
        <f>VLOOKUP(A71,'Orders Dataset'!$A:$E,5,FALSE)</f>
        <v>Indore</v>
      </c>
    </row>
    <row r="72" spans="1:9" x14ac:dyDescent="0.25">
      <c r="A72" t="s">
        <v>152</v>
      </c>
      <c r="B72">
        <v>1301</v>
      </c>
      <c r="C72">
        <v>573</v>
      </c>
      <c r="D72">
        <v>5</v>
      </c>
      <c r="E72" t="s">
        <v>889</v>
      </c>
      <c r="F72" t="s">
        <v>909</v>
      </c>
      <c r="G72" t="s">
        <v>897</v>
      </c>
      <c r="H72" s="3" t="str">
        <f>VLOOKUP(A72,'Orders Dataset'!$A:$D,4,FALSE)</f>
        <v>Karnataka</v>
      </c>
      <c r="I72" s="5" t="str">
        <f>VLOOKUP(A72,'Orders Dataset'!$A:$E,5,FALSE)</f>
        <v>Bangalore</v>
      </c>
    </row>
    <row r="73" spans="1:9" x14ac:dyDescent="0.25">
      <c r="A73" t="s">
        <v>154</v>
      </c>
      <c r="B73">
        <v>1300</v>
      </c>
      <c r="C73">
        <v>-16</v>
      </c>
      <c r="D73">
        <v>8</v>
      </c>
      <c r="E73" t="s">
        <v>889</v>
      </c>
      <c r="F73" t="s">
        <v>896</v>
      </c>
      <c r="G73" t="s">
        <v>897</v>
      </c>
      <c r="H73" s="3" t="str">
        <f>VLOOKUP(A73,'Orders Dataset'!$A:$D,4,FALSE)</f>
        <v>Jammu and Kashmir</v>
      </c>
      <c r="I73" s="5" t="str">
        <f>VLOOKUP(A73,'Orders Dataset'!$A:$E,5,FALSE)</f>
        <v>Kashmir</v>
      </c>
    </row>
    <row r="74" spans="1:9" x14ac:dyDescent="0.25">
      <c r="A74" t="s">
        <v>211</v>
      </c>
      <c r="B74">
        <v>11</v>
      </c>
      <c r="C74">
        <v>-2</v>
      </c>
      <c r="D74">
        <v>4</v>
      </c>
      <c r="E74" t="s">
        <v>899</v>
      </c>
      <c r="F74" t="s">
        <v>903</v>
      </c>
      <c r="G74" t="s">
        <v>891</v>
      </c>
      <c r="H74" s="3" t="str">
        <f>VLOOKUP(A74,'Orders Dataset'!$A:$D,4,FALSE)</f>
        <v>Haryana</v>
      </c>
      <c r="I74" s="5" t="str">
        <f>VLOOKUP(A74,'Orders Dataset'!$A:$E,5,FALSE)</f>
        <v>Chandigarh</v>
      </c>
    </row>
    <row r="75" spans="1:9" x14ac:dyDescent="0.25">
      <c r="A75" t="s">
        <v>158</v>
      </c>
      <c r="B75">
        <v>1298</v>
      </c>
      <c r="C75">
        <v>65</v>
      </c>
      <c r="D75">
        <v>9</v>
      </c>
      <c r="E75" t="s">
        <v>889</v>
      </c>
      <c r="F75" t="s">
        <v>896</v>
      </c>
      <c r="G75" t="s">
        <v>894</v>
      </c>
      <c r="H75" s="3" t="str">
        <f>VLOOKUP(A75,'Orders Dataset'!$A:$D,4,FALSE)</f>
        <v>Maharashtra</v>
      </c>
      <c r="I75" s="5" t="str">
        <f>VLOOKUP(A75,'Orders Dataset'!$A:$E,5,FALSE)</f>
        <v>Pune</v>
      </c>
    </row>
    <row r="76" spans="1:9" x14ac:dyDescent="0.25">
      <c r="A76" t="s">
        <v>498</v>
      </c>
      <c r="B76">
        <v>304</v>
      </c>
      <c r="C76">
        <v>97</v>
      </c>
      <c r="D76">
        <v>6</v>
      </c>
      <c r="E76" t="s">
        <v>899</v>
      </c>
      <c r="F76" t="s">
        <v>907</v>
      </c>
      <c r="G76" t="s">
        <v>902</v>
      </c>
      <c r="H76" s="3" t="str">
        <f>VLOOKUP(A76,'Orders Dataset'!$A:$D,4,FALSE)</f>
        <v>Delhi</v>
      </c>
      <c r="I76" s="5" t="str">
        <f>VLOOKUP(A76,'Orders Dataset'!$A:$E,5,FALSE)</f>
        <v>Delhi</v>
      </c>
    </row>
    <row r="77" spans="1:9" x14ac:dyDescent="0.25">
      <c r="A77" t="s">
        <v>208</v>
      </c>
      <c r="B77">
        <v>1055</v>
      </c>
      <c r="C77">
        <v>264</v>
      </c>
      <c r="D77">
        <v>4</v>
      </c>
      <c r="E77" t="s">
        <v>889</v>
      </c>
      <c r="F77" t="s">
        <v>896</v>
      </c>
      <c r="G77" t="s">
        <v>894</v>
      </c>
      <c r="H77" s="3" t="str">
        <f>VLOOKUP(A77,'Orders Dataset'!$A:$D,4,FALSE)</f>
        <v>Maharashtra</v>
      </c>
      <c r="I77" s="5" t="str">
        <f>VLOOKUP(A77,'Orders Dataset'!$A:$E,5,FALSE)</f>
        <v>Pune</v>
      </c>
    </row>
    <row r="78" spans="1:9" x14ac:dyDescent="0.25">
      <c r="A78" t="s">
        <v>18</v>
      </c>
      <c r="B78">
        <v>17</v>
      </c>
      <c r="C78">
        <v>-13</v>
      </c>
      <c r="D78">
        <v>4</v>
      </c>
      <c r="E78" t="s">
        <v>899</v>
      </c>
      <c r="F78" t="s">
        <v>905</v>
      </c>
      <c r="G78" t="s">
        <v>911</v>
      </c>
      <c r="H78" s="3" t="str">
        <f>VLOOKUP(A78,'Orders Dataset'!$A:$D,4,FALSE)</f>
        <v>Madhya Pradesh</v>
      </c>
      <c r="I78" s="5" t="str">
        <f>VLOOKUP(A78,'Orders Dataset'!$A:$E,5,FALSE)</f>
        <v>Indore</v>
      </c>
    </row>
    <row r="79" spans="1:9" x14ac:dyDescent="0.25">
      <c r="A79" t="s">
        <v>181</v>
      </c>
      <c r="B79">
        <v>147</v>
      </c>
      <c r="C79">
        <v>73</v>
      </c>
      <c r="D79">
        <v>3</v>
      </c>
      <c r="E79" t="s">
        <v>899</v>
      </c>
      <c r="F79" t="s">
        <v>907</v>
      </c>
      <c r="G79" t="s">
        <v>891</v>
      </c>
      <c r="H79" s="3" t="str">
        <f>VLOOKUP(A79,'Orders Dataset'!$A:$D,4,FALSE)</f>
        <v>Madhya Pradesh</v>
      </c>
      <c r="I79" s="5" t="str">
        <f>VLOOKUP(A79,'Orders Dataset'!$A:$E,5,FALSE)</f>
        <v>Indore</v>
      </c>
    </row>
    <row r="80" spans="1:9" x14ac:dyDescent="0.25">
      <c r="A80" t="s">
        <v>216</v>
      </c>
      <c r="B80">
        <v>965</v>
      </c>
      <c r="C80">
        <v>-68</v>
      </c>
      <c r="D80">
        <v>3</v>
      </c>
      <c r="E80" t="s">
        <v>889</v>
      </c>
      <c r="F80" t="s">
        <v>896</v>
      </c>
      <c r="G80" t="s">
        <v>891</v>
      </c>
      <c r="H80" s="3" t="str">
        <f>VLOOKUP(A80,'Orders Dataset'!$A:$D,4,FALSE)</f>
        <v>Madhya Pradesh</v>
      </c>
      <c r="I80" s="5" t="str">
        <f>VLOOKUP(A80,'Orders Dataset'!$A:$E,5,FALSE)</f>
        <v>Indore</v>
      </c>
    </row>
    <row r="81" spans="1:9" x14ac:dyDescent="0.25">
      <c r="A81" t="s">
        <v>720</v>
      </c>
      <c r="B81">
        <v>12</v>
      </c>
      <c r="C81">
        <v>-2</v>
      </c>
      <c r="D81">
        <v>3</v>
      </c>
      <c r="E81" t="s">
        <v>899</v>
      </c>
      <c r="F81" t="s">
        <v>903</v>
      </c>
      <c r="G81" t="s">
        <v>891</v>
      </c>
      <c r="H81" s="3" t="str">
        <f>VLOOKUP(A81,'Orders Dataset'!$A:$D,4,FALSE)</f>
        <v>Uttar Pradesh</v>
      </c>
      <c r="I81" s="5" t="str">
        <f>VLOOKUP(A81,'Orders Dataset'!$A:$E,5,FALSE)</f>
        <v>Lucknow</v>
      </c>
    </row>
    <row r="82" spans="1:9" x14ac:dyDescent="0.25">
      <c r="A82" t="s">
        <v>691</v>
      </c>
      <c r="B82">
        <v>14</v>
      </c>
      <c r="C82">
        <v>-2</v>
      </c>
      <c r="D82">
        <v>3</v>
      </c>
      <c r="E82" t="s">
        <v>899</v>
      </c>
      <c r="F82" t="s">
        <v>903</v>
      </c>
      <c r="G82" t="s">
        <v>902</v>
      </c>
      <c r="H82" s="3" t="str">
        <f>VLOOKUP(A82,'Orders Dataset'!$A:$D,4,FALSE)</f>
        <v>Goa</v>
      </c>
      <c r="I82" s="5" t="str">
        <f>VLOOKUP(A82,'Orders Dataset'!$A:$E,5,FALSE)</f>
        <v>Goa</v>
      </c>
    </row>
    <row r="83" spans="1:9" x14ac:dyDescent="0.25">
      <c r="A83" t="s">
        <v>222</v>
      </c>
      <c r="B83">
        <v>934</v>
      </c>
      <c r="C83">
        <v>-916</v>
      </c>
      <c r="D83">
        <v>7</v>
      </c>
      <c r="E83" t="s">
        <v>889</v>
      </c>
      <c r="F83" t="s">
        <v>890</v>
      </c>
      <c r="G83" t="s">
        <v>891</v>
      </c>
      <c r="H83" s="3" t="str">
        <f>VLOOKUP(A83,'Orders Dataset'!$A:$D,4,FALSE)</f>
        <v>Punjab</v>
      </c>
      <c r="I83" s="5" t="str">
        <f>VLOOKUP(A83,'Orders Dataset'!$A:$E,5,FALSE)</f>
        <v>Chandigarh</v>
      </c>
    </row>
    <row r="84" spans="1:9" x14ac:dyDescent="0.25">
      <c r="A84" t="s">
        <v>224</v>
      </c>
      <c r="B84">
        <v>929</v>
      </c>
      <c r="C84">
        <v>-93</v>
      </c>
      <c r="D84">
        <v>9</v>
      </c>
      <c r="E84" t="s">
        <v>899</v>
      </c>
      <c r="F84" t="s">
        <v>901</v>
      </c>
      <c r="G84" t="s">
        <v>891</v>
      </c>
      <c r="H84" s="3" t="str">
        <f>VLOOKUP(A84,'Orders Dataset'!$A:$D,4,FALSE)</f>
        <v>Madhya Pradesh</v>
      </c>
      <c r="I84" s="5" t="str">
        <f>VLOOKUP(A84,'Orders Dataset'!$A:$E,5,FALSE)</f>
        <v>Bhopal</v>
      </c>
    </row>
    <row r="85" spans="1:9" x14ac:dyDescent="0.25">
      <c r="A85" t="s">
        <v>863</v>
      </c>
      <c r="B85">
        <v>18</v>
      </c>
      <c r="C85">
        <v>3</v>
      </c>
      <c r="D85">
        <v>2</v>
      </c>
      <c r="E85" t="s">
        <v>899</v>
      </c>
      <c r="F85" t="s">
        <v>903</v>
      </c>
      <c r="G85" t="s">
        <v>911</v>
      </c>
      <c r="H85" s="3" t="str">
        <f>VLOOKUP(A85,'Orders Dataset'!$A:$D,4,FALSE)</f>
        <v>Karnataka</v>
      </c>
      <c r="I85" s="5" t="str">
        <f>VLOOKUP(A85,'Orders Dataset'!$A:$E,5,FALSE)</f>
        <v>Bangalore</v>
      </c>
    </row>
    <row r="86" spans="1:9" x14ac:dyDescent="0.25">
      <c r="A86" t="s">
        <v>230</v>
      </c>
      <c r="B86">
        <v>916</v>
      </c>
      <c r="C86">
        <v>192</v>
      </c>
      <c r="D86">
        <v>11</v>
      </c>
      <c r="E86" t="s">
        <v>889</v>
      </c>
      <c r="F86" t="s">
        <v>898</v>
      </c>
      <c r="G86" t="s">
        <v>891</v>
      </c>
      <c r="H86" s="3" t="str">
        <f>VLOOKUP(A86,'Orders Dataset'!$A:$D,4,FALSE)</f>
        <v>Goa</v>
      </c>
      <c r="I86" s="5" t="str">
        <f>VLOOKUP(A86,'Orders Dataset'!$A:$E,5,FALSE)</f>
        <v>Goa</v>
      </c>
    </row>
    <row r="87" spans="1:9" x14ac:dyDescent="0.25">
      <c r="A87" t="s">
        <v>337</v>
      </c>
      <c r="B87">
        <v>76</v>
      </c>
      <c r="C87">
        <v>-72</v>
      </c>
      <c r="D87">
        <v>9</v>
      </c>
      <c r="E87" t="s">
        <v>899</v>
      </c>
      <c r="F87" t="s">
        <v>903</v>
      </c>
      <c r="G87" t="s">
        <v>891</v>
      </c>
      <c r="H87" s="3" t="str">
        <f>VLOOKUP(A87,'Orders Dataset'!$A:$D,4,FALSE)</f>
        <v>Madhya Pradesh</v>
      </c>
      <c r="I87" s="5" t="str">
        <f>VLOOKUP(A87,'Orders Dataset'!$A:$E,5,FALSE)</f>
        <v>Bhopal</v>
      </c>
    </row>
    <row r="88" spans="1:9" x14ac:dyDescent="0.25">
      <c r="A88" t="s">
        <v>246</v>
      </c>
      <c r="B88">
        <v>869</v>
      </c>
      <c r="C88">
        <v>67</v>
      </c>
      <c r="D88">
        <v>4</v>
      </c>
      <c r="E88" t="s">
        <v>892</v>
      </c>
      <c r="F88" t="s">
        <v>906</v>
      </c>
      <c r="G88" t="s">
        <v>891</v>
      </c>
      <c r="H88" s="3" t="str">
        <f>VLOOKUP(A88,'Orders Dataset'!$A:$D,4,FALSE)</f>
        <v>Andhra Pradesh</v>
      </c>
      <c r="I88" s="5" t="str">
        <f>VLOOKUP(A88,'Orders Dataset'!$A:$E,5,FALSE)</f>
        <v>Hyderabad</v>
      </c>
    </row>
    <row r="89" spans="1:9" x14ac:dyDescent="0.25">
      <c r="A89" t="s">
        <v>695</v>
      </c>
      <c r="B89">
        <v>112</v>
      </c>
      <c r="C89">
        <v>24</v>
      </c>
      <c r="D89">
        <v>3</v>
      </c>
      <c r="E89" t="s">
        <v>899</v>
      </c>
      <c r="F89" t="s">
        <v>904</v>
      </c>
      <c r="G89" t="s">
        <v>891</v>
      </c>
      <c r="H89" s="3" t="str">
        <f>VLOOKUP(A89,'Orders Dataset'!$A:$D,4,FALSE)</f>
        <v>Tamil Nadu</v>
      </c>
      <c r="I89" s="5" t="str">
        <f>VLOOKUP(A89,'Orders Dataset'!$A:$E,5,FALSE)</f>
        <v>Chennai</v>
      </c>
    </row>
    <row r="90" spans="1:9" x14ac:dyDescent="0.25">
      <c r="A90" t="s">
        <v>52</v>
      </c>
      <c r="B90">
        <v>39</v>
      </c>
      <c r="C90">
        <v>16</v>
      </c>
      <c r="D90">
        <v>6</v>
      </c>
      <c r="E90" t="s">
        <v>899</v>
      </c>
      <c r="F90" t="s">
        <v>905</v>
      </c>
      <c r="G90" t="s">
        <v>902</v>
      </c>
      <c r="H90" s="3" t="str">
        <f>VLOOKUP(A90,'Orders Dataset'!$A:$D,4,FALSE)</f>
        <v>Gujarat</v>
      </c>
      <c r="I90" s="5" t="str">
        <f>VLOOKUP(A90,'Orders Dataset'!$A:$E,5,FALSE)</f>
        <v>Ahmedabad</v>
      </c>
    </row>
    <row r="91" spans="1:9" x14ac:dyDescent="0.25">
      <c r="A91" t="s">
        <v>232</v>
      </c>
      <c r="B91">
        <v>857</v>
      </c>
      <c r="C91">
        <v>-274</v>
      </c>
      <c r="D91">
        <v>2</v>
      </c>
      <c r="E91" t="s">
        <v>892</v>
      </c>
      <c r="F91" t="s">
        <v>906</v>
      </c>
      <c r="G91" t="s">
        <v>891</v>
      </c>
      <c r="H91" s="3" t="str">
        <f>VLOOKUP(A91,'Orders Dataset'!$A:$D,4,FALSE)</f>
        <v>Rajasthan</v>
      </c>
      <c r="I91" s="5" t="str">
        <f>VLOOKUP(A91,'Orders Dataset'!$A:$E,5,FALSE)</f>
        <v>Udaipur</v>
      </c>
    </row>
    <row r="92" spans="1:9" x14ac:dyDescent="0.25">
      <c r="A92" t="s">
        <v>258</v>
      </c>
      <c r="B92">
        <v>828</v>
      </c>
      <c r="C92">
        <v>230</v>
      </c>
      <c r="D92">
        <v>2</v>
      </c>
      <c r="E92" t="s">
        <v>892</v>
      </c>
      <c r="F92" t="s">
        <v>893</v>
      </c>
      <c r="G92" t="s">
        <v>891</v>
      </c>
      <c r="H92" s="3" t="str">
        <f>VLOOKUP(A92,'Orders Dataset'!$A:$D,4,FALSE)</f>
        <v>Madhya Pradesh</v>
      </c>
      <c r="I92" s="5" t="str">
        <f>VLOOKUP(A92,'Orders Dataset'!$A:$E,5,FALSE)</f>
        <v>Indore</v>
      </c>
    </row>
    <row r="93" spans="1:9" x14ac:dyDescent="0.25">
      <c r="A93" t="s">
        <v>142</v>
      </c>
      <c r="B93">
        <v>1279</v>
      </c>
      <c r="C93">
        <v>-640</v>
      </c>
      <c r="D93">
        <v>8</v>
      </c>
      <c r="E93" t="s">
        <v>889</v>
      </c>
      <c r="F93" t="s">
        <v>896</v>
      </c>
      <c r="G93" t="s">
        <v>894</v>
      </c>
      <c r="H93" s="3" t="str">
        <f>VLOOKUP(A93,'Orders Dataset'!$A:$D,4,FALSE)</f>
        <v>Nagaland</v>
      </c>
      <c r="I93" s="5" t="str">
        <f>VLOOKUP(A93,'Orders Dataset'!$A:$E,5,FALSE)</f>
        <v>Kohima</v>
      </c>
    </row>
    <row r="94" spans="1:9" x14ac:dyDescent="0.25">
      <c r="A94" t="s">
        <v>171</v>
      </c>
      <c r="B94">
        <v>1250</v>
      </c>
      <c r="C94">
        <v>486</v>
      </c>
      <c r="D94">
        <v>7</v>
      </c>
      <c r="E94" t="s">
        <v>899</v>
      </c>
      <c r="F94" t="s">
        <v>901</v>
      </c>
      <c r="G94" t="s">
        <v>894</v>
      </c>
      <c r="H94" s="3" t="str">
        <f>VLOOKUP(A94,'Orders Dataset'!$A:$D,4,FALSE)</f>
        <v>West Bengal</v>
      </c>
      <c r="I94" s="5" t="str">
        <f>VLOOKUP(A94,'Orders Dataset'!$A:$E,5,FALSE)</f>
        <v>Kolkata</v>
      </c>
    </row>
    <row r="95" spans="1:9" x14ac:dyDescent="0.25">
      <c r="A95" t="s">
        <v>260</v>
      </c>
      <c r="B95">
        <v>823</v>
      </c>
      <c r="C95">
        <v>-18</v>
      </c>
      <c r="D95">
        <v>7</v>
      </c>
      <c r="E95" t="s">
        <v>892</v>
      </c>
      <c r="F95" t="s">
        <v>893</v>
      </c>
      <c r="G95" t="s">
        <v>891</v>
      </c>
      <c r="H95" s="3" t="str">
        <f>VLOOKUP(A95,'Orders Dataset'!$A:$D,4,FALSE)</f>
        <v>Madhya Pradesh</v>
      </c>
      <c r="I95" s="5" t="str">
        <f>VLOOKUP(A95,'Orders Dataset'!$A:$E,5,FALSE)</f>
        <v>Indore</v>
      </c>
    </row>
    <row r="96" spans="1:9" x14ac:dyDescent="0.25">
      <c r="A96" t="s">
        <v>181</v>
      </c>
      <c r="B96">
        <v>1157</v>
      </c>
      <c r="C96">
        <v>-13</v>
      </c>
      <c r="D96">
        <v>9</v>
      </c>
      <c r="E96" t="s">
        <v>892</v>
      </c>
      <c r="F96" t="s">
        <v>895</v>
      </c>
      <c r="G96" t="s">
        <v>897</v>
      </c>
      <c r="H96" s="3" t="str">
        <f>VLOOKUP(A96,'Orders Dataset'!$A:$D,4,FALSE)</f>
        <v>Madhya Pradesh</v>
      </c>
      <c r="I96" s="5" t="str">
        <f>VLOOKUP(A96,'Orders Dataset'!$A:$E,5,FALSE)</f>
        <v>Indore</v>
      </c>
    </row>
    <row r="97" spans="1:9" x14ac:dyDescent="0.25">
      <c r="A97" t="s">
        <v>666</v>
      </c>
      <c r="B97">
        <v>126</v>
      </c>
      <c r="C97">
        <v>-63</v>
      </c>
      <c r="D97">
        <v>3</v>
      </c>
      <c r="E97" t="s">
        <v>889</v>
      </c>
      <c r="F97" t="s">
        <v>909</v>
      </c>
      <c r="G97" t="s">
        <v>902</v>
      </c>
      <c r="H97" s="3" t="str">
        <f>VLOOKUP(A97,'Orders Dataset'!$A:$D,4,FALSE)</f>
        <v>Maharashtra</v>
      </c>
      <c r="I97" s="5" t="str">
        <f>VLOOKUP(A97,'Orders Dataset'!$A:$E,5,FALSE)</f>
        <v>Mumbai</v>
      </c>
    </row>
    <row r="98" spans="1:9" x14ac:dyDescent="0.25">
      <c r="A98" t="s">
        <v>183</v>
      </c>
      <c r="B98">
        <v>1145</v>
      </c>
      <c r="C98">
        <v>-706</v>
      </c>
      <c r="D98">
        <v>3</v>
      </c>
      <c r="E98" t="s">
        <v>889</v>
      </c>
      <c r="F98" t="s">
        <v>898</v>
      </c>
      <c r="G98" t="s">
        <v>897</v>
      </c>
      <c r="H98" s="3" t="str">
        <f>VLOOKUP(A98,'Orders Dataset'!$A:$D,4,FALSE)</f>
        <v>Rajasthan</v>
      </c>
      <c r="I98" s="5" t="str">
        <f>VLOOKUP(A98,'Orders Dataset'!$A:$E,5,FALSE)</f>
        <v>Jaipur</v>
      </c>
    </row>
    <row r="99" spans="1:9" x14ac:dyDescent="0.25">
      <c r="A99" t="s">
        <v>269</v>
      </c>
      <c r="B99">
        <v>774</v>
      </c>
      <c r="C99">
        <v>170</v>
      </c>
      <c r="D99">
        <v>3</v>
      </c>
      <c r="E99" t="s">
        <v>889</v>
      </c>
      <c r="F99" t="s">
        <v>909</v>
      </c>
      <c r="G99" t="s">
        <v>891</v>
      </c>
      <c r="H99" s="3" t="str">
        <f>VLOOKUP(A99,'Orders Dataset'!$A:$D,4,FALSE)</f>
        <v>Karnataka</v>
      </c>
      <c r="I99" s="5" t="str">
        <f>VLOOKUP(A99,'Orders Dataset'!$A:$E,5,FALSE)</f>
        <v>Bangalore</v>
      </c>
    </row>
    <row r="100" spans="1:9" x14ac:dyDescent="0.25">
      <c r="A100" t="s">
        <v>126</v>
      </c>
      <c r="B100">
        <v>24</v>
      </c>
      <c r="C100">
        <v>-1</v>
      </c>
      <c r="D100">
        <v>2</v>
      </c>
      <c r="E100" t="s">
        <v>899</v>
      </c>
      <c r="F100" t="s">
        <v>903</v>
      </c>
      <c r="G100" t="s">
        <v>891</v>
      </c>
      <c r="H100" s="3" t="str">
        <f>VLOOKUP(A100,'Orders Dataset'!$A:$D,4,FALSE)</f>
        <v>Maharashtra</v>
      </c>
      <c r="I100" s="5" t="str">
        <f>VLOOKUP(A100,'Orders Dataset'!$A:$E,5,FALSE)</f>
        <v>Pune</v>
      </c>
    </row>
    <row r="101" spans="1:9" x14ac:dyDescent="0.25">
      <c r="A101" t="s">
        <v>267</v>
      </c>
      <c r="B101">
        <v>774</v>
      </c>
      <c r="C101">
        <v>170</v>
      </c>
      <c r="D101">
        <v>3</v>
      </c>
      <c r="E101" t="s">
        <v>889</v>
      </c>
      <c r="F101" t="s">
        <v>909</v>
      </c>
      <c r="G101" t="s">
        <v>891</v>
      </c>
      <c r="H101" s="3" t="str">
        <f>VLOOKUP(A101,'Orders Dataset'!$A:$D,4,FALSE)</f>
        <v>West Bengal</v>
      </c>
      <c r="I101" s="5" t="str">
        <f>VLOOKUP(A101,'Orders Dataset'!$A:$E,5,FALSE)</f>
        <v>Kolkata</v>
      </c>
    </row>
    <row r="102" spans="1:9" x14ac:dyDescent="0.25">
      <c r="A102" t="s">
        <v>230</v>
      </c>
      <c r="B102">
        <v>93</v>
      </c>
      <c r="C102">
        <v>-1</v>
      </c>
      <c r="D102">
        <v>2</v>
      </c>
      <c r="E102" t="s">
        <v>899</v>
      </c>
      <c r="F102" t="s">
        <v>903</v>
      </c>
      <c r="G102" t="s">
        <v>891</v>
      </c>
      <c r="H102" s="3" t="str">
        <f>VLOOKUP(A102,'Orders Dataset'!$A:$D,4,FALSE)</f>
        <v>Goa</v>
      </c>
      <c r="I102" s="5" t="str">
        <f>VLOOKUP(A102,'Orders Dataset'!$A:$E,5,FALSE)</f>
        <v>Goa</v>
      </c>
    </row>
    <row r="103" spans="1:9" x14ac:dyDescent="0.25">
      <c r="A103" t="s">
        <v>279</v>
      </c>
      <c r="B103">
        <v>765</v>
      </c>
      <c r="C103">
        <v>-36</v>
      </c>
      <c r="D103">
        <v>3</v>
      </c>
      <c r="E103" t="s">
        <v>889</v>
      </c>
      <c r="F103" t="s">
        <v>890</v>
      </c>
      <c r="G103" t="s">
        <v>891</v>
      </c>
      <c r="H103" s="3" t="str">
        <f>VLOOKUP(A103,'Orders Dataset'!$A:$D,4,FALSE)</f>
        <v>Madhya Pradesh</v>
      </c>
      <c r="I103" s="5" t="str">
        <f>VLOOKUP(A103,'Orders Dataset'!$A:$E,5,FALSE)</f>
        <v>Indore</v>
      </c>
    </row>
    <row r="104" spans="1:9" x14ac:dyDescent="0.25">
      <c r="A104" t="s">
        <v>281</v>
      </c>
      <c r="B104">
        <v>762</v>
      </c>
      <c r="C104">
        <v>101</v>
      </c>
      <c r="D104">
        <v>6</v>
      </c>
      <c r="E104" t="s">
        <v>889</v>
      </c>
      <c r="F104" t="s">
        <v>896</v>
      </c>
      <c r="G104" t="s">
        <v>891</v>
      </c>
      <c r="H104" s="3" t="str">
        <f>VLOOKUP(A104,'Orders Dataset'!$A:$D,4,FALSE)</f>
        <v>Haryana</v>
      </c>
      <c r="I104" s="5" t="str">
        <f>VLOOKUP(A104,'Orders Dataset'!$A:$E,5,FALSE)</f>
        <v>Chandigarh</v>
      </c>
    </row>
    <row r="105" spans="1:9" x14ac:dyDescent="0.25">
      <c r="A105" t="s">
        <v>132</v>
      </c>
      <c r="B105">
        <v>761</v>
      </c>
      <c r="C105">
        <v>266</v>
      </c>
      <c r="D105">
        <v>9</v>
      </c>
      <c r="E105" t="s">
        <v>889</v>
      </c>
      <c r="F105" t="s">
        <v>890</v>
      </c>
      <c r="G105" t="s">
        <v>891</v>
      </c>
      <c r="H105" s="3" t="str">
        <f>VLOOKUP(A105,'Orders Dataset'!$A:$D,4,FALSE)</f>
        <v>Madhya Pradesh</v>
      </c>
      <c r="I105" s="5" t="str">
        <f>VLOOKUP(A105,'Orders Dataset'!$A:$E,5,FALSE)</f>
        <v>Indore</v>
      </c>
    </row>
    <row r="106" spans="1:9" x14ac:dyDescent="0.25">
      <c r="A106" t="s">
        <v>392</v>
      </c>
      <c r="B106">
        <v>96</v>
      </c>
      <c r="C106">
        <v>-48</v>
      </c>
      <c r="D106">
        <v>5</v>
      </c>
      <c r="E106" t="s">
        <v>899</v>
      </c>
      <c r="F106" t="s">
        <v>908</v>
      </c>
      <c r="G106" t="s">
        <v>902</v>
      </c>
      <c r="H106" s="3" t="str">
        <f>VLOOKUP(A106,'Orders Dataset'!$A:$D,4,FALSE)</f>
        <v>Jammu and Kashmir</v>
      </c>
      <c r="I106" s="5" t="str">
        <f>VLOOKUP(A106,'Orders Dataset'!$A:$E,5,FALSE)</f>
        <v>Kashmir</v>
      </c>
    </row>
    <row r="107" spans="1:9" x14ac:dyDescent="0.25">
      <c r="A107" t="s">
        <v>187</v>
      </c>
      <c r="B107">
        <v>1137</v>
      </c>
      <c r="C107">
        <v>-14</v>
      </c>
      <c r="D107">
        <v>7</v>
      </c>
      <c r="E107" t="s">
        <v>889</v>
      </c>
      <c r="F107" t="s">
        <v>896</v>
      </c>
      <c r="G107" t="s">
        <v>894</v>
      </c>
      <c r="H107" s="3" t="str">
        <f>VLOOKUP(A107,'Orders Dataset'!$A:$D,4,FALSE)</f>
        <v>Madhya Pradesh</v>
      </c>
      <c r="I107" s="5" t="str">
        <f>VLOOKUP(A107,'Orders Dataset'!$A:$E,5,FALSE)</f>
        <v>Bhopal</v>
      </c>
    </row>
    <row r="108" spans="1:9" x14ac:dyDescent="0.25">
      <c r="A108" t="s">
        <v>183</v>
      </c>
      <c r="B108">
        <v>18</v>
      </c>
      <c r="C108">
        <v>8</v>
      </c>
      <c r="D108">
        <v>2</v>
      </c>
      <c r="E108" t="s">
        <v>899</v>
      </c>
      <c r="F108" t="s">
        <v>903</v>
      </c>
      <c r="G108" t="s">
        <v>911</v>
      </c>
      <c r="H108" s="3" t="str">
        <f>VLOOKUP(A108,'Orders Dataset'!$A:$D,4,FALSE)</f>
        <v>Rajasthan</v>
      </c>
      <c r="I108" s="5" t="str">
        <f>VLOOKUP(A108,'Orders Dataset'!$A:$E,5,FALSE)</f>
        <v>Jaipur</v>
      </c>
    </row>
    <row r="109" spans="1:9" x14ac:dyDescent="0.25">
      <c r="A109" t="s">
        <v>228</v>
      </c>
      <c r="B109">
        <v>749</v>
      </c>
      <c r="C109">
        <v>-307</v>
      </c>
      <c r="D109">
        <v>7</v>
      </c>
      <c r="E109" t="s">
        <v>892</v>
      </c>
      <c r="F109" t="s">
        <v>912</v>
      </c>
      <c r="G109" t="s">
        <v>891</v>
      </c>
      <c r="H109" s="3" t="str">
        <f>VLOOKUP(A109,'Orders Dataset'!$A:$D,4,FALSE)</f>
        <v>Rajasthan</v>
      </c>
      <c r="I109" s="5" t="str">
        <f>VLOOKUP(A109,'Orders Dataset'!$A:$E,5,FALSE)</f>
        <v>Udaipur</v>
      </c>
    </row>
    <row r="110" spans="1:9" x14ac:dyDescent="0.25">
      <c r="A110" t="s">
        <v>187</v>
      </c>
      <c r="B110">
        <v>1120</v>
      </c>
      <c r="C110">
        <v>199</v>
      </c>
      <c r="D110">
        <v>6</v>
      </c>
      <c r="E110" t="s">
        <v>899</v>
      </c>
      <c r="F110" t="s">
        <v>901</v>
      </c>
      <c r="G110" t="s">
        <v>894</v>
      </c>
      <c r="H110" s="3" t="str">
        <f>VLOOKUP(A110,'Orders Dataset'!$A:$D,4,FALSE)</f>
        <v>Madhya Pradesh</v>
      </c>
      <c r="I110" s="5" t="str">
        <f>VLOOKUP(A110,'Orders Dataset'!$A:$E,5,FALSE)</f>
        <v>Bhopal</v>
      </c>
    </row>
    <row r="111" spans="1:9" x14ac:dyDescent="0.25">
      <c r="A111" t="s">
        <v>177</v>
      </c>
      <c r="B111">
        <v>744</v>
      </c>
      <c r="C111">
        <v>119</v>
      </c>
      <c r="D111">
        <v>6</v>
      </c>
      <c r="E111" t="s">
        <v>889</v>
      </c>
      <c r="F111" t="s">
        <v>896</v>
      </c>
      <c r="G111" t="s">
        <v>891</v>
      </c>
      <c r="H111" s="3" t="str">
        <f>VLOOKUP(A111,'Orders Dataset'!$A:$D,4,FALSE)</f>
        <v>Andhra Pradesh</v>
      </c>
      <c r="I111" s="5" t="str">
        <f>VLOOKUP(A111,'Orders Dataset'!$A:$E,5,FALSE)</f>
        <v>Hyderabad</v>
      </c>
    </row>
    <row r="112" spans="1:9" x14ac:dyDescent="0.25">
      <c r="A112" t="s">
        <v>221</v>
      </c>
      <c r="B112">
        <v>14</v>
      </c>
      <c r="C112">
        <v>0</v>
      </c>
      <c r="D112">
        <v>4</v>
      </c>
      <c r="E112" t="s">
        <v>899</v>
      </c>
      <c r="F112" t="s">
        <v>903</v>
      </c>
      <c r="G112" t="s">
        <v>902</v>
      </c>
      <c r="H112" s="3" t="str">
        <f>VLOOKUP(A112,'Orders Dataset'!$A:$D,4,FALSE)</f>
        <v>Madhya Pradesh</v>
      </c>
      <c r="I112" s="5" t="str">
        <f>VLOOKUP(A112,'Orders Dataset'!$A:$E,5,FALSE)</f>
        <v>Indore</v>
      </c>
    </row>
    <row r="113" spans="1:9" x14ac:dyDescent="0.25">
      <c r="A113" t="s">
        <v>413</v>
      </c>
      <c r="B113">
        <v>19</v>
      </c>
      <c r="C113">
        <v>8</v>
      </c>
      <c r="D113">
        <v>2</v>
      </c>
      <c r="E113" t="s">
        <v>899</v>
      </c>
      <c r="F113" t="s">
        <v>903</v>
      </c>
      <c r="G113" t="s">
        <v>911</v>
      </c>
      <c r="H113" s="3" t="str">
        <f>VLOOKUP(A113,'Orders Dataset'!$A:$D,4,FALSE)</f>
        <v>Madhya Pradesh</v>
      </c>
      <c r="I113" s="5" t="str">
        <f>VLOOKUP(A113,'Orders Dataset'!$A:$E,5,FALSE)</f>
        <v>Indore</v>
      </c>
    </row>
    <row r="114" spans="1:9" x14ac:dyDescent="0.25">
      <c r="A114" t="s">
        <v>226</v>
      </c>
      <c r="B114">
        <v>512</v>
      </c>
      <c r="C114">
        <v>-225</v>
      </c>
      <c r="D114">
        <v>5</v>
      </c>
      <c r="E114" t="s">
        <v>899</v>
      </c>
      <c r="F114" t="s">
        <v>901</v>
      </c>
      <c r="G114" t="s">
        <v>891</v>
      </c>
      <c r="H114" s="3" t="str">
        <f>VLOOKUP(A114,'Orders Dataset'!$A:$D,4,FALSE)</f>
        <v>Maharashtra</v>
      </c>
      <c r="I114" s="5" t="str">
        <f>VLOOKUP(A114,'Orders Dataset'!$A:$E,5,FALSE)</f>
        <v>Mumbai</v>
      </c>
    </row>
    <row r="115" spans="1:9" x14ac:dyDescent="0.25">
      <c r="A115" t="s">
        <v>288</v>
      </c>
      <c r="B115">
        <v>742</v>
      </c>
      <c r="C115">
        <v>198</v>
      </c>
      <c r="D115">
        <v>2</v>
      </c>
      <c r="E115" t="s">
        <v>892</v>
      </c>
      <c r="F115" t="s">
        <v>895</v>
      </c>
      <c r="G115" t="s">
        <v>891</v>
      </c>
      <c r="H115" s="3" t="str">
        <f>VLOOKUP(A115,'Orders Dataset'!$A:$D,4,FALSE)</f>
        <v>Maharashtra</v>
      </c>
      <c r="I115" s="5" t="str">
        <f>VLOOKUP(A115,'Orders Dataset'!$A:$E,5,FALSE)</f>
        <v>Mumbai</v>
      </c>
    </row>
    <row r="116" spans="1:9" x14ac:dyDescent="0.25">
      <c r="A116" t="s">
        <v>802</v>
      </c>
      <c r="B116">
        <v>44</v>
      </c>
      <c r="C116">
        <v>-40</v>
      </c>
      <c r="D116">
        <v>3</v>
      </c>
      <c r="E116" t="s">
        <v>899</v>
      </c>
      <c r="F116" t="s">
        <v>907</v>
      </c>
      <c r="G116" t="s">
        <v>891</v>
      </c>
      <c r="H116" s="3" t="str">
        <f>VLOOKUP(A116,'Orders Dataset'!$A:$D,4,FALSE)</f>
        <v>Goa</v>
      </c>
      <c r="I116" s="5" t="str">
        <f>VLOOKUP(A116,'Orders Dataset'!$A:$E,5,FALSE)</f>
        <v>Goa</v>
      </c>
    </row>
    <row r="117" spans="1:9" x14ac:dyDescent="0.25">
      <c r="A117" t="s">
        <v>206</v>
      </c>
      <c r="B117">
        <v>1061</v>
      </c>
      <c r="C117">
        <v>-36</v>
      </c>
      <c r="D117">
        <v>8</v>
      </c>
      <c r="E117" t="s">
        <v>892</v>
      </c>
      <c r="F117" t="s">
        <v>895</v>
      </c>
      <c r="G117" t="s">
        <v>894</v>
      </c>
      <c r="H117" s="3" t="str">
        <f>VLOOKUP(A117,'Orders Dataset'!$A:$D,4,FALSE)</f>
        <v>Jammu and Kashmir</v>
      </c>
      <c r="I117" s="5" t="str">
        <f>VLOOKUP(A117,'Orders Dataset'!$A:$E,5,FALSE)</f>
        <v>Kashmir</v>
      </c>
    </row>
    <row r="118" spans="1:9" x14ac:dyDescent="0.25">
      <c r="A118" t="s">
        <v>862</v>
      </c>
      <c r="B118">
        <v>19</v>
      </c>
      <c r="C118">
        <v>-2</v>
      </c>
      <c r="D118">
        <v>2</v>
      </c>
      <c r="E118" t="s">
        <v>899</v>
      </c>
      <c r="F118" t="s">
        <v>908</v>
      </c>
      <c r="G118" t="s">
        <v>911</v>
      </c>
      <c r="H118" s="3" t="str">
        <f>VLOOKUP(A118,'Orders Dataset'!$A:$D,4,FALSE)</f>
        <v>Himachal Pradesh</v>
      </c>
      <c r="I118" s="5" t="str">
        <f>VLOOKUP(A118,'Orders Dataset'!$A:$E,5,FALSE)</f>
        <v>Simla</v>
      </c>
    </row>
    <row r="119" spans="1:9" x14ac:dyDescent="0.25">
      <c r="A119" t="s">
        <v>670</v>
      </c>
      <c r="B119">
        <v>17</v>
      </c>
      <c r="C119">
        <v>0</v>
      </c>
      <c r="D119">
        <v>1</v>
      </c>
      <c r="E119" t="s">
        <v>899</v>
      </c>
      <c r="F119" t="s">
        <v>903</v>
      </c>
      <c r="G119" t="s">
        <v>891</v>
      </c>
      <c r="H119" s="3" t="str">
        <f>VLOOKUP(A119,'Orders Dataset'!$A:$D,4,FALSE)</f>
        <v>West Bengal</v>
      </c>
      <c r="I119" s="5" t="str">
        <f>VLOOKUP(A119,'Orders Dataset'!$A:$E,5,FALSE)</f>
        <v>Kolkata</v>
      </c>
    </row>
    <row r="120" spans="1:9" x14ac:dyDescent="0.25">
      <c r="A120" t="s">
        <v>290</v>
      </c>
      <c r="B120">
        <v>741</v>
      </c>
      <c r="C120">
        <v>267</v>
      </c>
      <c r="D120">
        <v>5</v>
      </c>
      <c r="E120" t="s">
        <v>892</v>
      </c>
      <c r="F120" t="s">
        <v>895</v>
      </c>
      <c r="G120" t="s">
        <v>891</v>
      </c>
      <c r="H120" s="3" t="str">
        <f>VLOOKUP(A120,'Orders Dataset'!$A:$D,4,FALSE)</f>
        <v>Maharashtra</v>
      </c>
      <c r="I120" s="5" t="str">
        <f>VLOOKUP(A120,'Orders Dataset'!$A:$E,5,FALSE)</f>
        <v>Mumbai</v>
      </c>
    </row>
    <row r="121" spans="1:9" x14ac:dyDescent="0.25">
      <c r="A121" t="s">
        <v>132</v>
      </c>
      <c r="B121">
        <v>735</v>
      </c>
      <c r="C121">
        <v>-235</v>
      </c>
      <c r="D121">
        <v>6</v>
      </c>
      <c r="E121" t="s">
        <v>889</v>
      </c>
      <c r="F121" t="s">
        <v>896</v>
      </c>
      <c r="G121" t="s">
        <v>891</v>
      </c>
      <c r="H121" s="3" t="str">
        <f>VLOOKUP(A121,'Orders Dataset'!$A:$D,4,FALSE)</f>
        <v>Madhya Pradesh</v>
      </c>
      <c r="I121" s="5" t="str">
        <f>VLOOKUP(A121,'Orders Dataset'!$A:$E,5,FALSE)</f>
        <v>Indore</v>
      </c>
    </row>
    <row r="122" spans="1:9" x14ac:dyDescent="0.25">
      <c r="A122" t="s">
        <v>369</v>
      </c>
      <c r="B122">
        <v>19</v>
      </c>
      <c r="C122">
        <v>-1</v>
      </c>
      <c r="D122">
        <v>1</v>
      </c>
      <c r="E122" t="s">
        <v>899</v>
      </c>
      <c r="F122" t="s">
        <v>913</v>
      </c>
      <c r="G122" t="s">
        <v>911</v>
      </c>
      <c r="H122" s="3" t="str">
        <f>VLOOKUP(A122,'Orders Dataset'!$A:$D,4,FALSE)</f>
        <v>Madhya Pradesh</v>
      </c>
      <c r="I122" s="5" t="str">
        <f>VLOOKUP(A122,'Orders Dataset'!$A:$E,5,FALSE)</f>
        <v>Indore</v>
      </c>
    </row>
    <row r="123" spans="1:9" x14ac:dyDescent="0.25">
      <c r="A123" t="s">
        <v>213</v>
      </c>
      <c r="B123">
        <v>1021</v>
      </c>
      <c r="C123">
        <v>-48</v>
      </c>
      <c r="D123">
        <v>4</v>
      </c>
      <c r="E123" t="s">
        <v>889</v>
      </c>
      <c r="F123" t="s">
        <v>890</v>
      </c>
      <c r="G123" t="s">
        <v>894</v>
      </c>
      <c r="H123" s="3" t="str">
        <f>VLOOKUP(A123,'Orders Dataset'!$A:$D,4,FALSE)</f>
        <v>Madhya Pradesh</v>
      </c>
      <c r="I123" s="5" t="str">
        <f>VLOOKUP(A123,'Orders Dataset'!$A:$E,5,FALSE)</f>
        <v>Bhopal</v>
      </c>
    </row>
    <row r="124" spans="1:9" x14ac:dyDescent="0.25">
      <c r="A124" t="s">
        <v>364</v>
      </c>
      <c r="B124">
        <v>556</v>
      </c>
      <c r="C124">
        <v>-209</v>
      </c>
      <c r="D124">
        <v>7</v>
      </c>
      <c r="E124" t="s">
        <v>899</v>
      </c>
      <c r="F124" t="s">
        <v>901</v>
      </c>
      <c r="G124" t="s">
        <v>891</v>
      </c>
      <c r="H124" s="3" t="str">
        <f>VLOOKUP(A124,'Orders Dataset'!$A:$D,4,FALSE)</f>
        <v>Jammu and Kashmir</v>
      </c>
      <c r="I124" s="5" t="str">
        <f>VLOOKUP(A124,'Orders Dataset'!$A:$E,5,FALSE)</f>
        <v>Kashmir</v>
      </c>
    </row>
    <row r="125" spans="1:9" x14ac:dyDescent="0.25">
      <c r="A125" t="s">
        <v>550</v>
      </c>
      <c r="B125">
        <v>63</v>
      </c>
      <c r="C125">
        <v>-17</v>
      </c>
      <c r="D125">
        <v>6</v>
      </c>
      <c r="E125" t="s">
        <v>899</v>
      </c>
      <c r="F125" t="s">
        <v>908</v>
      </c>
      <c r="G125" t="s">
        <v>891</v>
      </c>
      <c r="H125" s="3" t="str">
        <f>VLOOKUP(A125,'Orders Dataset'!$A:$D,4,FALSE)</f>
        <v>Bihar</v>
      </c>
      <c r="I125" s="5" t="str">
        <f>VLOOKUP(A125,'Orders Dataset'!$A:$E,5,FALSE)</f>
        <v>Patna</v>
      </c>
    </row>
    <row r="126" spans="1:9" x14ac:dyDescent="0.25">
      <c r="A126" t="s">
        <v>294</v>
      </c>
      <c r="B126">
        <v>734</v>
      </c>
      <c r="C126">
        <v>248</v>
      </c>
      <c r="D126">
        <v>2</v>
      </c>
      <c r="E126" t="s">
        <v>892</v>
      </c>
      <c r="F126" t="s">
        <v>893</v>
      </c>
      <c r="G126" t="s">
        <v>891</v>
      </c>
      <c r="H126" s="3" t="str">
        <f>VLOOKUP(A126,'Orders Dataset'!$A:$D,4,FALSE)</f>
        <v>Madhya Pradesh</v>
      </c>
      <c r="I126" s="5" t="str">
        <f>VLOOKUP(A126,'Orders Dataset'!$A:$E,5,FALSE)</f>
        <v>Indore</v>
      </c>
    </row>
    <row r="127" spans="1:9" x14ac:dyDescent="0.25">
      <c r="A127" t="s">
        <v>116</v>
      </c>
      <c r="B127">
        <v>933</v>
      </c>
      <c r="C127">
        <v>166</v>
      </c>
      <c r="D127">
        <v>5</v>
      </c>
      <c r="E127" t="s">
        <v>899</v>
      </c>
      <c r="F127" t="s">
        <v>901</v>
      </c>
      <c r="G127" t="s">
        <v>897</v>
      </c>
      <c r="H127" s="3" t="str">
        <f>VLOOKUP(A127,'Orders Dataset'!$A:$D,4,FALSE)</f>
        <v>Maharashtra</v>
      </c>
      <c r="I127" s="5" t="str">
        <f>VLOOKUP(A127,'Orders Dataset'!$A:$E,5,FALSE)</f>
        <v>Mumbai</v>
      </c>
    </row>
    <row r="128" spans="1:9" x14ac:dyDescent="0.25">
      <c r="A128" t="s">
        <v>860</v>
      </c>
      <c r="B128">
        <v>20</v>
      </c>
      <c r="C128">
        <v>-9</v>
      </c>
      <c r="D128">
        <v>6</v>
      </c>
      <c r="E128" t="s">
        <v>899</v>
      </c>
      <c r="F128" t="s">
        <v>903</v>
      </c>
      <c r="G128" t="s">
        <v>911</v>
      </c>
      <c r="H128" s="3" t="str">
        <f>VLOOKUP(A128,'Orders Dataset'!$A:$D,4,FALSE)</f>
        <v>Sikkim</v>
      </c>
      <c r="I128" s="5" t="str">
        <f>VLOOKUP(A128,'Orders Dataset'!$A:$E,5,FALSE)</f>
        <v>Gangtok</v>
      </c>
    </row>
    <row r="129" spans="1:9" x14ac:dyDescent="0.25">
      <c r="A129" t="s">
        <v>242</v>
      </c>
      <c r="B129">
        <v>877</v>
      </c>
      <c r="C129">
        <v>395</v>
      </c>
      <c r="D129">
        <v>2</v>
      </c>
      <c r="E129" t="s">
        <v>892</v>
      </c>
      <c r="F129" t="s">
        <v>895</v>
      </c>
      <c r="G129" t="s">
        <v>897</v>
      </c>
      <c r="H129" s="3" t="str">
        <f>VLOOKUP(A129,'Orders Dataset'!$A:$D,4,FALSE)</f>
        <v>Madhya Pradesh</v>
      </c>
      <c r="I129" s="5" t="str">
        <f>VLOOKUP(A129,'Orders Dataset'!$A:$E,5,FALSE)</f>
        <v>Bhopal</v>
      </c>
    </row>
    <row r="130" spans="1:9" x14ac:dyDescent="0.25">
      <c r="A130" t="s">
        <v>290</v>
      </c>
      <c r="B130">
        <v>719</v>
      </c>
      <c r="C130">
        <v>303</v>
      </c>
      <c r="D130">
        <v>6</v>
      </c>
      <c r="E130" t="s">
        <v>892</v>
      </c>
      <c r="F130" t="s">
        <v>893</v>
      </c>
      <c r="G130" t="s">
        <v>891</v>
      </c>
      <c r="H130" s="3" t="str">
        <f>VLOOKUP(A130,'Orders Dataset'!$A:$D,4,FALSE)</f>
        <v>Maharashtra</v>
      </c>
      <c r="I130" s="5" t="str">
        <f>VLOOKUP(A130,'Orders Dataset'!$A:$E,5,FALSE)</f>
        <v>Mumbai</v>
      </c>
    </row>
    <row r="131" spans="1:9" x14ac:dyDescent="0.25">
      <c r="A131" t="s">
        <v>136</v>
      </c>
      <c r="B131">
        <v>12</v>
      </c>
      <c r="C131">
        <v>1</v>
      </c>
      <c r="D131">
        <v>2</v>
      </c>
      <c r="E131" t="s">
        <v>899</v>
      </c>
      <c r="F131" t="s">
        <v>903</v>
      </c>
      <c r="G131" t="s">
        <v>891</v>
      </c>
      <c r="H131" s="3" t="str">
        <f>VLOOKUP(A131,'Orders Dataset'!$A:$D,4,FALSE)</f>
        <v>Madhya Pradesh</v>
      </c>
      <c r="I131" s="5" t="str">
        <f>VLOOKUP(A131,'Orders Dataset'!$A:$E,5,FALSE)</f>
        <v>Bhopal</v>
      </c>
    </row>
    <row r="132" spans="1:9" x14ac:dyDescent="0.25">
      <c r="A132" t="s">
        <v>300</v>
      </c>
      <c r="B132">
        <v>714</v>
      </c>
      <c r="C132">
        <v>56</v>
      </c>
      <c r="D132">
        <v>4</v>
      </c>
      <c r="E132" t="s">
        <v>899</v>
      </c>
      <c r="F132" t="s">
        <v>901</v>
      </c>
      <c r="G132" t="s">
        <v>891</v>
      </c>
      <c r="H132" s="3" t="str">
        <f>VLOOKUP(A132,'Orders Dataset'!$A:$D,4,FALSE)</f>
        <v>Maharashtra</v>
      </c>
      <c r="I132" s="5" t="str">
        <f>VLOOKUP(A132,'Orders Dataset'!$A:$E,5,FALSE)</f>
        <v>Mumbai</v>
      </c>
    </row>
    <row r="133" spans="1:9" x14ac:dyDescent="0.25">
      <c r="A133" t="s">
        <v>797</v>
      </c>
      <c r="B133">
        <v>50</v>
      </c>
      <c r="C133">
        <v>-15</v>
      </c>
      <c r="D133">
        <v>4</v>
      </c>
      <c r="E133" t="s">
        <v>899</v>
      </c>
      <c r="F133" t="s">
        <v>908</v>
      </c>
      <c r="G133" t="s">
        <v>891</v>
      </c>
      <c r="H133" s="3" t="str">
        <f>VLOOKUP(A133,'Orders Dataset'!$A:$D,4,FALSE)</f>
        <v>Jammu and Kashmir</v>
      </c>
      <c r="I133" s="5" t="str">
        <f>VLOOKUP(A133,'Orders Dataset'!$A:$E,5,FALSE)</f>
        <v>Kashmir</v>
      </c>
    </row>
    <row r="134" spans="1:9" x14ac:dyDescent="0.25">
      <c r="A134" t="s">
        <v>306</v>
      </c>
      <c r="B134">
        <v>709</v>
      </c>
      <c r="C134">
        <v>-100</v>
      </c>
      <c r="D134">
        <v>5</v>
      </c>
      <c r="E134" t="s">
        <v>889</v>
      </c>
      <c r="F134" t="s">
        <v>898</v>
      </c>
      <c r="G134" t="s">
        <v>891</v>
      </c>
      <c r="H134" s="3" t="str">
        <f>VLOOKUP(A134,'Orders Dataset'!$A:$D,4,FALSE)</f>
        <v>Madhya Pradesh</v>
      </c>
      <c r="I134" s="5" t="str">
        <f>VLOOKUP(A134,'Orders Dataset'!$A:$E,5,FALSE)</f>
        <v>Indore</v>
      </c>
    </row>
    <row r="135" spans="1:9" x14ac:dyDescent="0.25">
      <c r="A135" t="s">
        <v>677</v>
      </c>
      <c r="B135">
        <v>21</v>
      </c>
      <c r="C135">
        <v>-12</v>
      </c>
      <c r="D135">
        <v>3</v>
      </c>
      <c r="E135" t="s">
        <v>899</v>
      </c>
      <c r="F135" t="s">
        <v>903</v>
      </c>
      <c r="G135" t="s">
        <v>911</v>
      </c>
      <c r="H135" s="3" t="str">
        <f>VLOOKUP(A135,'Orders Dataset'!$A:$D,4,FALSE)</f>
        <v>Kerala</v>
      </c>
      <c r="I135" s="5" t="str">
        <f>VLOOKUP(A135,'Orders Dataset'!$A:$E,5,FALSE)</f>
        <v>Thiruvananthapuram</v>
      </c>
    </row>
    <row r="136" spans="1:9" x14ac:dyDescent="0.25">
      <c r="A136" t="s">
        <v>308</v>
      </c>
      <c r="B136">
        <v>693</v>
      </c>
      <c r="C136">
        <v>254</v>
      </c>
      <c r="D136">
        <v>6</v>
      </c>
      <c r="E136" t="s">
        <v>899</v>
      </c>
      <c r="F136" t="s">
        <v>901</v>
      </c>
      <c r="G136" t="s">
        <v>891</v>
      </c>
      <c r="H136" s="3" t="str">
        <f>VLOOKUP(A136,'Orders Dataset'!$A:$D,4,FALSE)</f>
        <v>Sikkim</v>
      </c>
      <c r="I136" s="5" t="str">
        <f>VLOOKUP(A136,'Orders Dataset'!$A:$E,5,FALSE)</f>
        <v>Gangtok</v>
      </c>
    </row>
    <row r="137" spans="1:9" x14ac:dyDescent="0.25">
      <c r="A137" t="s">
        <v>230</v>
      </c>
      <c r="B137">
        <v>24</v>
      </c>
      <c r="C137">
        <v>1</v>
      </c>
      <c r="D137">
        <v>4</v>
      </c>
      <c r="E137" t="s">
        <v>899</v>
      </c>
      <c r="F137" t="s">
        <v>903</v>
      </c>
      <c r="G137" t="s">
        <v>891</v>
      </c>
      <c r="H137" s="3" t="str">
        <f>VLOOKUP(A137,'Orders Dataset'!$A:$D,4,FALSE)</f>
        <v>Goa</v>
      </c>
      <c r="I137" s="5" t="str">
        <f>VLOOKUP(A137,'Orders Dataset'!$A:$E,5,FALSE)</f>
        <v>Goa</v>
      </c>
    </row>
    <row r="138" spans="1:9" x14ac:dyDescent="0.25">
      <c r="A138" t="s">
        <v>320</v>
      </c>
      <c r="B138">
        <v>24</v>
      </c>
      <c r="C138">
        <v>1</v>
      </c>
      <c r="D138">
        <v>2</v>
      </c>
      <c r="E138" t="s">
        <v>899</v>
      </c>
      <c r="F138" t="s">
        <v>903</v>
      </c>
      <c r="G138" t="s">
        <v>902</v>
      </c>
      <c r="H138" s="3" t="str">
        <f>VLOOKUP(A138,'Orders Dataset'!$A:$D,4,FALSE)</f>
        <v>Goa</v>
      </c>
      <c r="I138" s="5" t="str">
        <f>VLOOKUP(A138,'Orders Dataset'!$A:$E,5,FALSE)</f>
        <v>Goa</v>
      </c>
    </row>
    <row r="139" spans="1:9" x14ac:dyDescent="0.25">
      <c r="A139" t="s">
        <v>246</v>
      </c>
      <c r="B139">
        <v>24</v>
      </c>
      <c r="C139">
        <v>1</v>
      </c>
      <c r="D139">
        <v>2</v>
      </c>
      <c r="E139" t="s">
        <v>899</v>
      </c>
      <c r="F139" t="s">
        <v>903</v>
      </c>
      <c r="G139" t="s">
        <v>891</v>
      </c>
      <c r="H139" s="3" t="str">
        <f>VLOOKUP(A139,'Orders Dataset'!$A:$D,4,FALSE)</f>
        <v>Andhra Pradesh</v>
      </c>
      <c r="I139" s="5" t="str">
        <f>VLOOKUP(A139,'Orders Dataset'!$A:$E,5,FALSE)</f>
        <v>Hyderabad</v>
      </c>
    </row>
    <row r="140" spans="1:9" x14ac:dyDescent="0.25">
      <c r="A140" t="s">
        <v>856</v>
      </c>
      <c r="B140">
        <v>21</v>
      </c>
      <c r="C140">
        <v>10</v>
      </c>
      <c r="D140">
        <v>1</v>
      </c>
      <c r="E140" t="s">
        <v>899</v>
      </c>
      <c r="F140" t="s">
        <v>910</v>
      </c>
      <c r="G140" t="s">
        <v>911</v>
      </c>
      <c r="H140" s="3" t="str">
        <f>VLOOKUP(A140,'Orders Dataset'!$A:$D,4,FALSE)</f>
        <v>Gujarat</v>
      </c>
      <c r="I140" s="5" t="str">
        <f>VLOOKUP(A140,'Orders Dataset'!$A:$E,5,FALSE)</f>
        <v>Ahmedabad</v>
      </c>
    </row>
    <row r="141" spans="1:9" x14ac:dyDescent="0.25">
      <c r="A141" t="s">
        <v>311</v>
      </c>
      <c r="B141">
        <v>681</v>
      </c>
      <c r="C141">
        <v>259</v>
      </c>
      <c r="D141">
        <v>4</v>
      </c>
      <c r="E141" t="s">
        <v>892</v>
      </c>
      <c r="F141" t="s">
        <v>893</v>
      </c>
      <c r="G141" t="s">
        <v>891</v>
      </c>
      <c r="H141" s="3" t="str">
        <f>VLOOKUP(A141,'Orders Dataset'!$A:$D,4,FALSE)</f>
        <v>Madhya Pradesh</v>
      </c>
      <c r="I141" s="5" t="str">
        <f>VLOOKUP(A141,'Orders Dataset'!$A:$E,5,FALSE)</f>
        <v>Indore</v>
      </c>
    </row>
    <row r="142" spans="1:9" x14ac:dyDescent="0.25">
      <c r="A142" t="s">
        <v>168</v>
      </c>
      <c r="B142">
        <v>674</v>
      </c>
      <c r="C142">
        <v>-187</v>
      </c>
      <c r="D142">
        <v>2</v>
      </c>
      <c r="E142" t="s">
        <v>892</v>
      </c>
      <c r="F142" t="s">
        <v>906</v>
      </c>
      <c r="G142" t="s">
        <v>891</v>
      </c>
      <c r="H142" s="3" t="str">
        <f>VLOOKUP(A142,'Orders Dataset'!$A:$D,4,FALSE)</f>
        <v>Rajasthan</v>
      </c>
      <c r="I142" s="5" t="str">
        <f>VLOOKUP(A142,'Orders Dataset'!$A:$E,5,FALSE)</f>
        <v>Jaipur</v>
      </c>
    </row>
    <row r="143" spans="1:9" x14ac:dyDescent="0.25">
      <c r="A143" t="s">
        <v>315</v>
      </c>
      <c r="B143">
        <v>671</v>
      </c>
      <c r="C143">
        <v>-309</v>
      </c>
      <c r="D143">
        <v>5</v>
      </c>
      <c r="E143" t="s">
        <v>889</v>
      </c>
      <c r="F143" t="s">
        <v>890</v>
      </c>
      <c r="G143" t="s">
        <v>891</v>
      </c>
      <c r="H143" s="3" t="str">
        <f>VLOOKUP(A143,'Orders Dataset'!$A:$D,4,FALSE)</f>
        <v>Karnataka</v>
      </c>
      <c r="I143" s="5" t="str">
        <f>VLOOKUP(A143,'Orders Dataset'!$A:$E,5,FALSE)</f>
        <v>Bangalore</v>
      </c>
    </row>
    <row r="144" spans="1:9" x14ac:dyDescent="0.25">
      <c r="A144" t="s">
        <v>323</v>
      </c>
      <c r="B144">
        <v>646</v>
      </c>
      <c r="C144">
        <v>-213</v>
      </c>
      <c r="D144">
        <v>3</v>
      </c>
      <c r="E144" t="s">
        <v>889</v>
      </c>
      <c r="F144" t="s">
        <v>890</v>
      </c>
      <c r="G144" t="s">
        <v>891</v>
      </c>
      <c r="H144" s="3" t="str">
        <f>VLOOKUP(A144,'Orders Dataset'!$A:$D,4,FALSE)</f>
        <v>Punjab</v>
      </c>
      <c r="I144" s="5" t="str">
        <f>VLOOKUP(A144,'Orders Dataset'!$A:$E,5,FALSE)</f>
        <v>Amritsar</v>
      </c>
    </row>
    <row r="145" spans="1:9" x14ac:dyDescent="0.25">
      <c r="A145" t="s">
        <v>817</v>
      </c>
      <c r="B145">
        <v>40</v>
      </c>
      <c r="C145">
        <v>15</v>
      </c>
      <c r="D145">
        <v>1</v>
      </c>
      <c r="E145" t="s">
        <v>899</v>
      </c>
      <c r="F145" t="s">
        <v>904</v>
      </c>
      <c r="G145" t="s">
        <v>891</v>
      </c>
      <c r="H145" s="3" t="str">
        <f>VLOOKUP(A145,'Orders Dataset'!$A:$D,4,FALSE)</f>
        <v>Madhya Pradesh</v>
      </c>
      <c r="I145" s="5" t="str">
        <f>VLOOKUP(A145,'Orders Dataset'!$A:$E,5,FALSE)</f>
        <v>Bhopal</v>
      </c>
    </row>
    <row r="146" spans="1:9" x14ac:dyDescent="0.25">
      <c r="A146" t="s">
        <v>446</v>
      </c>
      <c r="B146">
        <v>24</v>
      </c>
      <c r="C146">
        <v>-2</v>
      </c>
      <c r="D146">
        <v>2</v>
      </c>
      <c r="E146" t="s">
        <v>899</v>
      </c>
      <c r="F146" t="s">
        <v>910</v>
      </c>
      <c r="G146" t="s">
        <v>891</v>
      </c>
      <c r="H146" s="3" t="str">
        <f>VLOOKUP(A146,'Orders Dataset'!$A:$D,4,FALSE)</f>
        <v>Maharashtra</v>
      </c>
      <c r="I146" s="5" t="str">
        <f>VLOOKUP(A146,'Orders Dataset'!$A:$E,5,FALSE)</f>
        <v>Mumbai</v>
      </c>
    </row>
    <row r="147" spans="1:9" x14ac:dyDescent="0.25">
      <c r="A147" t="s">
        <v>93</v>
      </c>
      <c r="B147">
        <v>644</v>
      </c>
      <c r="C147">
        <v>167</v>
      </c>
      <c r="D147">
        <v>2</v>
      </c>
      <c r="E147" t="s">
        <v>889</v>
      </c>
      <c r="F147" t="s">
        <v>896</v>
      </c>
      <c r="G147" t="s">
        <v>891</v>
      </c>
      <c r="H147" s="3" t="str">
        <f>VLOOKUP(A147,'Orders Dataset'!$A:$D,4,FALSE)</f>
        <v>Madhya Pradesh</v>
      </c>
      <c r="I147" s="5" t="str">
        <f>VLOOKUP(A147,'Orders Dataset'!$A:$E,5,FALSE)</f>
        <v>Indore</v>
      </c>
    </row>
    <row r="148" spans="1:9" x14ac:dyDescent="0.25">
      <c r="A148" t="s">
        <v>326</v>
      </c>
      <c r="B148">
        <v>643</v>
      </c>
      <c r="C148">
        <v>225</v>
      </c>
      <c r="D148">
        <v>2</v>
      </c>
      <c r="E148" t="s">
        <v>889</v>
      </c>
      <c r="F148" t="s">
        <v>896</v>
      </c>
      <c r="G148" t="s">
        <v>891</v>
      </c>
      <c r="H148" s="3" t="str">
        <f>VLOOKUP(A148,'Orders Dataset'!$A:$D,4,FALSE)</f>
        <v>Haryana</v>
      </c>
      <c r="I148" s="5" t="str">
        <f>VLOOKUP(A148,'Orders Dataset'!$A:$E,5,FALSE)</f>
        <v>Chandigarh</v>
      </c>
    </row>
    <row r="149" spans="1:9" x14ac:dyDescent="0.25">
      <c r="A149" t="s">
        <v>339</v>
      </c>
      <c r="B149">
        <v>632</v>
      </c>
      <c r="C149">
        <v>-316</v>
      </c>
      <c r="D149">
        <v>6</v>
      </c>
      <c r="E149" t="s">
        <v>899</v>
      </c>
      <c r="F149" t="s">
        <v>901</v>
      </c>
      <c r="G149" t="s">
        <v>891</v>
      </c>
      <c r="H149" s="3" t="str">
        <f>VLOOKUP(A149,'Orders Dataset'!$A:$D,4,FALSE)</f>
        <v>Maharashtra</v>
      </c>
      <c r="I149" s="5" t="str">
        <f>VLOOKUP(A149,'Orders Dataset'!$A:$E,5,FALSE)</f>
        <v>Mumbai</v>
      </c>
    </row>
    <row r="150" spans="1:9" x14ac:dyDescent="0.25">
      <c r="A150" t="s">
        <v>337</v>
      </c>
      <c r="B150">
        <v>632</v>
      </c>
      <c r="C150">
        <v>316</v>
      </c>
      <c r="D150">
        <v>6</v>
      </c>
      <c r="E150" t="s">
        <v>899</v>
      </c>
      <c r="F150" t="s">
        <v>901</v>
      </c>
      <c r="G150" t="s">
        <v>891</v>
      </c>
      <c r="H150" s="3" t="str">
        <f>VLOOKUP(A150,'Orders Dataset'!$A:$D,4,FALSE)</f>
        <v>Madhya Pradesh</v>
      </c>
      <c r="I150" s="5" t="str">
        <f>VLOOKUP(A150,'Orders Dataset'!$A:$E,5,FALSE)</f>
        <v>Bhopal</v>
      </c>
    </row>
    <row r="151" spans="1:9" x14ac:dyDescent="0.25">
      <c r="A151" t="s">
        <v>9</v>
      </c>
      <c r="B151">
        <v>610</v>
      </c>
      <c r="C151">
        <v>208</v>
      </c>
      <c r="D151">
        <v>3</v>
      </c>
      <c r="E151" t="s">
        <v>889</v>
      </c>
      <c r="F151" t="s">
        <v>896</v>
      </c>
      <c r="G151" t="s">
        <v>891</v>
      </c>
      <c r="H151" s="3" t="str">
        <f>VLOOKUP(A151,'Orders Dataset'!$A:$D,4,FALSE)</f>
        <v>Delhi</v>
      </c>
      <c r="I151" s="5" t="str">
        <f>VLOOKUP(A151,'Orders Dataset'!$A:$E,5,FALSE)</f>
        <v>Delhi</v>
      </c>
    </row>
    <row r="152" spans="1:9" x14ac:dyDescent="0.25">
      <c r="A152" t="s">
        <v>269</v>
      </c>
      <c r="B152">
        <v>78</v>
      </c>
      <c r="C152">
        <v>-28</v>
      </c>
      <c r="D152">
        <v>6</v>
      </c>
      <c r="E152" t="s">
        <v>899</v>
      </c>
      <c r="F152" t="s">
        <v>904</v>
      </c>
      <c r="G152" t="s">
        <v>902</v>
      </c>
      <c r="H152" s="3" t="str">
        <f>VLOOKUP(A152,'Orders Dataset'!$A:$D,4,FALSE)</f>
        <v>Karnataka</v>
      </c>
      <c r="I152" s="5" t="str">
        <f>VLOOKUP(A152,'Orders Dataset'!$A:$E,5,FALSE)</f>
        <v>Bangalore</v>
      </c>
    </row>
    <row r="153" spans="1:9" x14ac:dyDescent="0.25">
      <c r="A153" t="s">
        <v>350</v>
      </c>
      <c r="B153">
        <v>595</v>
      </c>
      <c r="C153">
        <v>119</v>
      </c>
      <c r="D153">
        <v>4</v>
      </c>
      <c r="E153" t="s">
        <v>892</v>
      </c>
      <c r="F153" t="s">
        <v>895</v>
      </c>
      <c r="G153" t="s">
        <v>891</v>
      </c>
      <c r="H153" s="3" t="str">
        <f>VLOOKUP(A153,'Orders Dataset'!$A:$D,4,FALSE)</f>
        <v>Punjab</v>
      </c>
      <c r="I153" s="5" t="str">
        <f>VLOOKUP(A153,'Orders Dataset'!$A:$E,5,FALSE)</f>
        <v>Chandigarh</v>
      </c>
    </row>
    <row r="154" spans="1:9" x14ac:dyDescent="0.25">
      <c r="A154" t="s">
        <v>349</v>
      </c>
      <c r="B154">
        <v>595</v>
      </c>
      <c r="C154">
        <v>292</v>
      </c>
      <c r="D154">
        <v>3</v>
      </c>
      <c r="E154" t="s">
        <v>899</v>
      </c>
      <c r="F154" t="s">
        <v>901</v>
      </c>
      <c r="G154" t="s">
        <v>891</v>
      </c>
      <c r="H154" s="3" t="str">
        <f>VLOOKUP(A154,'Orders Dataset'!$A:$D,4,FALSE)</f>
        <v>West Bengal</v>
      </c>
      <c r="I154" s="5" t="str">
        <f>VLOOKUP(A154,'Orders Dataset'!$A:$E,5,FALSE)</f>
        <v>Kolkata</v>
      </c>
    </row>
    <row r="155" spans="1:9" x14ac:dyDescent="0.25">
      <c r="A155" t="s">
        <v>28</v>
      </c>
      <c r="B155">
        <v>852</v>
      </c>
      <c r="C155">
        <v>51</v>
      </c>
      <c r="D155">
        <v>5</v>
      </c>
      <c r="E155" t="s">
        <v>892</v>
      </c>
      <c r="F155" t="s">
        <v>895</v>
      </c>
      <c r="G155" t="s">
        <v>897</v>
      </c>
      <c r="H155" s="3" t="str">
        <f>VLOOKUP(A155,'Orders Dataset'!$A:$D,4,FALSE)</f>
        <v>Maharashtra</v>
      </c>
      <c r="I155" s="5" t="str">
        <f>VLOOKUP(A155,'Orders Dataset'!$A:$E,5,FALSE)</f>
        <v>Pune</v>
      </c>
    </row>
    <row r="156" spans="1:9" x14ac:dyDescent="0.25">
      <c r="A156" t="s">
        <v>352</v>
      </c>
      <c r="B156">
        <v>594</v>
      </c>
      <c r="C156">
        <v>89</v>
      </c>
      <c r="D156">
        <v>3</v>
      </c>
      <c r="E156" t="s">
        <v>892</v>
      </c>
      <c r="F156" t="s">
        <v>895</v>
      </c>
      <c r="G156" t="s">
        <v>891</v>
      </c>
      <c r="H156" s="3" t="str">
        <f>VLOOKUP(A156,'Orders Dataset'!$A:$D,4,FALSE)</f>
        <v>Jammu and Kashmir</v>
      </c>
      <c r="I156" s="5" t="str">
        <f>VLOOKUP(A156,'Orders Dataset'!$A:$E,5,FALSE)</f>
        <v>Kashmir</v>
      </c>
    </row>
    <row r="157" spans="1:9" x14ac:dyDescent="0.25">
      <c r="A157" t="s">
        <v>263</v>
      </c>
      <c r="B157">
        <v>585</v>
      </c>
      <c r="C157">
        <v>175</v>
      </c>
      <c r="D157">
        <v>13</v>
      </c>
      <c r="E157" t="s">
        <v>899</v>
      </c>
      <c r="F157" t="s">
        <v>910</v>
      </c>
      <c r="G157" t="s">
        <v>891</v>
      </c>
      <c r="H157" s="3" t="str">
        <f>VLOOKUP(A157,'Orders Dataset'!$A:$D,4,FALSE)</f>
        <v>Uttar Pradesh</v>
      </c>
      <c r="I157" s="5" t="str">
        <f>VLOOKUP(A157,'Orders Dataset'!$A:$E,5,FALSE)</f>
        <v>Lucknow</v>
      </c>
    </row>
    <row r="158" spans="1:9" x14ac:dyDescent="0.25">
      <c r="A158" t="s">
        <v>353</v>
      </c>
      <c r="B158">
        <v>582</v>
      </c>
      <c r="C158">
        <v>262</v>
      </c>
      <c r="D158">
        <v>5</v>
      </c>
      <c r="E158" t="s">
        <v>892</v>
      </c>
      <c r="F158" t="s">
        <v>912</v>
      </c>
      <c r="G158" t="s">
        <v>891</v>
      </c>
      <c r="H158" s="3" t="str">
        <f>VLOOKUP(A158,'Orders Dataset'!$A:$D,4,FALSE)</f>
        <v>Karnataka</v>
      </c>
      <c r="I158" s="5" t="str">
        <f>VLOOKUP(A158,'Orders Dataset'!$A:$E,5,FALSE)</f>
        <v>Bangalore</v>
      </c>
    </row>
    <row r="159" spans="1:9" x14ac:dyDescent="0.25">
      <c r="A159" t="s">
        <v>252</v>
      </c>
      <c r="B159">
        <v>845</v>
      </c>
      <c r="C159">
        <v>84</v>
      </c>
      <c r="D159">
        <v>7</v>
      </c>
      <c r="E159" t="s">
        <v>899</v>
      </c>
      <c r="F159" t="s">
        <v>901</v>
      </c>
      <c r="G159" t="s">
        <v>897</v>
      </c>
      <c r="H159" s="3" t="str">
        <f>VLOOKUP(A159,'Orders Dataset'!$A:$D,4,FALSE)</f>
        <v>Andhra Pradesh</v>
      </c>
      <c r="I159" s="5" t="str">
        <f>VLOOKUP(A159,'Orders Dataset'!$A:$E,5,FALSE)</f>
        <v>Hyderabad</v>
      </c>
    </row>
    <row r="160" spans="1:9" x14ac:dyDescent="0.25">
      <c r="A160" t="s">
        <v>144</v>
      </c>
      <c r="B160">
        <v>829</v>
      </c>
      <c r="C160">
        <v>19</v>
      </c>
      <c r="D160">
        <v>4</v>
      </c>
      <c r="E160" t="s">
        <v>889</v>
      </c>
      <c r="F160" t="s">
        <v>896</v>
      </c>
      <c r="G160" t="s">
        <v>897</v>
      </c>
      <c r="H160" s="3" t="str">
        <f>VLOOKUP(A160,'Orders Dataset'!$A:$D,4,FALSE)</f>
        <v>Madhya Pradesh</v>
      </c>
      <c r="I160" s="5" t="str">
        <f>VLOOKUP(A160,'Orders Dataset'!$A:$E,5,FALSE)</f>
        <v>Bhopal</v>
      </c>
    </row>
    <row r="161" spans="1:9" x14ac:dyDescent="0.25">
      <c r="A161" t="s">
        <v>34</v>
      </c>
      <c r="B161">
        <v>561</v>
      </c>
      <c r="C161">
        <v>212</v>
      </c>
      <c r="D161">
        <v>3</v>
      </c>
      <c r="E161" t="s">
        <v>899</v>
      </c>
      <c r="F161" t="s">
        <v>901</v>
      </c>
      <c r="G161" t="s">
        <v>891</v>
      </c>
      <c r="H161" s="3" t="str">
        <f>VLOOKUP(A161,'Orders Dataset'!$A:$D,4,FALSE)</f>
        <v>Maharashtra</v>
      </c>
      <c r="I161" s="5" t="str">
        <f>VLOOKUP(A161,'Orders Dataset'!$A:$E,5,FALSE)</f>
        <v>Pune</v>
      </c>
    </row>
    <row r="162" spans="1:9" x14ac:dyDescent="0.25">
      <c r="A162" t="s">
        <v>208</v>
      </c>
      <c r="B162">
        <v>771</v>
      </c>
      <c r="C162">
        <v>-424</v>
      </c>
      <c r="D162">
        <v>2</v>
      </c>
      <c r="E162" t="s">
        <v>889</v>
      </c>
      <c r="F162" t="s">
        <v>898</v>
      </c>
      <c r="G162" t="s">
        <v>897</v>
      </c>
      <c r="H162" s="3" t="str">
        <f>VLOOKUP(A162,'Orders Dataset'!$A:$D,4,FALSE)</f>
        <v>Maharashtra</v>
      </c>
      <c r="I162" s="5" t="str">
        <f>VLOOKUP(A162,'Orders Dataset'!$A:$E,5,FALSE)</f>
        <v>Pune</v>
      </c>
    </row>
    <row r="163" spans="1:9" x14ac:dyDescent="0.25">
      <c r="A163" t="s">
        <v>277</v>
      </c>
      <c r="B163">
        <v>765</v>
      </c>
      <c r="C163">
        <v>8</v>
      </c>
      <c r="D163">
        <v>6</v>
      </c>
      <c r="E163" t="s">
        <v>899</v>
      </c>
      <c r="F163" t="s">
        <v>901</v>
      </c>
      <c r="G163" t="s">
        <v>894</v>
      </c>
      <c r="H163" s="3" t="str">
        <f>VLOOKUP(A163,'Orders Dataset'!$A:$D,4,FALSE)</f>
        <v>Madhya Pradesh</v>
      </c>
      <c r="I163" s="5" t="str">
        <f>VLOOKUP(A163,'Orders Dataset'!$A:$E,5,FALSE)</f>
        <v>Indore</v>
      </c>
    </row>
    <row r="164" spans="1:9" x14ac:dyDescent="0.25">
      <c r="A164" t="s">
        <v>478</v>
      </c>
      <c r="B164">
        <v>31</v>
      </c>
      <c r="C164">
        <v>2</v>
      </c>
      <c r="D164">
        <v>2</v>
      </c>
      <c r="E164" t="s">
        <v>899</v>
      </c>
      <c r="F164" t="s">
        <v>903</v>
      </c>
      <c r="G164" t="s">
        <v>891</v>
      </c>
      <c r="H164" s="3" t="str">
        <f>VLOOKUP(A164,'Orders Dataset'!$A:$D,4,FALSE)</f>
        <v>Delhi</v>
      </c>
      <c r="I164" s="5" t="str">
        <f>VLOOKUP(A164,'Orders Dataset'!$A:$E,5,FALSE)</f>
        <v>Delhi</v>
      </c>
    </row>
    <row r="165" spans="1:9" x14ac:dyDescent="0.25">
      <c r="A165" t="s">
        <v>362</v>
      </c>
      <c r="B165">
        <v>557</v>
      </c>
      <c r="C165">
        <v>-111</v>
      </c>
      <c r="D165">
        <v>2</v>
      </c>
      <c r="E165" t="s">
        <v>889</v>
      </c>
      <c r="F165" t="s">
        <v>890</v>
      </c>
      <c r="G165" t="s">
        <v>891</v>
      </c>
      <c r="H165" s="3" t="str">
        <f>VLOOKUP(A165,'Orders Dataset'!$A:$D,4,FALSE)</f>
        <v>West Bengal</v>
      </c>
      <c r="I165" s="5" t="str">
        <f>VLOOKUP(A165,'Orders Dataset'!$A:$E,5,FALSE)</f>
        <v>Kolkata</v>
      </c>
    </row>
    <row r="166" spans="1:9" x14ac:dyDescent="0.25">
      <c r="A166" t="s">
        <v>277</v>
      </c>
      <c r="B166">
        <v>757</v>
      </c>
      <c r="C166">
        <v>371</v>
      </c>
      <c r="D166">
        <v>2</v>
      </c>
      <c r="E166" t="s">
        <v>889</v>
      </c>
      <c r="F166" t="s">
        <v>896</v>
      </c>
      <c r="G166" t="s">
        <v>897</v>
      </c>
      <c r="H166" s="3" t="str">
        <f>VLOOKUP(A166,'Orders Dataset'!$A:$D,4,FALSE)</f>
        <v>Madhya Pradesh</v>
      </c>
      <c r="I166" s="5" t="str">
        <f>VLOOKUP(A166,'Orders Dataset'!$A:$E,5,FALSE)</f>
        <v>Indore</v>
      </c>
    </row>
    <row r="167" spans="1:9" x14ac:dyDescent="0.25">
      <c r="A167" t="s">
        <v>366</v>
      </c>
      <c r="B167">
        <v>545</v>
      </c>
      <c r="C167">
        <v>-73</v>
      </c>
      <c r="D167">
        <v>11</v>
      </c>
      <c r="E167" t="s">
        <v>889</v>
      </c>
      <c r="F167" t="s">
        <v>898</v>
      </c>
      <c r="G167" t="s">
        <v>891</v>
      </c>
      <c r="H167" s="3" t="str">
        <f>VLOOKUP(A167,'Orders Dataset'!$A:$D,4,FALSE)</f>
        <v>Bihar</v>
      </c>
      <c r="I167" s="5" t="str">
        <f>VLOOKUP(A167,'Orders Dataset'!$A:$E,5,FALSE)</f>
        <v>Patna</v>
      </c>
    </row>
    <row r="168" spans="1:9" x14ac:dyDescent="0.25">
      <c r="A168" t="s">
        <v>210</v>
      </c>
      <c r="B168">
        <v>1052</v>
      </c>
      <c r="C168">
        <v>-82</v>
      </c>
      <c r="D168">
        <v>3</v>
      </c>
      <c r="E168" t="s">
        <v>892</v>
      </c>
      <c r="F168" t="s">
        <v>895</v>
      </c>
      <c r="G168" t="s">
        <v>902</v>
      </c>
      <c r="H168" s="3" t="str">
        <f>VLOOKUP(A168,'Orders Dataset'!$A:$D,4,FALSE)</f>
        <v>Maharashtra</v>
      </c>
      <c r="I168" s="5" t="str">
        <f>VLOOKUP(A168,'Orders Dataset'!$A:$E,5,FALSE)</f>
        <v>Mumbai</v>
      </c>
    </row>
    <row r="169" spans="1:9" x14ac:dyDescent="0.25">
      <c r="A169" t="s">
        <v>367</v>
      </c>
      <c r="B169">
        <v>544</v>
      </c>
      <c r="C169">
        <v>-152</v>
      </c>
      <c r="D169">
        <v>3</v>
      </c>
      <c r="E169" t="s">
        <v>892</v>
      </c>
      <c r="F169" t="s">
        <v>895</v>
      </c>
      <c r="G169" t="s">
        <v>891</v>
      </c>
      <c r="H169" s="3" t="str">
        <f>VLOOKUP(A169,'Orders Dataset'!$A:$D,4,FALSE)</f>
        <v>Maharashtra</v>
      </c>
      <c r="I169" s="5" t="str">
        <f>VLOOKUP(A169,'Orders Dataset'!$A:$E,5,FALSE)</f>
        <v>Pune</v>
      </c>
    </row>
    <row r="170" spans="1:9" x14ac:dyDescent="0.25">
      <c r="A170" t="s">
        <v>250</v>
      </c>
      <c r="B170">
        <v>22</v>
      </c>
      <c r="C170">
        <v>9</v>
      </c>
      <c r="D170">
        <v>2</v>
      </c>
      <c r="E170" t="s">
        <v>899</v>
      </c>
      <c r="F170" t="s">
        <v>908</v>
      </c>
      <c r="G170" t="s">
        <v>911</v>
      </c>
      <c r="H170" s="3" t="str">
        <f>VLOOKUP(A170,'Orders Dataset'!$A:$D,4,FALSE)</f>
        <v>Uttar Pradesh</v>
      </c>
      <c r="I170" s="5" t="str">
        <f>VLOOKUP(A170,'Orders Dataset'!$A:$E,5,FALSE)</f>
        <v>Prayagraj</v>
      </c>
    </row>
    <row r="171" spans="1:9" x14ac:dyDescent="0.25">
      <c r="A171" t="s">
        <v>282</v>
      </c>
      <c r="B171">
        <v>757</v>
      </c>
      <c r="C171">
        <v>371</v>
      </c>
      <c r="D171">
        <v>2</v>
      </c>
      <c r="E171" t="s">
        <v>889</v>
      </c>
      <c r="F171" t="s">
        <v>896</v>
      </c>
      <c r="G171" t="s">
        <v>897</v>
      </c>
      <c r="H171" s="3" t="str">
        <f>VLOOKUP(A171,'Orders Dataset'!$A:$D,4,FALSE)</f>
        <v>Kerala</v>
      </c>
      <c r="I171" s="5" t="str">
        <f>VLOOKUP(A171,'Orders Dataset'!$A:$E,5,FALSE)</f>
        <v>Thiruvananthapuram</v>
      </c>
    </row>
    <row r="172" spans="1:9" x14ac:dyDescent="0.25">
      <c r="A172" t="s">
        <v>286</v>
      </c>
      <c r="B172">
        <v>742</v>
      </c>
      <c r="C172">
        <v>198</v>
      </c>
      <c r="D172">
        <v>2</v>
      </c>
      <c r="E172" t="s">
        <v>892</v>
      </c>
      <c r="F172" t="s">
        <v>895</v>
      </c>
      <c r="G172" t="s">
        <v>897</v>
      </c>
      <c r="H172" s="3" t="str">
        <f>VLOOKUP(A172,'Orders Dataset'!$A:$D,4,FALSE)</f>
        <v>West Bengal</v>
      </c>
      <c r="I172" s="5" t="str">
        <f>VLOOKUP(A172,'Orders Dataset'!$A:$E,5,FALSE)</f>
        <v>Kolkata</v>
      </c>
    </row>
    <row r="173" spans="1:9" x14ac:dyDescent="0.25">
      <c r="A173" t="s">
        <v>371</v>
      </c>
      <c r="B173">
        <v>537</v>
      </c>
      <c r="C173">
        <v>107</v>
      </c>
      <c r="D173">
        <v>3</v>
      </c>
      <c r="E173" t="s">
        <v>899</v>
      </c>
      <c r="F173" t="s">
        <v>901</v>
      </c>
      <c r="G173" t="s">
        <v>891</v>
      </c>
      <c r="H173" s="3" t="str">
        <f>VLOOKUP(A173,'Orders Dataset'!$A:$D,4,FALSE)</f>
        <v>Punjab</v>
      </c>
      <c r="I173" s="5" t="str">
        <f>VLOOKUP(A173,'Orders Dataset'!$A:$E,5,FALSE)</f>
        <v>Chandigarh</v>
      </c>
    </row>
    <row r="174" spans="1:9" x14ac:dyDescent="0.25">
      <c r="A174" t="s">
        <v>277</v>
      </c>
      <c r="B174">
        <v>536</v>
      </c>
      <c r="C174">
        <v>91</v>
      </c>
      <c r="D174">
        <v>1</v>
      </c>
      <c r="E174" t="s">
        <v>899</v>
      </c>
      <c r="F174" t="s">
        <v>900</v>
      </c>
      <c r="G174" t="s">
        <v>891</v>
      </c>
      <c r="H174" s="3" t="str">
        <f>VLOOKUP(A174,'Orders Dataset'!$A:$D,4,FALSE)</f>
        <v>Madhya Pradesh</v>
      </c>
      <c r="I174" s="5" t="str">
        <f>VLOOKUP(A174,'Orders Dataset'!$A:$E,5,FALSE)</f>
        <v>Indore</v>
      </c>
    </row>
    <row r="175" spans="1:9" x14ac:dyDescent="0.25">
      <c r="A175" t="s">
        <v>126</v>
      </c>
      <c r="B175">
        <v>6</v>
      </c>
      <c r="C175">
        <v>3</v>
      </c>
      <c r="D175">
        <v>1</v>
      </c>
      <c r="E175" t="s">
        <v>899</v>
      </c>
      <c r="F175" t="s">
        <v>903</v>
      </c>
      <c r="G175" t="s">
        <v>891</v>
      </c>
      <c r="H175" s="3" t="str">
        <f>VLOOKUP(A175,'Orders Dataset'!$A:$D,4,FALSE)</f>
        <v>Maharashtra</v>
      </c>
      <c r="I175" s="5" t="str">
        <f>VLOOKUP(A175,'Orders Dataset'!$A:$E,5,FALSE)</f>
        <v>Pune</v>
      </c>
    </row>
    <row r="176" spans="1:9" x14ac:dyDescent="0.25">
      <c r="A176" t="s">
        <v>87</v>
      </c>
      <c r="B176">
        <v>523</v>
      </c>
      <c r="C176">
        <v>204</v>
      </c>
      <c r="D176">
        <v>7</v>
      </c>
      <c r="E176" t="s">
        <v>899</v>
      </c>
      <c r="F176" t="s">
        <v>900</v>
      </c>
      <c r="G176" t="s">
        <v>891</v>
      </c>
      <c r="H176" s="3" t="str">
        <f>VLOOKUP(A176,'Orders Dataset'!$A:$D,4,FALSE)</f>
        <v>Madhya Pradesh</v>
      </c>
      <c r="I176" s="5" t="str">
        <f>VLOOKUP(A176,'Orders Dataset'!$A:$E,5,FALSE)</f>
        <v>Indore</v>
      </c>
    </row>
    <row r="177" spans="1:9" x14ac:dyDescent="0.25">
      <c r="A177" t="s">
        <v>845</v>
      </c>
      <c r="B177">
        <v>27</v>
      </c>
      <c r="C177">
        <v>9</v>
      </c>
      <c r="D177">
        <v>2</v>
      </c>
      <c r="E177" t="s">
        <v>899</v>
      </c>
      <c r="F177" t="s">
        <v>910</v>
      </c>
      <c r="G177" t="s">
        <v>902</v>
      </c>
      <c r="H177" s="3" t="str">
        <f>VLOOKUP(A177,'Orders Dataset'!$A:$D,4,FALSE)</f>
        <v>Rajasthan</v>
      </c>
      <c r="I177" s="5" t="str">
        <f>VLOOKUP(A177,'Orders Dataset'!$A:$E,5,FALSE)</f>
        <v>Jaipur</v>
      </c>
    </row>
    <row r="178" spans="1:9" x14ac:dyDescent="0.25">
      <c r="A178" t="s">
        <v>381</v>
      </c>
      <c r="B178">
        <v>516</v>
      </c>
      <c r="C178">
        <v>392</v>
      </c>
      <c r="D178">
        <v>8</v>
      </c>
      <c r="E178" t="s">
        <v>892</v>
      </c>
      <c r="F178" t="s">
        <v>893</v>
      </c>
      <c r="G178" t="s">
        <v>891</v>
      </c>
      <c r="H178" s="3" t="str">
        <f>VLOOKUP(A178,'Orders Dataset'!$A:$D,4,FALSE)</f>
        <v>Tamil Nadu</v>
      </c>
      <c r="I178" s="5" t="str">
        <f>VLOOKUP(A178,'Orders Dataset'!$A:$E,5,FALSE)</f>
        <v>Chennai</v>
      </c>
    </row>
    <row r="179" spans="1:9" x14ac:dyDescent="0.25">
      <c r="A179" t="s">
        <v>385</v>
      </c>
      <c r="B179">
        <v>504</v>
      </c>
      <c r="C179">
        <v>116</v>
      </c>
      <c r="D179">
        <v>3</v>
      </c>
      <c r="E179" t="s">
        <v>892</v>
      </c>
      <c r="F179" t="s">
        <v>895</v>
      </c>
      <c r="G179" t="s">
        <v>891</v>
      </c>
      <c r="H179" s="3" t="str">
        <f>VLOOKUP(A179,'Orders Dataset'!$A:$D,4,FALSE)</f>
        <v>Maharashtra</v>
      </c>
      <c r="I179" s="5" t="str">
        <f>VLOOKUP(A179,'Orders Dataset'!$A:$E,5,FALSE)</f>
        <v>Mumbai</v>
      </c>
    </row>
    <row r="180" spans="1:9" x14ac:dyDescent="0.25">
      <c r="A180" t="s">
        <v>389</v>
      </c>
      <c r="B180">
        <v>502</v>
      </c>
      <c r="C180">
        <v>84</v>
      </c>
      <c r="D180">
        <v>4</v>
      </c>
      <c r="E180" t="s">
        <v>889</v>
      </c>
      <c r="F180" t="s">
        <v>898</v>
      </c>
      <c r="G180" t="s">
        <v>891</v>
      </c>
      <c r="H180" s="3" t="str">
        <f>VLOOKUP(A180,'Orders Dataset'!$A:$D,4,FALSE)</f>
        <v>Rajasthan</v>
      </c>
      <c r="I180" s="5" t="str">
        <f>VLOOKUP(A180,'Orders Dataset'!$A:$E,5,FALSE)</f>
        <v>Udaipur</v>
      </c>
    </row>
    <row r="181" spans="1:9" x14ac:dyDescent="0.25">
      <c r="A181" t="s">
        <v>296</v>
      </c>
      <c r="B181">
        <v>734</v>
      </c>
      <c r="C181">
        <v>213</v>
      </c>
      <c r="D181">
        <v>6</v>
      </c>
      <c r="E181" t="s">
        <v>889</v>
      </c>
      <c r="F181" t="s">
        <v>890</v>
      </c>
      <c r="G181" t="s">
        <v>897</v>
      </c>
      <c r="H181" s="3" t="str">
        <f>VLOOKUP(A181,'Orders Dataset'!$A:$D,4,FALSE)</f>
        <v>Madhya Pradesh</v>
      </c>
      <c r="I181" s="5" t="str">
        <f>VLOOKUP(A181,'Orders Dataset'!$A:$E,5,FALSE)</f>
        <v>Indore</v>
      </c>
    </row>
    <row r="182" spans="1:9" x14ac:dyDescent="0.25">
      <c r="A182" t="s">
        <v>162</v>
      </c>
      <c r="B182">
        <v>42</v>
      </c>
      <c r="C182">
        <v>12</v>
      </c>
      <c r="D182">
        <v>2</v>
      </c>
      <c r="E182" t="s">
        <v>899</v>
      </c>
      <c r="F182" t="s">
        <v>904</v>
      </c>
      <c r="G182" t="s">
        <v>891</v>
      </c>
      <c r="H182" s="3" t="str">
        <f>VLOOKUP(A182,'Orders Dataset'!$A:$D,4,FALSE)</f>
        <v>Madhya Pradesh</v>
      </c>
      <c r="I182" s="5" t="str">
        <f>VLOOKUP(A182,'Orders Dataset'!$A:$E,5,FALSE)</f>
        <v>Indore</v>
      </c>
    </row>
    <row r="183" spans="1:9" x14ac:dyDescent="0.25">
      <c r="A183" t="s">
        <v>36</v>
      </c>
      <c r="B183">
        <v>29</v>
      </c>
      <c r="C183">
        <v>11</v>
      </c>
      <c r="D183">
        <v>4</v>
      </c>
      <c r="E183" t="s">
        <v>899</v>
      </c>
      <c r="F183" t="s">
        <v>905</v>
      </c>
      <c r="G183" t="s">
        <v>891</v>
      </c>
      <c r="H183" s="3" t="str">
        <f>VLOOKUP(A183,'Orders Dataset'!$A:$D,4,FALSE)</f>
        <v>Maharashtra</v>
      </c>
      <c r="I183" s="5" t="str">
        <f>VLOOKUP(A183,'Orders Dataset'!$A:$E,5,FALSE)</f>
        <v>Mumbai</v>
      </c>
    </row>
    <row r="184" spans="1:9" x14ac:dyDescent="0.25">
      <c r="A184" t="s">
        <v>538</v>
      </c>
      <c r="B184">
        <v>240</v>
      </c>
      <c r="C184">
        <v>12</v>
      </c>
      <c r="D184">
        <v>6</v>
      </c>
      <c r="E184" t="s">
        <v>899</v>
      </c>
      <c r="F184" t="s">
        <v>904</v>
      </c>
      <c r="G184" t="s">
        <v>902</v>
      </c>
      <c r="H184" s="3" t="str">
        <f>VLOOKUP(A184,'Orders Dataset'!$A:$D,4,FALSE)</f>
        <v>Sikkim</v>
      </c>
      <c r="I184" s="5" t="str">
        <f>VLOOKUP(A184,'Orders Dataset'!$A:$E,5,FALSE)</f>
        <v>Gangtok</v>
      </c>
    </row>
    <row r="185" spans="1:9" x14ac:dyDescent="0.25">
      <c r="A185" t="s">
        <v>302</v>
      </c>
      <c r="B185">
        <v>496</v>
      </c>
      <c r="C185">
        <v>-79</v>
      </c>
      <c r="D185">
        <v>2</v>
      </c>
      <c r="E185" t="s">
        <v>899</v>
      </c>
      <c r="F185" t="s">
        <v>900</v>
      </c>
      <c r="G185" t="s">
        <v>891</v>
      </c>
      <c r="H185" s="3" t="str">
        <f>VLOOKUP(A185,'Orders Dataset'!$A:$D,4,FALSE)</f>
        <v>Sikkim</v>
      </c>
      <c r="I185" s="5" t="str">
        <f>VLOOKUP(A185,'Orders Dataset'!$A:$E,5,FALSE)</f>
        <v>Gangtok</v>
      </c>
    </row>
    <row r="186" spans="1:9" x14ac:dyDescent="0.25">
      <c r="A186" t="s">
        <v>399</v>
      </c>
      <c r="B186">
        <v>485</v>
      </c>
      <c r="C186">
        <v>29</v>
      </c>
      <c r="D186">
        <v>4</v>
      </c>
      <c r="E186" t="s">
        <v>889</v>
      </c>
      <c r="F186" t="s">
        <v>890</v>
      </c>
      <c r="G186" t="s">
        <v>891</v>
      </c>
      <c r="H186" s="3" t="str">
        <f>VLOOKUP(A186,'Orders Dataset'!$A:$D,4,FALSE)</f>
        <v>Uttar Pradesh</v>
      </c>
      <c r="I186" s="5" t="str">
        <f>VLOOKUP(A186,'Orders Dataset'!$A:$E,5,FALSE)</f>
        <v>Lucknow</v>
      </c>
    </row>
    <row r="187" spans="1:9" x14ac:dyDescent="0.25">
      <c r="A187" t="s">
        <v>509</v>
      </c>
      <c r="B187">
        <v>31</v>
      </c>
      <c r="C187">
        <v>-11</v>
      </c>
      <c r="D187">
        <v>3</v>
      </c>
      <c r="E187" t="s">
        <v>899</v>
      </c>
      <c r="F187" t="s">
        <v>905</v>
      </c>
      <c r="G187" t="s">
        <v>902</v>
      </c>
      <c r="H187" s="3" t="str">
        <f>VLOOKUP(A187,'Orders Dataset'!$A:$D,4,FALSE)</f>
        <v>Maharashtra</v>
      </c>
      <c r="I187" s="5" t="str">
        <f>VLOOKUP(A187,'Orders Dataset'!$A:$E,5,FALSE)</f>
        <v>Mumbai</v>
      </c>
    </row>
    <row r="188" spans="1:9" x14ac:dyDescent="0.25">
      <c r="A188" t="s">
        <v>313</v>
      </c>
      <c r="B188">
        <v>676</v>
      </c>
      <c r="C188">
        <v>151</v>
      </c>
      <c r="D188">
        <v>3</v>
      </c>
      <c r="E188" t="s">
        <v>889</v>
      </c>
      <c r="F188" t="s">
        <v>896</v>
      </c>
      <c r="G188" t="s">
        <v>897</v>
      </c>
      <c r="H188" s="3" t="str">
        <f>VLOOKUP(A188,'Orders Dataset'!$A:$D,4,FALSE)</f>
        <v>Delhi</v>
      </c>
      <c r="I188" s="5" t="str">
        <f>VLOOKUP(A188,'Orders Dataset'!$A:$E,5,FALSE)</f>
        <v>Delhi</v>
      </c>
    </row>
    <row r="189" spans="1:9" x14ac:dyDescent="0.25">
      <c r="A189" t="s">
        <v>311</v>
      </c>
      <c r="B189">
        <v>23</v>
      </c>
      <c r="C189">
        <v>8</v>
      </c>
      <c r="D189">
        <v>2</v>
      </c>
      <c r="E189" t="s">
        <v>899</v>
      </c>
      <c r="F189" t="s">
        <v>903</v>
      </c>
      <c r="G189" t="s">
        <v>911</v>
      </c>
      <c r="H189" s="3" t="str">
        <f>VLOOKUP(A189,'Orders Dataset'!$A:$D,4,FALSE)</f>
        <v>Madhya Pradesh</v>
      </c>
      <c r="I189" s="5" t="str">
        <f>VLOOKUP(A189,'Orders Dataset'!$A:$E,5,FALSE)</f>
        <v>Indore</v>
      </c>
    </row>
    <row r="190" spans="1:9" x14ac:dyDescent="0.25">
      <c r="A190" t="s">
        <v>787</v>
      </c>
      <c r="B190">
        <v>13</v>
      </c>
      <c r="C190">
        <v>3</v>
      </c>
      <c r="D190">
        <v>2</v>
      </c>
      <c r="E190" t="s">
        <v>899</v>
      </c>
      <c r="F190" t="s">
        <v>903</v>
      </c>
      <c r="G190" t="s">
        <v>891</v>
      </c>
      <c r="H190" s="3" t="str">
        <f>VLOOKUP(A190,'Orders Dataset'!$A:$D,4,FALSE)</f>
        <v>Goa</v>
      </c>
      <c r="I190" s="5" t="str">
        <f>VLOOKUP(A190,'Orders Dataset'!$A:$E,5,FALSE)</f>
        <v>Goa</v>
      </c>
    </row>
    <row r="191" spans="1:9" x14ac:dyDescent="0.25">
      <c r="A191" t="s">
        <v>495</v>
      </c>
      <c r="B191">
        <v>180</v>
      </c>
      <c r="C191">
        <v>0</v>
      </c>
      <c r="D191">
        <v>8</v>
      </c>
      <c r="E191" t="s">
        <v>899</v>
      </c>
      <c r="F191" t="s">
        <v>907</v>
      </c>
      <c r="G191" t="s">
        <v>891</v>
      </c>
      <c r="H191" s="3" t="str">
        <f>VLOOKUP(A191,'Orders Dataset'!$A:$D,4,FALSE)</f>
        <v>Himachal Pradesh</v>
      </c>
      <c r="I191" s="5" t="str">
        <f>VLOOKUP(A191,'Orders Dataset'!$A:$E,5,FALSE)</f>
        <v>Simla</v>
      </c>
    </row>
    <row r="192" spans="1:9" x14ac:dyDescent="0.25">
      <c r="A192" t="s">
        <v>5</v>
      </c>
      <c r="B192">
        <v>671</v>
      </c>
      <c r="C192">
        <v>114</v>
      </c>
      <c r="D192">
        <v>9</v>
      </c>
      <c r="E192" t="s">
        <v>889</v>
      </c>
      <c r="F192" t="s">
        <v>898</v>
      </c>
      <c r="G192" t="s">
        <v>897</v>
      </c>
      <c r="H192" s="3" t="str">
        <f>VLOOKUP(A192,'Orders Dataset'!$A:$D,4,FALSE)</f>
        <v>Uttar Pradesh</v>
      </c>
      <c r="I192" s="5" t="str">
        <f>VLOOKUP(A192,'Orders Dataset'!$A:$E,5,FALSE)</f>
        <v>Mathura</v>
      </c>
    </row>
    <row r="193" spans="1:9" x14ac:dyDescent="0.25">
      <c r="A193" t="s">
        <v>854</v>
      </c>
      <c r="B193">
        <v>22</v>
      </c>
      <c r="C193">
        <v>11</v>
      </c>
      <c r="D193">
        <v>3</v>
      </c>
      <c r="E193" t="s">
        <v>899</v>
      </c>
      <c r="F193" t="s">
        <v>904</v>
      </c>
      <c r="G193" t="s">
        <v>891</v>
      </c>
      <c r="H193" s="3" t="str">
        <f>VLOOKUP(A193,'Orders Dataset'!$A:$D,4,FALSE)</f>
        <v>Rajasthan</v>
      </c>
      <c r="I193" s="5" t="str">
        <f>VLOOKUP(A193,'Orders Dataset'!$A:$E,5,FALSE)</f>
        <v>Udaipur</v>
      </c>
    </row>
    <row r="194" spans="1:9" x14ac:dyDescent="0.25">
      <c r="A194" t="s">
        <v>142</v>
      </c>
      <c r="B194">
        <v>668</v>
      </c>
      <c r="C194">
        <v>-31</v>
      </c>
      <c r="D194">
        <v>3</v>
      </c>
      <c r="E194" t="s">
        <v>889</v>
      </c>
      <c r="F194" t="s">
        <v>896</v>
      </c>
      <c r="G194" t="s">
        <v>897</v>
      </c>
      <c r="H194" s="3" t="str">
        <f>VLOOKUP(A194,'Orders Dataset'!$A:$D,4,FALSE)</f>
        <v>Nagaland</v>
      </c>
      <c r="I194" s="5" t="str">
        <f>VLOOKUP(A194,'Orders Dataset'!$A:$E,5,FALSE)</f>
        <v>Kohima</v>
      </c>
    </row>
    <row r="195" spans="1:9" x14ac:dyDescent="0.25">
      <c r="A195" t="s">
        <v>269</v>
      </c>
      <c r="B195">
        <v>145</v>
      </c>
      <c r="C195">
        <v>0</v>
      </c>
      <c r="D195">
        <v>3</v>
      </c>
      <c r="E195" t="s">
        <v>899</v>
      </c>
      <c r="F195" t="s">
        <v>901</v>
      </c>
      <c r="G195" t="s">
        <v>902</v>
      </c>
      <c r="H195" s="3" t="str">
        <f>VLOOKUP(A195,'Orders Dataset'!$A:$D,4,FALSE)</f>
        <v>Karnataka</v>
      </c>
      <c r="I195" s="5" t="str">
        <f>VLOOKUP(A195,'Orders Dataset'!$A:$E,5,FALSE)</f>
        <v>Bangalore</v>
      </c>
    </row>
    <row r="196" spans="1:9" x14ac:dyDescent="0.25">
      <c r="A196" t="s">
        <v>185</v>
      </c>
      <c r="B196">
        <v>24</v>
      </c>
      <c r="C196">
        <v>8</v>
      </c>
      <c r="D196">
        <v>2</v>
      </c>
      <c r="E196" t="s">
        <v>899</v>
      </c>
      <c r="F196" t="s">
        <v>905</v>
      </c>
      <c r="G196" t="s">
        <v>911</v>
      </c>
      <c r="H196" s="3" t="str">
        <f>VLOOKUP(A196,'Orders Dataset'!$A:$D,4,FALSE)</f>
        <v>Gujarat</v>
      </c>
      <c r="I196" s="5" t="str">
        <f>VLOOKUP(A196,'Orders Dataset'!$A:$E,5,FALSE)</f>
        <v>Surat</v>
      </c>
    </row>
    <row r="197" spans="1:9" x14ac:dyDescent="0.25">
      <c r="A197" t="s">
        <v>128</v>
      </c>
      <c r="B197">
        <v>476</v>
      </c>
      <c r="C197">
        <v>0</v>
      </c>
      <c r="D197">
        <v>3</v>
      </c>
      <c r="E197" t="s">
        <v>892</v>
      </c>
      <c r="F197" t="s">
        <v>893</v>
      </c>
      <c r="G197" t="s">
        <v>891</v>
      </c>
      <c r="H197" s="3" t="str">
        <f>VLOOKUP(A197,'Orders Dataset'!$A:$D,4,FALSE)</f>
        <v>Tamil Nadu</v>
      </c>
      <c r="I197" s="5" t="str">
        <f>VLOOKUP(A197,'Orders Dataset'!$A:$E,5,FALSE)</f>
        <v>Chennai</v>
      </c>
    </row>
    <row r="198" spans="1:9" x14ac:dyDescent="0.25">
      <c r="A198" t="s">
        <v>296</v>
      </c>
      <c r="B198">
        <v>24</v>
      </c>
      <c r="C198">
        <v>11</v>
      </c>
      <c r="D198">
        <v>5</v>
      </c>
      <c r="E198" t="s">
        <v>899</v>
      </c>
      <c r="F198" t="s">
        <v>903</v>
      </c>
      <c r="G198" t="s">
        <v>911</v>
      </c>
      <c r="H198" s="3" t="str">
        <f>VLOOKUP(A198,'Orders Dataset'!$A:$D,4,FALSE)</f>
        <v>Madhya Pradesh</v>
      </c>
      <c r="I198" s="5" t="str">
        <f>VLOOKUP(A198,'Orders Dataset'!$A:$E,5,FALSE)</f>
        <v>Indore</v>
      </c>
    </row>
    <row r="199" spans="1:9" x14ac:dyDescent="0.25">
      <c r="A199" t="s">
        <v>46</v>
      </c>
      <c r="B199">
        <v>37</v>
      </c>
      <c r="C199">
        <v>3</v>
      </c>
      <c r="D199">
        <v>3</v>
      </c>
      <c r="E199" t="s">
        <v>899</v>
      </c>
      <c r="F199" t="s">
        <v>903</v>
      </c>
      <c r="G199" t="s">
        <v>891</v>
      </c>
      <c r="H199" s="3" t="str">
        <f>VLOOKUP(A199,'Orders Dataset'!$A:$D,4,FALSE)</f>
        <v>Uttar Pradesh</v>
      </c>
      <c r="I199" s="5" t="str">
        <f>VLOOKUP(A199,'Orders Dataset'!$A:$E,5,FALSE)</f>
        <v>Mathura</v>
      </c>
    </row>
    <row r="200" spans="1:9" x14ac:dyDescent="0.25">
      <c r="A200" t="s">
        <v>620</v>
      </c>
      <c r="B200">
        <v>152</v>
      </c>
      <c r="C200">
        <v>50</v>
      </c>
      <c r="D200">
        <v>6</v>
      </c>
      <c r="E200" t="s">
        <v>899</v>
      </c>
      <c r="F200" t="s">
        <v>907</v>
      </c>
      <c r="G200" t="s">
        <v>902</v>
      </c>
      <c r="H200" s="3" t="str">
        <f>VLOOKUP(A200,'Orders Dataset'!$A:$D,4,FALSE)</f>
        <v>Delhi</v>
      </c>
      <c r="I200" s="5" t="str">
        <f>VLOOKUP(A200,'Orders Dataset'!$A:$E,5,FALSE)</f>
        <v>Delhi</v>
      </c>
    </row>
    <row r="201" spans="1:9" x14ac:dyDescent="0.25">
      <c r="A201" t="s">
        <v>726</v>
      </c>
      <c r="B201">
        <v>32</v>
      </c>
      <c r="C201">
        <v>11</v>
      </c>
      <c r="D201">
        <v>2</v>
      </c>
      <c r="E201" t="s">
        <v>899</v>
      </c>
      <c r="F201" t="s">
        <v>908</v>
      </c>
      <c r="G201" t="s">
        <v>902</v>
      </c>
      <c r="H201" s="3" t="str">
        <f>VLOOKUP(A201,'Orders Dataset'!$A:$D,4,FALSE)</f>
        <v>Madhya Pradesh</v>
      </c>
      <c r="I201" s="5" t="str">
        <f>VLOOKUP(A201,'Orders Dataset'!$A:$E,5,FALSE)</f>
        <v>Indore</v>
      </c>
    </row>
    <row r="202" spans="1:9" x14ac:dyDescent="0.25">
      <c r="A202" t="s">
        <v>614</v>
      </c>
      <c r="B202">
        <v>52</v>
      </c>
      <c r="C202">
        <v>11</v>
      </c>
      <c r="D202">
        <v>5</v>
      </c>
      <c r="E202" t="s">
        <v>899</v>
      </c>
      <c r="F202" t="s">
        <v>908</v>
      </c>
      <c r="G202" t="s">
        <v>891</v>
      </c>
      <c r="H202" s="3" t="str">
        <f>VLOOKUP(A202,'Orders Dataset'!$A:$D,4,FALSE)</f>
        <v>Gujarat</v>
      </c>
      <c r="I202" s="5" t="str">
        <f>VLOOKUP(A202,'Orders Dataset'!$A:$E,5,FALSE)</f>
        <v>Ahmedabad</v>
      </c>
    </row>
    <row r="203" spans="1:9" x14ac:dyDescent="0.25">
      <c r="A203" t="s">
        <v>332</v>
      </c>
      <c r="B203">
        <v>24</v>
      </c>
      <c r="C203">
        <v>11</v>
      </c>
      <c r="D203">
        <v>3</v>
      </c>
      <c r="E203" t="s">
        <v>899</v>
      </c>
      <c r="F203" t="s">
        <v>903</v>
      </c>
      <c r="G203" t="s">
        <v>911</v>
      </c>
      <c r="H203" s="3" t="str">
        <f>VLOOKUP(A203,'Orders Dataset'!$A:$D,4,FALSE)</f>
        <v>Tamil Nadu</v>
      </c>
      <c r="I203" s="5" t="str">
        <f>VLOOKUP(A203,'Orders Dataset'!$A:$E,5,FALSE)</f>
        <v>Chennai</v>
      </c>
    </row>
    <row r="204" spans="1:9" x14ac:dyDescent="0.25">
      <c r="A204" t="s">
        <v>183</v>
      </c>
      <c r="B204">
        <v>473</v>
      </c>
      <c r="C204">
        <v>42</v>
      </c>
      <c r="D204">
        <v>4</v>
      </c>
      <c r="E204" t="s">
        <v>892</v>
      </c>
      <c r="F204" t="s">
        <v>893</v>
      </c>
      <c r="G204" t="s">
        <v>891</v>
      </c>
      <c r="H204" s="3" t="str">
        <f>VLOOKUP(A204,'Orders Dataset'!$A:$D,4,FALSE)</f>
        <v>Rajasthan</v>
      </c>
      <c r="I204" s="5" t="str">
        <f>VLOOKUP(A204,'Orders Dataset'!$A:$E,5,FALSE)</f>
        <v>Jaipur</v>
      </c>
    </row>
    <row r="205" spans="1:9" x14ac:dyDescent="0.25">
      <c r="A205" t="s">
        <v>521</v>
      </c>
      <c r="B205">
        <v>263</v>
      </c>
      <c r="C205">
        <v>50</v>
      </c>
      <c r="D205">
        <v>5</v>
      </c>
      <c r="E205" t="s">
        <v>899</v>
      </c>
      <c r="F205" t="s">
        <v>907</v>
      </c>
      <c r="G205" t="s">
        <v>891</v>
      </c>
      <c r="H205" s="3" t="str">
        <f>VLOOKUP(A205,'Orders Dataset'!$A:$D,4,FALSE)</f>
        <v>Maharashtra</v>
      </c>
      <c r="I205" s="5" t="str">
        <f>VLOOKUP(A205,'Orders Dataset'!$A:$E,5,FALSE)</f>
        <v>Mumbai</v>
      </c>
    </row>
    <row r="206" spans="1:9" x14ac:dyDescent="0.25">
      <c r="A206" t="s">
        <v>310</v>
      </c>
      <c r="B206">
        <v>61</v>
      </c>
      <c r="C206">
        <v>11</v>
      </c>
      <c r="D206">
        <v>3</v>
      </c>
      <c r="E206" t="s">
        <v>899</v>
      </c>
      <c r="F206" t="s">
        <v>904</v>
      </c>
      <c r="G206" t="s">
        <v>891</v>
      </c>
      <c r="H206" s="3" t="str">
        <f>VLOOKUP(A206,'Orders Dataset'!$A:$D,4,FALSE)</f>
        <v>Uttar Pradesh</v>
      </c>
      <c r="I206" s="5" t="str">
        <f>VLOOKUP(A206,'Orders Dataset'!$A:$E,5,FALSE)</f>
        <v>Mathura</v>
      </c>
    </row>
    <row r="207" spans="1:9" x14ac:dyDescent="0.25">
      <c r="A207" t="s">
        <v>403</v>
      </c>
      <c r="B207">
        <v>469</v>
      </c>
      <c r="C207">
        <v>-459</v>
      </c>
      <c r="D207">
        <v>3</v>
      </c>
      <c r="E207" t="s">
        <v>889</v>
      </c>
      <c r="F207" t="s">
        <v>890</v>
      </c>
      <c r="G207" t="s">
        <v>891</v>
      </c>
      <c r="H207" s="3" t="str">
        <f>VLOOKUP(A207,'Orders Dataset'!$A:$D,4,FALSE)</f>
        <v>Maharashtra</v>
      </c>
      <c r="I207" s="5" t="str">
        <f>VLOOKUP(A207,'Orders Dataset'!$A:$E,5,FALSE)</f>
        <v>Mumbai</v>
      </c>
    </row>
    <row r="208" spans="1:9" x14ac:dyDescent="0.25">
      <c r="A208" t="s">
        <v>164</v>
      </c>
      <c r="B208">
        <v>1272</v>
      </c>
      <c r="C208">
        <v>547</v>
      </c>
      <c r="D208">
        <v>2</v>
      </c>
      <c r="E208" t="s">
        <v>889</v>
      </c>
      <c r="F208" t="s">
        <v>898</v>
      </c>
      <c r="G208" t="s">
        <v>891</v>
      </c>
      <c r="H208" s="3" t="str">
        <f>VLOOKUP(A208,'Orders Dataset'!$A:$D,4,FALSE)</f>
        <v>Andhra Pradesh</v>
      </c>
      <c r="I208" s="5" t="str">
        <f>VLOOKUP(A208,'Orders Dataset'!$A:$E,5,FALSE)</f>
        <v>Hyderabad</v>
      </c>
    </row>
    <row r="209" spans="1:9" x14ac:dyDescent="0.25">
      <c r="A209" t="s">
        <v>332</v>
      </c>
      <c r="B209">
        <v>169</v>
      </c>
      <c r="C209">
        <v>0</v>
      </c>
      <c r="D209">
        <v>3</v>
      </c>
      <c r="E209" t="s">
        <v>889</v>
      </c>
      <c r="F209" t="s">
        <v>909</v>
      </c>
      <c r="G209" t="s">
        <v>891</v>
      </c>
      <c r="H209" s="3" t="str">
        <f>VLOOKUP(A209,'Orders Dataset'!$A:$D,4,FALSE)</f>
        <v>Tamil Nadu</v>
      </c>
      <c r="I209" s="5" t="str">
        <f>VLOOKUP(A209,'Orders Dataset'!$A:$E,5,FALSE)</f>
        <v>Chennai</v>
      </c>
    </row>
    <row r="210" spans="1:9" x14ac:dyDescent="0.25">
      <c r="A210" t="s">
        <v>413</v>
      </c>
      <c r="B210">
        <v>25</v>
      </c>
      <c r="C210">
        <v>11</v>
      </c>
      <c r="D210">
        <v>3</v>
      </c>
      <c r="E210" t="s">
        <v>899</v>
      </c>
      <c r="F210" t="s">
        <v>908</v>
      </c>
      <c r="G210" t="s">
        <v>911</v>
      </c>
      <c r="H210" s="3" t="str">
        <f>VLOOKUP(A210,'Orders Dataset'!$A:$D,4,FALSE)</f>
        <v>Madhya Pradesh</v>
      </c>
      <c r="I210" s="5" t="str">
        <f>VLOOKUP(A210,'Orders Dataset'!$A:$E,5,FALSE)</f>
        <v>Indore</v>
      </c>
    </row>
    <row r="211" spans="1:9" x14ac:dyDescent="0.25">
      <c r="A211" t="s">
        <v>260</v>
      </c>
      <c r="B211">
        <v>457</v>
      </c>
      <c r="C211">
        <v>-41</v>
      </c>
      <c r="D211">
        <v>4</v>
      </c>
      <c r="E211" t="s">
        <v>899</v>
      </c>
      <c r="F211" t="s">
        <v>901</v>
      </c>
      <c r="G211" t="s">
        <v>891</v>
      </c>
      <c r="H211" s="3" t="str">
        <f>VLOOKUP(A211,'Orders Dataset'!$A:$D,4,FALSE)</f>
        <v>Madhya Pradesh</v>
      </c>
      <c r="I211" s="5" t="str">
        <f>VLOOKUP(A211,'Orders Dataset'!$A:$E,5,FALSE)</f>
        <v>Indore</v>
      </c>
    </row>
    <row r="212" spans="1:9" x14ac:dyDescent="0.25">
      <c r="A212" t="s">
        <v>413</v>
      </c>
      <c r="B212">
        <v>455</v>
      </c>
      <c r="C212">
        <v>77</v>
      </c>
      <c r="D212">
        <v>8</v>
      </c>
      <c r="E212" t="s">
        <v>889</v>
      </c>
      <c r="F212" t="s">
        <v>909</v>
      </c>
      <c r="G212" t="s">
        <v>891</v>
      </c>
      <c r="H212" s="3" t="str">
        <f>VLOOKUP(A212,'Orders Dataset'!$A:$D,4,FALSE)</f>
        <v>Madhya Pradesh</v>
      </c>
      <c r="I212" s="5" t="str">
        <f>VLOOKUP(A212,'Orders Dataset'!$A:$E,5,FALSE)</f>
        <v>Indore</v>
      </c>
    </row>
    <row r="213" spans="1:9" x14ac:dyDescent="0.25">
      <c r="A213" t="s">
        <v>281</v>
      </c>
      <c r="B213">
        <v>25</v>
      </c>
      <c r="C213">
        <v>2</v>
      </c>
      <c r="D213">
        <v>2</v>
      </c>
      <c r="E213" t="s">
        <v>899</v>
      </c>
      <c r="F213" t="s">
        <v>903</v>
      </c>
      <c r="G213" t="s">
        <v>911</v>
      </c>
      <c r="H213" s="3" t="str">
        <f>VLOOKUP(A213,'Orders Dataset'!$A:$D,4,FALSE)</f>
        <v>Haryana</v>
      </c>
      <c r="I213" s="5" t="str">
        <f>VLOOKUP(A213,'Orders Dataset'!$A:$E,5,FALSE)</f>
        <v>Chandigarh</v>
      </c>
    </row>
    <row r="214" spans="1:9" x14ac:dyDescent="0.25">
      <c r="A214" t="s">
        <v>416</v>
      </c>
      <c r="B214">
        <v>450</v>
      </c>
      <c r="C214">
        <v>-90</v>
      </c>
      <c r="D214">
        <v>3</v>
      </c>
      <c r="E214" t="s">
        <v>889</v>
      </c>
      <c r="F214" t="s">
        <v>896</v>
      </c>
      <c r="G214" t="s">
        <v>891</v>
      </c>
      <c r="H214" s="3" t="str">
        <f>VLOOKUP(A214,'Orders Dataset'!$A:$D,4,FALSE)</f>
        <v>Maharashtra</v>
      </c>
      <c r="I214" s="5" t="str">
        <f>VLOOKUP(A214,'Orders Dataset'!$A:$E,5,FALSE)</f>
        <v>Mumbai</v>
      </c>
    </row>
    <row r="215" spans="1:9" x14ac:dyDescent="0.25">
      <c r="A215" t="s">
        <v>836</v>
      </c>
      <c r="B215">
        <v>30</v>
      </c>
      <c r="C215">
        <v>-35</v>
      </c>
      <c r="D215">
        <v>1</v>
      </c>
      <c r="E215" t="s">
        <v>892</v>
      </c>
      <c r="F215" t="s">
        <v>893</v>
      </c>
      <c r="G215" t="s">
        <v>891</v>
      </c>
      <c r="H215" s="3" t="str">
        <f>VLOOKUP(A215,'Orders Dataset'!$A:$D,4,FALSE)</f>
        <v>Punjab</v>
      </c>
      <c r="I215" s="5" t="str">
        <f>VLOOKUP(A215,'Orders Dataset'!$A:$E,5,FALSE)</f>
        <v>Chandigarh</v>
      </c>
    </row>
    <row r="216" spans="1:9" x14ac:dyDescent="0.25">
      <c r="A216" t="s">
        <v>292</v>
      </c>
      <c r="B216">
        <v>659</v>
      </c>
      <c r="C216">
        <v>-37</v>
      </c>
      <c r="D216">
        <v>2</v>
      </c>
      <c r="E216" t="s">
        <v>892</v>
      </c>
      <c r="F216" t="s">
        <v>895</v>
      </c>
      <c r="G216" t="s">
        <v>897</v>
      </c>
      <c r="H216" s="3" t="str">
        <f>VLOOKUP(A216,'Orders Dataset'!$A:$D,4,FALSE)</f>
        <v>Kerala</v>
      </c>
      <c r="I216" s="5" t="str">
        <f>VLOOKUP(A216,'Orders Dataset'!$A:$E,5,FALSE)</f>
        <v>Thiruvananthapuram</v>
      </c>
    </row>
    <row r="217" spans="1:9" x14ac:dyDescent="0.25">
      <c r="A217" t="s">
        <v>30</v>
      </c>
      <c r="B217">
        <v>448</v>
      </c>
      <c r="C217">
        <v>148</v>
      </c>
      <c r="D217">
        <v>2</v>
      </c>
      <c r="E217" t="s">
        <v>889</v>
      </c>
      <c r="F217" t="s">
        <v>896</v>
      </c>
      <c r="G217" t="s">
        <v>891</v>
      </c>
      <c r="H217" s="3" t="str">
        <f>VLOOKUP(A217,'Orders Dataset'!$A:$D,4,FALSE)</f>
        <v>Andhra Pradesh</v>
      </c>
      <c r="I217" s="5" t="str">
        <f>VLOOKUP(A217,'Orders Dataset'!$A:$E,5,FALSE)</f>
        <v>Hyderabad</v>
      </c>
    </row>
    <row r="218" spans="1:9" x14ac:dyDescent="0.25">
      <c r="A218" t="s">
        <v>419</v>
      </c>
      <c r="B218">
        <v>446</v>
      </c>
      <c r="C218">
        <v>53</v>
      </c>
      <c r="D218">
        <v>3</v>
      </c>
      <c r="E218" t="s">
        <v>889</v>
      </c>
      <c r="F218" t="s">
        <v>896</v>
      </c>
      <c r="G218" t="s">
        <v>891</v>
      </c>
      <c r="H218" s="3" t="str">
        <f>VLOOKUP(A218,'Orders Dataset'!$A:$D,4,FALSE)</f>
        <v>Gujarat</v>
      </c>
      <c r="I218" s="5" t="str">
        <f>VLOOKUP(A218,'Orders Dataset'!$A:$E,5,FALSE)</f>
        <v>Ahmedabad</v>
      </c>
    </row>
    <row r="219" spans="1:9" x14ac:dyDescent="0.25">
      <c r="A219" t="s">
        <v>722</v>
      </c>
      <c r="B219">
        <v>98</v>
      </c>
      <c r="C219">
        <v>-45</v>
      </c>
      <c r="D219">
        <v>2</v>
      </c>
      <c r="E219" t="s">
        <v>892</v>
      </c>
      <c r="F219" t="s">
        <v>893</v>
      </c>
      <c r="G219" t="s">
        <v>902</v>
      </c>
      <c r="H219" s="3" t="str">
        <f>VLOOKUP(A219,'Orders Dataset'!$A:$D,4,FALSE)</f>
        <v>Madhya Pradesh</v>
      </c>
      <c r="I219" s="5" t="str">
        <f>VLOOKUP(A219,'Orders Dataset'!$A:$E,5,FALSE)</f>
        <v>Indore</v>
      </c>
    </row>
    <row r="220" spans="1:9" x14ac:dyDescent="0.25">
      <c r="A220" t="s">
        <v>5</v>
      </c>
      <c r="B220">
        <v>443</v>
      </c>
      <c r="C220">
        <v>11</v>
      </c>
      <c r="D220">
        <v>1</v>
      </c>
      <c r="E220" t="s">
        <v>899</v>
      </c>
      <c r="F220" t="s">
        <v>901</v>
      </c>
      <c r="G220" t="s">
        <v>891</v>
      </c>
      <c r="H220" s="3" t="str">
        <f>VLOOKUP(A220,'Orders Dataset'!$A:$D,4,FALSE)</f>
        <v>Uttar Pradesh</v>
      </c>
      <c r="I220" s="5" t="str">
        <f>VLOOKUP(A220,'Orders Dataset'!$A:$E,5,FALSE)</f>
        <v>Mathura</v>
      </c>
    </row>
    <row r="221" spans="1:9" x14ac:dyDescent="0.25">
      <c r="A221" t="s">
        <v>142</v>
      </c>
      <c r="B221">
        <v>427</v>
      </c>
      <c r="C221">
        <v>-50</v>
      </c>
      <c r="D221">
        <v>7</v>
      </c>
      <c r="E221" t="s">
        <v>889</v>
      </c>
      <c r="F221" t="s">
        <v>898</v>
      </c>
      <c r="G221" t="s">
        <v>891</v>
      </c>
      <c r="H221" s="3" t="str">
        <f>VLOOKUP(A221,'Orders Dataset'!$A:$D,4,FALSE)</f>
        <v>Nagaland</v>
      </c>
      <c r="I221" s="5" t="str">
        <f>VLOOKUP(A221,'Orders Dataset'!$A:$E,5,FALSE)</f>
        <v>Kohima</v>
      </c>
    </row>
    <row r="222" spans="1:9" x14ac:dyDescent="0.25">
      <c r="A222" t="s">
        <v>320</v>
      </c>
      <c r="B222">
        <v>656</v>
      </c>
      <c r="C222">
        <v>-36</v>
      </c>
      <c r="D222">
        <v>2</v>
      </c>
      <c r="E222" t="s">
        <v>892</v>
      </c>
      <c r="F222" t="s">
        <v>895</v>
      </c>
      <c r="G222" t="s">
        <v>897</v>
      </c>
      <c r="H222" s="3" t="str">
        <f>VLOOKUP(A222,'Orders Dataset'!$A:$D,4,FALSE)</f>
        <v>Goa</v>
      </c>
      <c r="I222" s="5" t="str">
        <f>VLOOKUP(A222,'Orders Dataset'!$A:$E,5,FALSE)</f>
        <v>Goa</v>
      </c>
    </row>
    <row r="223" spans="1:9" x14ac:dyDescent="0.25">
      <c r="A223" t="s">
        <v>427</v>
      </c>
      <c r="B223">
        <v>424</v>
      </c>
      <c r="C223">
        <v>161</v>
      </c>
      <c r="D223">
        <v>2</v>
      </c>
      <c r="E223" t="s">
        <v>899</v>
      </c>
      <c r="F223" t="s">
        <v>901</v>
      </c>
      <c r="G223" t="s">
        <v>891</v>
      </c>
      <c r="H223" s="3" t="str">
        <f>VLOOKUP(A223,'Orders Dataset'!$A:$D,4,FALSE)</f>
        <v>Bihar</v>
      </c>
      <c r="I223" s="5" t="str">
        <f>VLOOKUP(A223,'Orders Dataset'!$A:$E,5,FALSE)</f>
        <v>Patna</v>
      </c>
    </row>
    <row r="224" spans="1:9" x14ac:dyDescent="0.25">
      <c r="A224" t="s">
        <v>216</v>
      </c>
      <c r="B224">
        <v>27</v>
      </c>
      <c r="C224">
        <v>8</v>
      </c>
      <c r="D224">
        <v>2</v>
      </c>
      <c r="E224" t="s">
        <v>899</v>
      </c>
      <c r="F224" t="s">
        <v>910</v>
      </c>
      <c r="G224" t="s">
        <v>911</v>
      </c>
      <c r="H224" s="3" t="str">
        <f>VLOOKUP(A224,'Orders Dataset'!$A:$D,4,FALSE)</f>
        <v>Madhya Pradesh</v>
      </c>
      <c r="I224" s="5" t="str">
        <f>VLOOKUP(A224,'Orders Dataset'!$A:$E,5,FALSE)</f>
        <v>Indore</v>
      </c>
    </row>
    <row r="225" spans="1:9" x14ac:dyDescent="0.25">
      <c r="A225" t="s">
        <v>34</v>
      </c>
      <c r="B225">
        <v>424</v>
      </c>
      <c r="C225">
        <v>-272</v>
      </c>
      <c r="D225">
        <v>5</v>
      </c>
      <c r="E225" t="s">
        <v>889</v>
      </c>
      <c r="F225" t="s">
        <v>898</v>
      </c>
      <c r="G225" t="s">
        <v>891</v>
      </c>
      <c r="H225" s="3" t="str">
        <f>VLOOKUP(A225,'Orders Dataset'!$A:$D,4,FALSE)</f>
        <v>Maharashtra</v>
      </c>
      <c r="I225" s="5" t="str">
        <f>VLOOKUP(A225,'Orders Dataset'!$A:$E,5,FALSE)</f>
        <v>Pune</v>
      </c>
    </row>
    <row r="226" spans="1:9" x14ac:dyDescent="0.25">
      <c r="A226" t="s">
        <v>424</v>
      </c>
      <c r="B226">
        <v>202</v>
      </c>
      <c r="C226">
        <v>4</v>
      </c>
      <c r="D226">
        <v>4</v>
      </c>
      <c r="E226" t="s">
        <v>899</v>
      </c>
      <c r="F226" t="s">
        <v>903</v>
      </c>
      <c r="G226" t="s">
        <v>891</v>
      </c>
      <c r="H226" s="3" t="str">
        <f>VLOOKUP(A226,'Orders Dataset'!$A:$D,4,FALSE)</f>
        <v>Karnataka</v>
      </c>
      <c r="I226" s="5" t="str">
        <f>VLOOKUP(A226,'Orders Dataset'!$A:$E,5,FALSE)</f>
        <v>Bangalore</v>
      </c>
    </row>
    <row r="227" spans="1:9" x14ac:dyDescent="0.25">
      <c r="A227" t="s">
        <v>162</v>
      </c>
      <c r="B227">
        <v>1275</v>
      </c>
      <c r="C227">
        <v>357</v>
      </c>
      <c r="D227">
        <v>2</v>
      </c>
      <c r="E227" t="s">
        <v>889</v>
      </c>
      <c r="F227" t="s">
        <v>898</v>
      </c>
      <c r="G227" t="s">
        <v>902</v>
      </c>
      <c r="H227" s="3" t="str">
        <f>VLOOKUP(A227,'Orders Dataset'!$A:$D,4,FALSE)</f>
        <v>Madhya Pradesh</v>
      </c>
      <c r="I227" s="5" t="str">
        <f>VLOOKUP(A227,'Orders Dataset'!$A:$E,5,FALSE)</f>
        <v>Indore</v>
      </c>
    </row>
    <row r="228" spans="1:9" x14ac:dyDescent="0.25">
      <c r="A228" t="s">
        <v>48</v>
      </c>
      <c r="B228">
        <v>418</v>
      </c>
      <c r="C228">
        <v>70</v>
      </c>
      <c r="D228">
        <v>7</v>
      </c>
      <c r="E228" t="s">
        <v>889</v>
      </c>
      <c r="F228" t="s">
        <v>898</v>
      </c>
      <c r="G228" t="s">
        <v>891</v>
      </c>
      <c r="H228" s="3" t="str">
        <f>VLOOKUP(A228,'Orders Dataset'!$A:$D,4,FALSE)</f>
        <v>Uttar Pradesh</v>
      </c>
      <c r="I228" s="5" t="str">
        <f>VLOOKUP(A228,'Orders Dataset'!$A:$E,5,FALSE)</f>
        <v>Mathura</v>
      </c>
    </row>
    <row r="229" spans="1:9" x14ac:dyDescent="0.25">
      <c r="A229" t="s">
        <v>429</v>
      </c>
      <c r="B229">
        <v>417</v>
      </c>
      <c r="C229">
        <v>49</v>
      </c>
      <c r="D229">
        <v>3</v>
      </c>
      <c r="E229" t="s">
        <v>889</v>
      </c>
      <c r="F229" t="s">
        <v>890</v>
      </c>
      <c r="G229" t="s">
        <v>891</v>
      </c>
      <c r="H229" s="3" t="str">
        <f>VLOOKUP(A229,'Orders Dataset'!$A:$D,4,FALSE)</f>
        <v>Madhya Pradesh</v>
      </c>
      <c r="I229" s="5" t="str">
        <f>VLOOKUP(A229,'Orders Dataset'!$A:$E,5,FALSE)</f>
        <v>Bhopal</v>
      </c>
    </row>
    <row r="230" spans="1:9" x14ac:dyDescent="0.25">
      <c r="A230" t="s">
        <v>52</v>
      </c>
      <c r="B230">
        <v>199</v>
      </c>
      <c r="C230">
        <v>48</v>
      </c>
      <c r="D230">
        <v>4</v>
      </c>
      <c r="E230" t="s">
        <v>899</v>
      </c>
      <c r="F230" t="s">
        <v>907</v>
      </c>
      <c r="G230" t="s">
        <v>902</v>
      </c>
      <c r="H230" s="3" t="str">
        <f>VLOOKUP(A230,'Orders Dataset'!$A:$D,4,FALSE)</f>
        <v>Gujarat</v>
      </c>
      <c r="I230" s="5" t="str">
        <f>VLOOKUP(A230,'Orders Dataset'!$A:$E,5,FALSE)</f>
        <v>Ahmedabad</v>
      </c>
    </row>
    <row r="231" spans="1:9" x14ac:dyDescent="0.25">
      <c r="A231" t="s">
        <v>446</v>
      </c>
      <c r="B231">
        <v>385</v>
      </c>
      <c r="C231">
        <v>-77</v>
      </c>
      <c r="D231">
        <v>11</v>
      </c>
      <c r="E231" t="s">
        <v>892</v>
      </c>
      <c r="F231" t="s">
        <v>912</v>
      </c>
      <c r="G231" t="s">
        <v>902</v>
      </c>
      <c r="H231" s="3" t="str">
        <f>VLOOKUP(A231,'Orders Dataset'!$A:$D,4,FALSE)</f>
        <v>Maharashtra</v>
      </c>
      <c r="I231" s="5" t="str">
        <f>VLOOKUP(A231,'Orders Dataset'!$A:$E,5,FALSE)</f>
        <v>Mumbai</v>
      </c>
    </row>
    <row r="232" spans="1:9" x14ac:dyDescent="0.25">
      <c r="A232" t="s">
        <v>9</v>
      </c>
      <c r="B232">
        <v>414</v>
      </c>
      <c r="C232">
        <v>199</v>
      </c>
      <c r="D232">
        <v>3</v>
      </c>
      <c r="E232" t="s">
        <v>889</v>
      </c>
      <c r="F232" t="s">
        <v>898</v>
      </c>
      <c r="G232" t="s">
        <v>891</v>
      </c>
      <c r="H232" s="3" t="str">
        <f>VLOOKUP(A232,'Orders Dataset'!$A:$D,4,FALSE)</f>
        <v>Delhi</v>
      </c>
      <c r="I232" s="5" t="str">
        <f>VLOOKUP(A232,'Orders Dataset'!$A:$E,5,FALSE)</f>
        <v>Delhi</v>
      </c>
    </row>
    <row r="233" spans="1:9" x14ac:dyDescent="0.25">
      <c r="A233" t="s">
        <v>539</v>
      </c>
      <c r="B233">
        <v>97</v>
      </c>
      <c r="C233">
        <v>-45</v>
      </c>
      <c r="D233">
        <v>4</v>
      </c>
      <c r="E233" t="s">
        <v>899</v>
      </c>
      <c r="F233" t="s">
        <v>901</v>
      </c>
      <c r="G233" t="s">
        <v>891</v>
      </c>
      <c r="H233" s="3" t="str">
        <f>VLOOKUP(A233,'Orders Dataset'!$A:$D,4,FALSE)</f>
        <v>Madhya Pradesh</v>
      </c>
      <c r="I233" s="5" t="str">
        <f>VLOOKUP(A233,'Orders Dataset'!$A:$E,5,FALSE)</f>
        <v>Indore</v>
      </c>
    </row>
    <row r="234" spans="1:9" x14ac:dyDescent="0.25">
      <c r="A234" t="s">
        <v>322</v>
      </c>
      <c r="B234">
        <v>648</v>
      </c>
      <c r="C234">
        <v>50</v>
      </c>
      <c r="D234">
        <v>6</v>
      </c>
      <c r="E234" t="s">
        <v>889</v>
      </c>
      <c r="F234" t="s">
        <v>890</v>
      </c>
      <c r="G234" t="s">
        <v>897</v>
      </c>
      <c r="H234" s="3" t="str">
        <f>VLOOKUP(A234,'Orders Dataset'!$A:$D,4,FALSE)</f>
        <v>Himachal Pradesh</v>
      </c>
      <c r="I234" s="5" t="str">
        <f>VLOOKUP(A234,'Orders Dataset'!$A:$E,5,FALSE)</f>
        <v>Simla</v>
      </c>
    </row>
    <row r="235" spans="1:9" x14ac:dyDescent="0.25">
      <c r="A235" t="s">
        <v>480</v>
      </c>
      <c r="B235">
        <v>27</v>
      </c>
      <c r="C235">
        <v>-25</v>
      </c>
      <c r="D235">
        <v>2</v>
      </c>
      <c r="E235" t="s">
        <v>899</v>
      </c>
      <c r="F235" t="s">
        <v>913</v>
      </c>
      <c r="G235" t="s">
        <v>911</v>
      </c>
      <c r="H235" s="3" t="str">
        <f>VLOOKUP(A235,'Orders Dataset'!$A:$D,4,FALSE)</f>
        <v>Karnataka</v>
      </c>
      <c r="I235" s="5" t="str">
        <f>VLOOKUP(A235,'Orders Dataset'!$A:$E,5,FALSE)</f>
        <v>Bangalore</v>
      </c>
    </row>
    <row r="236" spans="1:9" x14ac:dyDescent="0.25">
      <c r="A236" t="s">
        <v>176</v>
      </c>
      <c r="B236">
        <v>27</v>
      </c>
      <c r="C236">
        <v>12</v>
      </c>
      <c r="D236">
        <v>1</v>
      </c>
      <c r="E236" t="s">
        <v>899</v>
      </c>
      <c r="F236" t="s">
        <v>907</v>
      </c>
      <c r="G236" t="s">
        <v>911</v>
      </c>
      <c r="H236" s="3" t="str">
        <f>VLOOKUP(A236,'Orders Dataset'!$A:$D,4,FALSE)</f>
        <v>Maharashtra</v>
      </c>
      <c r="I236" s="5" t="str">
        <f>VLOOKUP(A236,'Orders Dataset'!$A:$E,5,FALSE)</f>
        <v>Mumbai</v>
      </c>
    </row>
    <row r="237" spans="1:9" x14ac:dyDescent="0.25">
      <c r="A237" t="s">
        <v>581</v>
      </c>
      <c r="B237">
        <v>27</v>
      </c>
      <c r="C237">
        <v>1</v>
      </c>
      <c r="D237">
        <v>1</v>
      </c>
      <c r="E237" t="s">
        <v>899</v>
      </c>
      <c r="F237" t="s">
        <v>907</v>
      </c>
      <c r="G237" t="s">
        <v>902</v>
      </c>
      <c r="H237" s="3" t="str">
        <f>VLOOKUP(A237,'Orders Dataset'!$A:$D,4,FALSE)</f>
        <v>Gujarat</v>
      </c>
      <c r="I237" s="5" t="str">
        <f>VLOOKUP(A237,'Orders Dataset'!$A:$E,5,FALSE)</f>
        <v>Surat</v>
      </c>
    </row>
    <row r="238" spans="1:9" x14ac:dyDescent="0.25">
      <c r="A238" t="s">
        <v>83</v>
      </c>
      <c r="B238">
        <v>413</v>
      </c>
      <c r="C238">
        <v>-314</v>
      </c>
      <c r="D238">
        <v>9</v>
      </c>
      <c r="E238" t="s">
        <v>892</v>
      </c>
      <c r="F238" t="s">
        <v>893</v>
      </c>
      <c r="G238" t="s">
        <v>891</v>
      </c>
      <c r="H238" s="3" t="str">
        <f>VLOOKUP(A238,'Orders Dataset'!$A:$D,4,FALSE)</f>
        <v>Madhya Pradesh</v>
      </c>
      <c r="I238" s="5" t="str">
        <f>VLOOKUP(A238,'Orders Dataset'!$A:$E,5,FALSE)</f>
        <v>Indore</v>
      </c>
    </row>
    <row r="239" spans="1:9" x14ac:dyDescent="0.25">
      <c r="A239" t="s">
        <v>187</v>
      </c>
      <c r="B239">
        <v>53</v>
      </c>
      <c r="C239">
        <v>2</v>
      </c>
      <c r="D239">
        <v>4</v>
      </c>
      <c r="E239" t="s">
        <v>899</v>
      </c>
      <c r="F239" t="s">
        <v>903</v>
      </c>
      <c r="G239" t="s">
        <v>891</v>
      </c>
      <c r="H239" s="3" t="str">
        <f>VLOOKUP(A239,'Orders Dataset'!$A:$D,4,FALSE)</f>
        <v>Madhya Pradesh</v>
      </c>
      <c r="I239" s="5" t="str">
        <f>VLOOKUP(A239,'Orders Dataset'!$A:$E,5,FALSE)</f>
        <v>Bhopal</v>
      </c>
    </row>
    <row r="240" spans="1:9" x14ac:dyDescent="0.25">
      <c r="A240" t="s">
        <v>189</v>
      </c>
      <c r="B240">
        <v>29</v>
      </c>
      <c r="C240">
        <v>8</v>
      </c>
      <c r="D240">
        <v>5</v>
      </c>
      <c r="E240" t="s">
        <v>899</v>
      </c>
      <c r="F240" t="s">
        <v>903</v>
      </c>
      <c r="G240" t="s">
        <v>902</v>
      </c>
      <c r="H240" s="3" t="str">
        <f>VLOOKUP(A240,'Orders Dataset'!$A:$D,4,FALSE)</f>
        <v>Punjab</v>
      </c>
      <c r="I240" s="5" t="str">
        <f>VLOOKUP(A240,'Orders Dataset'!$A:$E,5,FALSE)</f>
        <v>Chandigarh</v>
      </c>
    </row>
    <row r="241" spans="1:9" x14ac:dyDescent="0.25">
      <c r="A241" t="s">
        <v>661</v>
      </c>
      <c r="B241">
        <v>30</v>
      </c>
      <c r="C241">
        <v>13</v>
      </c>
      <c r="D241">
        <v>1</v>
      </c>
      <c r="E241" t="s">
        <v>899</v>
      </c>
      <c r="F241" t="s">
        <v>910</v>
      </c>
      <c r="G241" t="s">
        <v>902</v>
      </c>
      <c r="H241" s="3" t="str">
        <f>VLOOKUP(A241,'Orders Dataset'!$A:$D,4,FALSE)</f>
        <v>Punjab</v>
      </c>
      <c r="I241" s="5" t="str">
        <f>VLOOKUP(A241,'Orders Dataset'!$A:$E,5,FALSE)</f>
        <v>Chandigarh</v>
      </c>
    </row>
    <row r="242" spans="1:9" x14ac:dyDescent="0.25">
      <c r="A242" t="s">
        <v>432</v>
      </c>
      <c r="B242">
        <v>412</v>
      </c>
      <c r="C242">
        <v>412</v>
      </c>
      <c r="D242">
        <v>6</v>
      </c>
      <c r="E242" t="s">
        <v>899</v>
      </c>
      <c r="F242" t="s">
        <v>901</v>
      </c>
      <c r="G242" t="s">
        <v>891</v>
      </c>
      <c r="H242" s="3" t="str">
        <f>VLOOKUP(A242,'Orders Dataset'!$A:$D,4,FALSE)</f>
        <v>Maharashtra</v>
      </c>
      <c r="I242" s="5" t="str">
        <f>VLOOKUP(A242,'Orders Dataset'!$A:$E,5,FALSE)</f>
        <v>Mumbai</v>
      </c>
    </row>
    <row r="243" spans="1:9" x14ac:dyDescent="0.25">
      <c r="A243" t="s">
        <v>324</v>
      </c>
      <c r="B243">
        <v>646</v>
      </c>
      <c r="C243">
        <v>-23</v>
      </c>
      <c r="D243">
        <v>2</v>
      </c>
      <c r="E243" t="s">
        <v>889</v>
      </c>
      <c r="F243" t="s">
        <v>896</v>
      </c>
      <c r="G243" t="s">
        <v>897</v>
      </c>
      <c r="H243" s="3" t="str">
        <f>VLOOKUP(A243,'Orders Dataset'!$A:$D,4,FALSE)</f>
        <v>Andhra Pradesh</v>
      </c>
      <c r="I243" s="5" t="str">
        <f>VLOOKUP(A243,'Orders Dataset'!$A:$E,5,FALSE)</f>
        <v>Hyderabad</v>
      </c>
    </row>
    <row r="244" spans="1:9" x14ac:dyDescent="0.25">
      <c r="A244" t="s">
        <v>126</v>
      </c>
      <c r="B244">
        <v>30</v>
      </c>
      <c r="C244">
        <v>-5</v>
      </c>
      <c r="D244">
        <v>5</v>
      </c>
      <c r="E244" t="s">
        <v>899</v>
      </c>
      <c r="F244" t="s">
        <v>907</v>
      </c>
      <c r="G244" t="s">
        <v>902</v>
      </c>
      <c r="H244" s="3" t="str">
        <f>VLOOKUP(A244,'Orders Dataset'!$A:$D,4,FALSE)</f>
        <v>Maharashtra</v>
      </c>
      <c r="I244" s="5" t="str">
        <f>VLOOKUP(A244,'Orders Dataset'!$A:$E,5,FALSE)</f>
        <v>Pune</v>
      </c>
    </row>
    <row r="245" spans="1:9" x14ac:dyDescent="0.25">
      <c r="A245" t="s">
        <v>187</v>
      </c>
      <c r="B245">
        <v>618</v>
      </c>
      <c r="C245">
        <v>27</v>
      </c>
      <c r="D245">
        <v>4</v>
      </c>
      <c r="E245" t="s">
        <v>892</v>
      </c>
      <c r="F245" t="s">
        <v>895</v>
      </c>
      <c r="G245" t="s">
        <v>897</v>
      </c>
      <c r="H245" s="3" t="str">
        <f>VLOOKUP(A245,'Orders Dataset'!$A:$D,4,FALSE)</f>
        <v>Madhya Pradesh</v>
      </c>
      <c r="I245" s="5" t="str">
        <f>VLOOKUP(A245,'Orders Dataset'!$A:$E,5,FALSE)</f>
        <v>Bhopal</v>
      </c>
    </row>
    <row r="246" spans="1:9" x14ac:dyDescent="0.25">
      <c r="A246" t="s">
        <v>644</v>
      </c>
      <c r="B246">
        <v>143</v>
      </c>
      <c r="C246">
        <v>-124</v>
      </c>
      <c r="D246">
        <v>5</v>
      </c>
      <c r="E246" t="s">
        <v>899</v>
      </c>
      <c r="F246" t="s">
        <v>901</v>
      </c>
      <c r="G246" t="s">
        <v>902</v>
      </c>
      <c r="H246" s="3" t="str">
        <f>VLOOKUP(A246,'Orders Dataset'!$A:$D,4,FALSE)</f>
        <v>Gujarat</v>
      </c>
      <c r="I246" s="5" t="str">
        <f>VLOOKUP(A246,'Orders Dataset'!$A:$E,5,FALSE)</f>
        <v>Ahmedabad</v>
      </c>
    </row>
    <row r="247" spans="1:9" x14ac:dyDescent="0.25">
      <c r="A247" t="s">
        <v>83</v>
      </c>
      <c r="B247">
        <v>31</v>
      </c>
      <c r="C247">
        <v>1</v>
      </c>
      <c r="D247">
        <v>2</v>
      </c>
      <c r="E247" t="s">
        <v>899</v>
      </c>
      <c r="F247" t="s">
        <v>903</v>
      </c>
      <c r="G247" t="s">
        <v>902</v>
      </c>
      <c r="H247" s="3" t="str">
        <f>VLOOKUP(A247,'Orders Dataset'!$A:$D,4,FALSE)</f>
        <v>Madhya Pradesh</v>
      </c>
      <c r="I247" s="5" t="str">
        <f>VLOOKUP(A247,'Orders Dataset'!$A:$E,5,FALSE)</f>
        <v>Indore</v>
      </c>
    </row>
    <row r="248" spans="1:9" x14ac:dyDescent="0.25">
      <c r="A248" t="s">
        <v>392</v>
      </c>
      <c r="B248">
        <v>409</v>
      </c>
      <c r="C248">
        <v>86</v>
      </c>
      <c r="D248">
        <v>3</v>
      </c>
      <c r="E248" t="s">
        <v>899</v>
      </c>
      <c r="F248" t="s">
        <v>901</v>
      </c>
      <c r="G248" t="s">
        <v>891</v>
      </c>
      <c r="H248" s="3" t="str">
        <f>VLOOKUP(A248,'Orders Dataset'!$A:$D,4,FALSE)</f>
        <v>Jammu and Kashmir</v>
      </c>
      <c r="I248" s="5" t="str">
        <f>VLOOKUP(A248,'Orders Dataset'!$A:$E,5,FALSE)</f>
        <v>Kashmir</v>
      </c>
    </row>
    <row r="249" spans="1:9" x14ac:dyDescent="0.25">
      <c r="A249" t="s">
        <v>126</v>
      </c>
      <c r="B249">
        <v>406</v>
      </c>
      <c r="C249">
        <v>126</v>
      </c>
      <c r="D249">
        <v>2</v>
      </c>
      <c r="E249" t="s">
        <v>899</v>
      </c>
      <c r="F249" t="s">
        <v>901</v>
      </c>
      <c r="G249" t="s">
        <v>891</v>
      </c>
      <c r="H249" s="3" t="str">
        <f>VLOOKUP(A249,'Orders Dataset'!$A:$D,4,FALSE)</f>
        <v>Maharashtra</v>
      </c>
      <c r="I249" s="5" t="str">
        <f>VLOOKUP(A249,'Orders Dataset'!$A:$E,5,FALSE)</f>
        <v>Pune</v>
      </c>
    </row>
    <row r="250" spans="1:9" x14ac:dyDescent="0.25">
      <c r="A250" t="s">
        <v>354</v>
      </c>
      <c r="B250">
        <v>565</v>
      </c>
      <c r="C250">
        <v>66</v>
      </c>
      <c r="D250">
        <v>7</v>
      </c>
      <c r="E250" t="s">
        <v>899</v>
      </c>
      <c r="F250" t="s">
        <v>901</v>
      </c>
      <c r="G250" t="s">
        <v>897</v>
      </c>
      <c r="H250" s="3" t="str">
        <f>VLOOKUP(A250,'Orders Dataset'!$A:$D,4,FALSE)</f>
        <v>Kerala</v>
      </c>
      <c r="I250" s="5" t="str">
        <f>VLOOKUP(A250,'Orders Dataset'!$A:$E,5,FALSE)</f>
        <v>Thiruvananthapuram</v>
      </c>
    </row>
    <row r="251" spans="1:9" x14ac:dyDescent="0.25">
      <c r="A251" t="s">
        <v>352</v>
      </c>
      <c r="B251">
        <v>85</v>
      </c>
      <c r="C251">
        <v>2</v>
      </c>
      <c r="D251">
        <v>6</v>
      </c>
      <c r="E251" t="s">
        <v>899</v>
      </c>
      <c r="F251" t="s">
        <v>907</v>
      </c>
      <c r="G251" t="s">
        <v>891</v>
      </c>
      <c r="H251" s="3" t="str">
        <f>VLOOKUP(A251,'Orders Dataset'!$A:$D,4,FALSE)</f>
        <v>Jammu and Kashmir</v>
      </c>
      <c r="I251" s="5" t="str">
        <f>VLOOKUP(A251,'Orders Dataset'!$A:$E,5,FALSE)</f>
        <v>Kashmir</v>
      </c>
    </row>
    <row r="252" spans="1:9" x14ac:dyDescent="0.25">
      <c r="A252" t="s">
        <v>356</v>
      </c>
      <c r="B252">
        <v>561</v>
      </c>
      <c r="C252">
        <v>118</v>
      </c>
      <c r="D252">
        <v>5</v>
      </c>
      <c r="E252" t="s">
        <v>892</v>
      </c>
      <c r="F252" t="s">
        <v>895</v>
      </c>
      <c r="G252" t="s">
        <v>897</v>
      </c>
      <c r="H252" s="3" t="str">
        <f>VLOOKUP(A252,'Orders Dataset'!$A:$D,4,FALSE)</f>
        <v>Delhi</v>
      </c>
      <c r="I252" s="5" t="str">
        <f>VLOOKUP(A252,'Orders Dataset'!$A:$E,5,FALSE)</f>
        <v>Delhi</v>
      </c>
    </row>
    <row r="253" spans="1:9" x14ac:dyDescent="0.25">
      <c r="A253" t="s">
        <v>387</v>
      </c>
      <c r="B253">
        <v>503</v>
      </c>
      <c r="C253">
        <v>-56</v>
      </c>
      <c r="D253">
        <v>2</v>
      </c>
      <c r="E253" t="s">
        <v>899</v>
      </c>
      <c r="F253" t="s">
        <v>900</v>
      </c>
      <c r="G253" t="s">
        <v>891</v>
      </c>
      <c r="H253" s="3" t="str">
        <f>VLOOKUP(A253,'Orders Dataset'!$A:$D,4,FALSE)</f>
        <v>Nagaland</v>
      </c>
      <c r="I253" s="5" t="str">
        <f>VLOOKUP(A253,'Orders Dataset'!$A:$E,5,FALSE)</f>
        <v>Kohima</v>
      </c>
    </row>
    <row r="254" spans="1:9" x14ac:dyDescent="0.25">
      <c r="A254" t="s">
        <v>538</v>
      </c>
      <c r="B254">
        <v>31</v>
      </c>
      <c r="C254">
        <v>14</v>
      </c>
      <c r="D254">
        <v>3</v>
      </c>
      <c r="E254" t="s">
        <v>899</v>
      </c>
      <c r="F254" t="s">
        <v>907</v>
      </c>
      <c r="G254" t="s">
        <v>902</v>
      </c>
      <c r="H254" s="3" t="str">
        <f>VLOOKUP(A254,'Orders Dataset'!$A:$D,4,FALSE)</f>
        <v>Sikkim</v>
      </c>
      <c r="I254" s="5" t="str">
        <f>VLOOKUP(A254,'Orders Dataset'!$A:$E,5,FALSE)</f>
        <v>Gangtok</v>
      </c>
    </row>
    <row r="255" spans="1:9" x14ac:dyDescent="0.25">
      <c r="A255" t="s">
        <v>12</v>
      </c>
      <c r="B255">
        <v>398</v>
      </c>
      <c r="C255">
        <v>111</v>
      </c>
      <c r="D255">
        <v>8</v>
      </c>
      <c r="E255" t="s">
        <v>899</v>
      </c>
      <c r="F255" t="s">
        <v>903</v>
      </c>
      <c r="G255" t="s">
        <v>891</v>
      </c>
      <c r="H255" s="3" t="str">
        <f>VLOOKUP(A255,'Orders Dataset'!$A:$D,4,FALSE)</f>
        <v>Uttar Pradesh</v>
      </c>
      <c r="I255" s="5" t="str">
        <f>VLOOKUP(A255,'Orders Dataset'!$A:$E,5,FALSE)</f>
        <v>Mathura</v>
      </c>
    </row>
    <row r="256" spans="1:9" x14ac:dyDescent="0.25">
      <c r="A256" t="s">
        <v>442</v>
      </c>
      <c r="B256">
        <v>388</v>
      </c>
      <c r="C256">
        <v>93</v>
      </c>
      <c r="D256">
        <v>2</v>
      </c>
      <c r="E256" t="s">
        <v>892</v>
      </c>
      <c r="F256" t="s">
        <v>895</v>
      </c>
      <c r="G256" t="s">
        <v>891</v>
      </c>
      <c r="H256" s="3" t="str">
        <f>VLOOKUP(A256,'Orders Dataset'!$A:$D,4,FALSE)</f>
        <v>Gujarat</v>
      </c>
      <c r="I256" s="5" t="str">
        <f>VLOOKUP(A256,'Orders Dataset'!$A:$E,5,FALSE)</f>
        <v>Surat</v>
      </c>
    </row>
    <row r="257" spans="1:9" x14ac:dyDescent="0.25">
      <c r="A257" t="s">
        <v>70</v>
      </c>
      <c r="B257">
        <v>498</v>
      </c>
      <c r="C257">
        <v>-116</v>
      </c>
      <c r="D257">
        <v>4</v>
      </c>
      <c r="E257" t="s">
        <v>899</v>
      </c>
      <c r="F257" t="s">
        <v>901</v>
      </c>
      <c r="G257" t="s">
        <v>902</v>
      </c>
      <c r="H257" s="3" t="str">
        <f>VLOOKUP(A257,'Orders Dataset'!$A:$D,4,FALSE)</f>
        <v>Madhya Pradesh</v>
      </c>
      <c r="I257" s="5" t="str">
        <f>VLOOKUP(A257,'Orders Dataset'!$A:$E,5,FALSE)</f>
        <v>Bhopal</v>
      </c>
    </row>
    <row r="258" spans="1:9" x14ac:dyDescent="0.25">
      <c r="A258" t="s">
        <v>118</v>
      </c>
      <c r="B258">
        <v>561</v>
      </c>
      <c r="C258">
        <v>212</v>
      </c>
      <c r="D258">
        <v>3</v>
      </c>
      <c r="E258" t="s">
        <v>899</v>
      </c>
      <c r="F258" t="s">
        <v>901</v>
      </c>
      <c r="G258" t="s">
        <v>897</v>
      </c>
      <c r="H258" s="3" t="str">
        <f>VLOOKUP(A258,'Orders Dataset'!$A:$D,4,FALSE)</f>
        <v>Uttar Pradesh</v>
      </c>
      <c r="I258" s="5" t="str">
        <f>VLOOKUP(A258,'Orders Dataset'!$A:$E,5,FALSE)</f>
        <v>Lucknow</v>
      </c>
    </row>
    <row r="259" spans="1:9" x14ac:dyDescent="0.25">
      <c r="A259" t="s">
        <v>678</v>
      </c>
      <c r="B259">
        <v>61</v>
      </c>
      <c r="C259">
        <v>3</v>
      </c>
      <c r="D259">
        <v>4</v>
      </c>
      <c r="E259" t="s">
        <v>899</v>
      </c>
      <c r="F259" t="s">
        <v>903</v>
      </c>
      <c r="G259" t="s">
        <v>891</v>
      </c>
      <c r="H259" s="3" t="str">
        <f>VLOOKUP(A259,'Orders Dataset'!$A:$D,4,FALSE)</f>
        <v>Maharashtra</v>
      </c>
      <c r="I259" s="5" t="str">
        <f>VLOOKUP(A259,'Orders Dataset'!$A:$E,5,FALSE)</f>
        <v>Mumbai</v>
      </c>
    </row>
    <row r="260" spans="1:9" x14ac:dyDescent="0.25">
      <c r="A260" t="s">
        <v>643</v>
      </c>
      <c r="B260">
        <v>34</v>
      </c>
      <c r="C260">
        <v>-22</v>
      </c>
      <c r="D260">
        <v>4</v>
      </c>
      <c r="E260" t="s">
        <v>899</v>
      </c>
      <c r="F260" t="s">
        <v>910</v>
      </c>
      <c r="G260" t="s">
        <v>891</v>
      </c>
      <c r="H260" s="3" t="str">
        <f>VLOOKUP(A260,'Orders Dataset'!$A:$D,4,FALSE)</f>
        <v>Punjab</v>
      </c>
      <c r="I260" s="5" t="str">
        <f>VLOOKUP(A260,'Orders Dataset'!$A:$E,5,FALSE)</f>
        <v>Chandigarh</v>
      </c>
    </row>
    <row r="261" spans="1:9" x14ac:dyDescent="0.25">
      <c r="A261" t="s">
        <v>397</v>
      </c>
      <c r="B261">
        <v>32</v>
      </c>
      <c r="C261">
        <v>6</v>
      </c>
      <c r="D261">
        <v>3</v>
      </c>
      <c r="E261" t="s">
        <v>899</v>
      </c>
      <c r="F261" t="s">
        <v>913</v>
      </c>
      <c r="G261" t="s">
        <v>902</v>
      </c>
      <c r="H261" s="3" t="str">
        <f>VLOOKUP(A261,'Orders Dataset'!$A:$D,4,FALSE)</f>
        <v>Rajasthan</v>
      </c>
      <c r="I261" s="5" t="str">
        <f>VLOOKUP(A261,'Orders Dataset'!$A:$E,5,FALSE)</f>
        <v>Jaipur</v>
      </c>
    </row>
    <row r="262" spans="1:9" x14ac:dyDescent="0.25">
      <c r="A262" t="s">
        <v>63</v>
      </c>
      <c r="B262">
        <v>623</v>
      </c>
      <c r="C262">
        <v>-192</v>
      </c>
      <c r="D262">
        <v>3</v>
      </c>
      <c r="E262" t="s">
        <v>892</v>
      </c>
      <c r="F262" t="s">
        <v>906</v>
      </c>
      <c r="G262" t="s">
        <v>902</v>
      </c>
      <c r="H262" s="3" t="str">
        <f>VLOOKUP(A262,'Orders Dataset'!$A:$D,4,FALSE)</f>
        <v>Uttar Pradesh</v>
      </c>
      <c r="I262" s="5" t="str">
        <f>VLOOKUP(A262,'Orders Dataset'!$A:$E,5,FALSE)</f>
        <v>Mathura</v>
      </c>
    </row>
    <row r="263" spans="1:9" x14ac:dyDescent="0.25">
      <c r="A263" t="s">
        <v>380</v>
      </c>
      <c r="B263">
        <v>520</v>
      </c>
      <c r="C263">
        <v>151</v>
      </c>
      <c r="D263">
        <v>3</v>
      </c>
      <c r="E263" t="s">
        <v>889</v>
      </c>
      <c r="F263" t="s">
        <v>898</v>
      </c>
      <c r="G263" t="s">
        <v>897</v>
      </c>
      <c r="H263" s="3" t="str">
        <f>VLOOKUP(A263,'Orders Dataset'!$A:$D,4,FALSE)</f>
        <v>Jammu and Kashmir</v>
      </c>
      <c r="I263" s="5" t="str">
        <f>VLOOKUP(A263,'Orders Dataset'!$A:$E,5,FALSE)</f>
        <v>Kashmir</v>
      </c>
    </row>
    <row r="264" spans="1:9" x14ac:dyDescent="0.25">
      <c r="A264" t="s">
        <v>337</v>
      </c>
      <c r="B264">
        <v>32</v>
      </c>
      <c r="C264">
        <v>-16</v>
      </c>
      <c r="D264">
        <v>6</v>
      </c>
      <c r="E264" t="s">
        <v>899</v>
      </c>
      <c r="F264" t="s">
        <v>901</v>
      </c>
      <c r="G264" t="s">
        <v>902</v>
      </c>
      <c r="H264" s="3" t="str">
        <f>VLOOKUP(A264,'Orders Dataset'!$A:$D,4,FALSE)</f>
        <v>Madhya Pradesh</v>
      </c>
      <c r="I264" s="5" t="str">
        <f>VLOOKUP(A264,'Orders Dataset'!$A:$E,5,FALSE)</f>
        <v>Bhopal</v>
      </c>
    </row>
    <row r="265" spans="1:9" x14ac:dyDescent="0.25">
      <c r="A265" t="s">
        <v>539</v>
      </c>
      <c r="B265">
        <v>32</v>
      </c>
      <c r="C265">
        <v>-5</v>
      </c>
      <c r="D265">
        <v>5</v>
      </c>
      <c r="E265" t="s">
        <v>899</v>
      </c>
      <c r="F265" t="s">
        <v>903</v>
      </c>
      <c r="G265" t="s">
        <v>902</v>
      </c>
      <c r="H265" s="3" t="str">
        <f>VLOOKUP(A265,'Orders Dataset'!$A:$D,4,FALSE)</f>
        <v>Madhya Pradesh</v>
      </c>
      <c r="I265" s="5" t="str">
        <f>VLOOKUP(A265,'Orders Dataset'!$A:$E,5,FALSE)</f>
        <v>Indore</v>
      </c>
    </row>
    <row r="266" spans="1:9" x14ac:dyDescent="0.25">
      <c r="A266" t="s">
        <v>383</v>
      </c>
      <c r="B266">
        <v>510</v>
      </c>
      <c r="C266">
        <v>234</v>
      </c>
      <c r="D266">
        <v>6</v>
      </c>
      <c r="E266" t="s">
        <v>889</v>
      </c>
      <c r="F266" t="s">
        <v>890</v>
      </c>
      <c r="G266" t="s">
        <v>894</v>
      </c>
      <c r="H266" s="3" t="str">
        <f>VLOOKUP(A266,'Orders Dataset'!$A:$D,4,FALSE)</f>
        <v>Rajasthan</v>
      </c>
      <c r="I266" s="5" t="str">
        <f>VLOOKUP(A266,'Orders Dataset'!$A:$E,5,FALSE)</f>
        <v>Udaipur</v>
      </c>
    </row>
    <row r="267" spans="1:9" x14ac:dyDescent="0.25">
      <c r="A267" t="s">
        <v>450</v>
      </c>
      <c r="B267">
        <v>382</v>
      </c>
      <c r="C267">
        <v>68</v>
      </c>
      <c r="D267">
        <v>3</v>
      </c>
      <c r="E267" t="s">
        <v>899</v>
      </c>
      <c r="F267" t="s">
        <v>901</v>
      </c>
      <c r="G267" t="s">
        <v>891</v>
      </c>
      <c r="H267" s="3" t="str">
        <f>VLOOKUP(A267,'Orders Dataset'!$A:$D,4,FALSE)</f>
        <v>Maharashtra</v>
      </c>
      <c r="I267" s="5" t="str">
        <f>VLOOKUP(A267,'Orders Dataset'!$A:$E,5,FALSE)</f>
        <v>Mumbai</v>
      </c>
    </row>
    <row r="268" spans="1:9" x14ac:dyDescent="0.25">
      <c r="A268" t="s">
        <v>232</v>
      </c>
      <c r="B268">
        <v>33</v>
      </c>
      <c r="C268">
        <v>13</v>
      </c>
      <c r="D268">
        <v>3</v>
      </c>
      <c r="E268" t="s">
        <v>899</v>
      </c>
      <c r="F268" t="s">
        <v>908</v>
      </c>
      <c r="G268" t="s">
        <v>902</v>
      </c>
      <c r="H268" s="3" t="str">
        <f>VLOOKUP(A268,'Orders Dataset'!$A:$D,4,FALSE)</f>
        <v>Rajasthan</v>
      </c>
      <c r="I268" s="5" t="str">
        <f>VLOOKUP(A268,'Orders Dataset'!$A:$E,5,FALSE)</f>
        <v>Udaipur</v>
      </c>
    </row>
    <row r="269" spans="1:9" x14ac:dyDescent="0.25">
      <c r="A269" t="s">
        <v>64</v>
      </c>
      <c r="B269">
        <v>381</v>
      </c>
      <c r="C269">
        <v>-13</v>
      </c>
      <c r="D269">
        <v>2</v>
      </c>
      <c r="E269" t="s">
        <v>899</v>
      </c>
      <c r="F269" t="s">
        <v>901</v>
      </c>
      <c r="G269" t="s">
        <v>891</v>
      </c>
      <c r="H269" s="3" t="str">
        <f>VLOOKUP(A269,'Orders Dataset'!$A:$D,4,FALSE)</f>
        <v>Himachal Pradesh</v>
      </c>
      <c r="I269" s="5" t="str">
        <f>VLOOKUP(A269,'Orders Dataset'!$A:$E,5,FALSE)</f>
        <v>Simla</v>
      </c>
    </row>
    <row r="270" spans="1:9" x14ac:dyDescent="0.25">
      <c r="A270" t="s">
        <v>138</v>
      </c>
      <c r="B270">
        <v>490</v>
      </c>
      <c r="C270">
        <v>88</v>
      </c>
      <c r="D270">
        <v>2</v>
      </c>
      <c r="E270" t="s">
        <v>889</v>
      </c>
      <c r="F270" t="s">
        <v>909</v>
      </c>
      <c r="G270" t="s">
        <v>894</v>
      </c>
      <c r="H270" s="3" t="str">
        <f>VLOOKUP(A270,'Orders Dataset'!$A:$D,4,FALSE)</f>
        <v>West Bengal</v>
      </c>
      <c r="I270" s="5" t="str">
        <f>VLOOKUP(A270,'Orders Dataset'!$A:$E,5,FALSE)</f>
        <v>Kolkata</v>
      </c>
    </row>
    <row r="271" spans="1:9" x14ac:dyDescent="0.25">
      <c r="A271" t="s">
        <v>421</v>
      </c>
      <c r="B271">
        <v>381</v>
      </c>
      <c r="C271">
        <v>144</v>
      </c>
      <c r="D271">
        <v>2</v>
      </c>
      <c r="E271" t="s">
        <v>899</v>
      </c>
      <c r="F271" t="s">
        <v>901</v>
      </c>
      <c r="G271" t="s">
        <v>891</v>
      </c>
      <c r="H271" s="3" t="str">
        <f>VLOOKUP(A271,'Orders Dataset'!$A:$D,4,FALSE)</f>
        <v>Maharashtra</v>
      </c>
      <c r="I271" s="5" t="str">
        <f>VLOOKUP(A271,'Orders Dataset'!$A:$E,5,FALSE)</f>
        <v>Pune</v>
      </c>
    </row>
    <row r="272" spans="1:9" x14ac:dyDescent="0.25">
      <c r="A272" t="s">
        <v>397</v>
      </c>
      <c r="B272">
        <v>487</v>
      </c>
      <c r="C272">
        <v>143</v>
      </c>
      <c r="D272">
        <v>4</v>
      </c>
      <c r="E272" t="s">
        <v>889</v>
      </c>
      <c r="F272" t="s">
        <v>898</v>
      </c>
      <c r="G272" t="s">
        <v>894</v>
      </c>
      <c r="H272" s="3" t="str">
        <f>VLOOKUP(A272,'Orders Dataset'!$A:$D,4,FALSE)</f>
        <v>Rajasthan</v>
      </c>
      <c r="I272" s="5" t="str">
        <f>VLOOKUP(A272,'Orders Dataset'!$A:$E,5,FALSE)</f>
        <v>Jaipur</v>
      </c>
    </row>
    <row r="273" spans="1:9" x14ac:dyDescent="0.25">
      <c r="A273" t="s">
        <v>419</v>
      </c>
      <c r="B273">
        <v>366</v>
      </c>
      <c r="C273">
        <v>84</v>
      </c>
      <c r="D273">
        <v>3</v>
      </c>
      <c r="E273" t="s">
        <v>892</v>
      </c>
      <c r="F273" t="s">
        <v>895</v>
      </c>
      <c r="G273" t="s">
        <v>891</v>
      </c>
      <c r="H273" s="3" t="str">
        <f>VLOOKUP(A273,'Orders Dataset'!$A:$D,4,FALSE)</f>
        <v>Gujarat</v>
      </c>
      <c r="I273" s="5" t="str">
        <f>VLOOKUP(A273,'Orders Dataset'!$A:$E,5,FALSE)</f>
        <v>Ahmedabad</v>
      </c>
    </row>
    <row r="274" spans="1:9" x14ac:dyDescent="0.25">
      <c r="A274" t="s">
        <v>722</v>
      </c>
      <c r="B274">
        <v>33</v>
      </c>
      <c r="C274">
        <v>-29</v>
      </c>
      <c r="D274">
        <v>3</v>
      </c>
      <c r="E274" t="s">
        <v>899</v>
      </c>
      <c r="F274" t="s">
        <v>913</v>
      </c>
      <c r="G274" t="s">
        <v>902</v>
      </c>
      <c r="H274" s="3" t="str">
        <f>VLOOKUP(A274,'Orders Dataset'!$A:$D,4,FALSE)</f>
        <v>Madhya Pradesh</v>
      </c>
      <c r="I274" s="5" t="str">
        <f>VLOOKUP(A274,'Orders Dataset'!$A:$E,5,FALSE)</f>
        <v>Indore</v>
      </c>
    </row>
    <row r="275" spans="1:9" x14ac:dyDescent="0.25">
      <c r="A275" t="s">
        <v>288</v>
      </c>
      <c r="B275">
        <v>365</v>
      </c>
      <c r="C275">
        <v>107</v>
      </c>
      <c r="D275">
        <v>3</v>
      </c>
      <c r="E275" t="s">
        <v>889</v>
      </c>
      <c r="F275" t="s">
        <v>898</v>
      </c>
      <c r="G275" t="s">
        <v>891</v>
      </c>
      <c r="H275" s="3" t="str">
        <f>VLOOKUP(A275,'Orders Dataset'!$A:$D,4,FALSE)</f>
        <v>Maharashtra</v>
      </c>
      <c r="I275" s="5" t="str">
        <f>VLOOKUP(A275,'Orders Dataset'!$A:$E,5,FALSE)</f>
        <v>Mumbai</v>
      </c>
    </row>
    <row r="276" spans="1:9" x14ac:dyDescent="0.25">
      <c r="A276" t="s">
        <v>432</v>
      </c>
      <c r="B276">
        <v>207</v>
      </c>
      <c r="C276">
        <v>-100</v>
      </c>
      <c r="D276">
        <v>2</v>
      </c>
      <c r="E276" t="s">
        <v>899</v>
      </c>
      <c r="F276" t="s">
        <v>901</v>
      </c>
      <c r="G276" t="s">
        <v>902</v>
      </c>
      <c r="H276" s="3" t="str">
        <f>VLOOKUP(A276,'Orders Dataset'!$A:$D,4,FALSE)</f>
        <v>Maharashtra</v>
      </c>
      <c r="I276" s="5" t="str">
        <f>VLOOKUP(A276,'Orders Dataset'!$A:$E,5,FALSE)</f>
        <v>Mumbai</v>
      </c>
    </row>
    <row r="277" spans="1:9" x14ac:dyDescent="0.25">
      <c r="A277" t="s">
        <v>332</v>
      </c>
      <c r="B277">
        <v>359</v>
      </c>
      <c r="C277">
        <v>-338</v>
      </c>
      <c r="D277">
        <v>5</v>
      </c>
      <c r="E277" t="s">
        <v>892</v>
      </c>
      <c r="F277" t="s">
        <v>895</v>
      </c>
      <c r="G277" t="s">
        <v>891</v>
      </c>
      <c r="H277" s="3" t="str">
        <f>VLOOKUP(A277,'Orders Dataset'!$A:$D,4,FALSE)</f>
        <v>Tamil Nadu</v>
      </c>
      <c r="I277" s="5" t="str">
        <f>VLOOKUP(A277,'Orders Dataset'!$A:$E,5,FALSE)</f>
        <v>Chennai</v>
      </c>
    </row>
    <row r="278" spans="1:9" x14ac:dyDescent="0.25">
      <c r="A278" t="s">
        <v>226</v>
      </c>
      <c r="B278">
        <v>351</v>
      </c>
      <c r="C278">
        <v>-47</v>
      </c>
      <c r="D278">
        <v>8</v>
      </c>
      <c r="E278" t="s">
        <v>889</v>
      </c>
      <c r="F278" t="s">
        <v>898</v>
      </c>
      <c r="G278" t="s">
        <v>891</v>
      </c>
      <c r="H278" s="3" t="str">
        <f>VLOOKUP(A278,'Orders Dataset'!$A:$D,4,FALSE)</f>
        <v>Maharashtra</v>
      </c>
      <c r="I278" s="5" t="str">
        <f>VLOOKUP(A278,'Orders Dataset'!$A:$E,5,FALSE)</f>
        <v>Mumbai</v>
      </c>
    </row>
    <row r="279" spans="1:9" x14ac:dyDescent="0.25">
      <c r="A279" t="s">
        <v>230</v>
      </c>
      <c r="B279">
        <v>485</v>
      </c>
      <c r="C279">
        <v>199</v>
      </c>
      <c r="D279">
        <v>4</v>
      </c>
      <c r="E279" t="s">
        <v>899</v>
      </c>
      <c r="F279" t="s">
        <v>901</v>
      </c>
      <c r="G279" t="s">
        <v>894</v>
      </c>
      <c r="H279" s="3" t="str">
        <f>VLOOKUP(A279,'Orders Dataset'!$A:$D,4,FALSE)</f>
        <v>Goa</v>
      </c>
      <c r="I279" s="5" t="str">
        <f>VLOOKUP(A279,'Orders Dataset'!$A:$E,5,FALSE)</f>
        <v>Goa</v>
      </c>
    </row>
    <row r="280" spans="1:9" x14ac:dyDescent="0.25">
      <c r="A280" t="s">
        <v>206</v>
      </c>
      <c r="B280">
        <v>37</v>
      </c>
      <c r="C280">
        <v>-23</v>
      </c>
      <c r="D280">
        <v>4</v>
      </c>
      <c r="E280" t="s">
        <v>899</v>
      </c>
      <c r="F280" t="s">
        <v>913</v>
      </c>
      <c r="G280" t="s">
        <v>902</v>
      </c>
      <c r="H280" s="3" t="str">
        <f>VLOOKUP(A280,'Orders Dataset'!$A:$D,4,FALSE)</f>
        <v>Jammu and Kashmir</v>
      </c>
      <c r="I280" s="5" t="str">
        <f>VLOOKUP(A280,'Orders Dataset'!$A:$E,5,FALSE)</f>
        <v>Kashmir</v>
      </c>
    </row>
    <row r="281" spans="1:9" x14ac:dyDescent="0.25">
      <c r="A281" t="s">
        <v>258</v>
      </c>
      <c r="B281">
        <v>34</v>
      </c>
      <c r="C281">
        <v>10</v>
      </c>
      <c r="D281">
        <v>2</v>
      </c>
      <c r="E281" t="s">
        <v>899</v>
      </c>
      <c r="F281" t="s">
        <v>910</v>
      </c>
      <c r="G281" t="s">
        <v>911</v>
      </c>
      <c r="H281" s="3" t="str">
        <f>VLOOKUP(A281,'Orders Dataset'!$A:$D,4,FALSE)</f>
        <v>Madhya Pradesh</v>
      </c>
      <c r="I281" s="5" t="str">
        <f>VLOOKUP(A281,'Orders Dataset'!$A:$E,5,FALSE)</f>
        <v>Indore</v>
      </c>
    </row>
    <row r="282" spans="1:9" x14ac:dyDescent="0.25">
      <c r="A282" t="s">
        <v>166</v>
      </c>
      <c r="B282">
        <v>346</v>
      </c>
      <c r="C282">
        <v>108</v>
      </c>
      <c r="D282">
        <v>3</v>
      </c>
      <c r="E282" t="s">
        <v>892</v>
      </c>
      <c r="F282" t="s">
        <v>893</v>
      </c>
      <c r="G282" t="s">
        <v>891</v>
      </c>
      <c r="H282" s="3" t="str">
        <f>VLOOKUP(A282,'Orders Dataset'!$A:$D,4,FALSE)</f>
        <v>Maharashtra</v>
      </c>
      <c r="I282" s="5" t="str">
        <f>VLOOKUP(A282,'Orders Dataset'!$A:$E,5,FALSE)</f>
        <v>Pune</v>
      </c>
    </row>
    <row r="283" spans="1:9" x14ac:dyDescent="0.25">
      <c r="A283" t="s">
        <v>168</v>
      </c>
      <c r="B283">
        <v>342</v>
      </c>
      <c r="C283">
        <v>-103</v>
      </c>
      <c r="D283">
        <v>4</v>
      </c>
      <c r="E283" t="s">
        <v>889</v>
      </c>
      <c r="F283" t="s">
        <v>890</v>
      </c>
      <c r="G283" t="s">
        <v>891</v>
      </c>
      <c r="H283" s="3" t="str">
        <f>VLOOKUP(A283,'Orders Dataset'!$A:$D,4,FALSE)</f>
        <v>Rajasthan</v>
      </c>
      <c r="I283" s="5" t="str">
        <f>VLOOKUP(A283,'Orders Dataset'!$A:$E,5,FALSE)</f>
        <v>Jaipur</v>
      </c>
    </row>
    <row r="284" spans="1:9" x14ac:dyDescent="0.25">
      <c r="A284" t="s">
        <v>809</v>
      </c>
      <c r="B284">
        <v>35</v>
      </c>
      <c r="C284">
        <v>-8</v>
      </c>
      <c r="D284">
        <v>2</v>
      </c>
      <c r="E284" t="s">
        <v>892</v>
      </c>
      <c r="F284" t="s">
        <v>912</v>
      </c>
      <c r="G284" t="s">
        <v>911</v>
      </c>
      <c r="H284" s="3" t="str">
        <f>VLOOKUP(A284,'Orders Dataset'!$A:$D,4,FALSE)</f>
        <v>Bihar</v>
      </c>
      <c r="I284" s="5" t="str">
        <f>VLOOKUP(A284,'Orders Dataset'!$A:$E,5,FALSE)</f>
        <v>Patna</v>
      </c>
    </row>
    <row r="285" spans="1:9" x14ac:dyDescent="0.25">
      <c r="A285" t="s">
        <v>682</v>
      </c>
      <c r="B285">
        <v>121</v>
      </c>
      <c r="C285">
        <v>41</v>
      </c>
      <c r="D285">
        <v>4</v>
      </c>
      <c r="E285" t="s">
        <v>899</v>
      </c>
      <c r="F285" t="s">
        <v>907</v>
      </c>
      <c r="G285" t="s">
        <v>902</v>
      </c>
      <c r="H285" s="3" t="str">
        <f>VLOOKUP(A285,'Orders Dataset'!$A:$D,4,FALSE)</f>
        <v>Madhya Pradesh</v>
      </c>
      <c r="I285" s="5" t="str">
        <f>VLOOKUP(A285,'Orders Dataset'!$A:$E,5,FALSE)</f>
        <v>Indore</v>
      </c>
    </row>
    <row r="286" spans="1:9" x14ac:dyDescent="0.25">
      <c r="A286" t="s">
        <v>413</v>
      </c>
      <c r="B286">
        <v>336</v>
      </c>
      <c r="C286">
        <v>57</v>
      </c>
      <c r="D286">
        <v>2</v>
      </c>
      <c r="E286" t="s">
        <v>889</v>
      </c>
      <c r="F286" t="s">
        <v>898</v>
      </c>
      <c r="G286" t="s">
        <v>891</v>
      </c>
      <c r="H286" s="3" t="str">
        <f>VLOOKUP(A286,'Orders Dataset'!$A:$D,4,FALSE)</f>
        <v>Madhya Pradesh</v>
      </c>
      <c r="I286" s="5" t="str">
        <f>VLOOKUP(A286,'Orders Dataset'!$A:$E,5,FALSE)</f>
        <v>Indore</v>
      </c>
    </row>
    <row r="287" spans="1:9" x14ac:dyDescent="0.25">
      <c r="A287" t="s">
        <v>472</v>
      </c>
      <c r="B287">
        <v>336</v>
      </c>
      <c r="C287">
        <v>71</v>
      </c>
      <c r="D287">
        <v>3</v>
      </c>
      <c r="E287" t="s">
        <v>892</v>
      </c>
      <c r="F287" t="s">
        <v>895</v>
      </c>
      <c r="G287" t="s">
        <v>891</v>
      </c>
      <c r="H287" s="3" t="str">
        <f>VLOOKUP(A287,'Orders Dataset'!$A:$D,4,FALSE)</f>
        <v>Nagaland</v>
      </c>
      <c r="I287" s="5" t="str">
        <f>VLOOKUP(A287,'Orders Dataset'!$A:$E,5,FALSE)</f>
        <v>Kohima</v>
      </c>
    </row>
    <row r="288" spans="1:9" x14ac:dyDescent="0.25">
      <c r="A288" t="s">
        <v>652</v>
      </c>
      <c r="B288">
        <v>27</v>
      </c>
      <c r="C288">
        <v>4</v>
      </c>
      <c r="D288">
        <v>1</v>
      </c>
      <c r="E288" t="s">
        <v>899</v>
      </c>
      <c r="F288" t="s">
        <v>903</v>
      </c>
      <c r="G288" t="s">
        <v>891</v>
      </c>
      <c r="H288" s="3" t="str">
        <f>VLOOKUP(A288,'Orders Dataset'!$A:$D,4,FALSE)</f>
        <v>Goa</v>
      </c>
      <c r="I288" s="5" t="str">
        <f>VLOOKUP(A288,'Orders Dataset'!$A:$E,5,FALSE)</f>
        <v>Goa</v>
      </c>
    </row>
    <row r="289" spans="1:9" x14ac:dyDescent="0.25">
      <c r="A289" t="s">
        <v>478</v>
      </c>
      <c r="B289">
        <v>333</v>
      </c>
      <c r="C289">
        <v>50</v>
      </c>
      <c r="D289">
        <v>2</v>
      </c>
      <c r="E289" t="s">
        <v>889</v>
      </c>
      <c r="F289" t="s">
        <v>898</v>
      </c>
      <c r="G289" t="s">
        <v>891</v>
      </c>
      <c r="H289" s="3" t="str">
        <f>VLOOKUP(A289,'Orders Dataset'!$A:$D,4,FALSE)</f>
        <v>Delhi</v>
      </c>
      <c r="I289" s="5" t="str">
        <f>VLOOKUP(A289,'Orders Dataset'!$A:$E,5,FALSE)</f>
        <v>Delhi</v>
      </c>
    </row>
    <row r="290" spans="1:9" x14ac:dyDescent="0.25">
      <c r="A290" t="s">
        <v>46</v>
      </c>
      <c r="B290">
        <v>36</v>
      </c>
      <c r="C290">
        <v>7</v>
      </c>
      <c r="D290">
        <v>3</v>
      </c>
      <c r="E290" t="s">
        <v>899</v>
      </c>
      <c r="F290" t="s">
        <v>908</v>
      </c>
      <c r="G290" t="s">
        <v>911</v>
      </c>
      <c r="H290" s="3" t="str">
        <f>VLOOKUP(A290,'Orders Dataset'!$A:$D,4,FALSE)</f>
        <v>Uttar Pradesh</v>
      </c>
      <c r="I290" s="5" t="str">
        <f>VLOOKUP(A290,'Orders Dataset'!$A:$E,5,FALSE)</f>
        <v>Mathura</v>
      </c>
    </row>
    <row r="291" spans="1:9" x14ac:dyDescent="0.25">
      <c r="A291" t="s">
        <v>476</v>
      </c>
      <c r="B291">
        <v>333</v>
      </c>
      <c r="C291">
        <v>-15</v>
      </c>
      <c r="D291">
        <v>3</v>
      </c>
      <c r="E291" t="s">
        <v>889</v>
      </c>
      <c r="F291" t="s">
        <v>898</v>
      </c>
      <c r="G291" t="s">
        <v>891</v>
      </c>
      <c r="H291" s="3" t="str">
        <f>VLOOKUP(A291,'Orders Dataset'!$A:$D,4,FALSE)</f>
        <v>Madhya Pradesh</v>
      </c>
      <c r="I291" s="5" t="str">
        <f>VLOOKUP(A291,'Orders Dataset'!$A:$E,5,FALSE)</f>
        <v>Bhopal</v>
      </c>
    </row>
    <row r="292" spans="1:9" x14ac:dyDescent="0.25">
      <c r="A292" t="s">
        <v>482</v>
      </c>
      <c r="B292">
        <v>327</v>
      </c>
      <c r="C292">
        <v>114</v>
      </c>
      <c r="D292">
        <v>4</v>
      </c>
      <c r="E292" t="s">
        <v>899</v>
      </c>
      <c r="F292" t="s">
        <v>900</v>
      </c>
      <c r="G292" t="s">
        <v>891</v>
      </c>
      <c r="H292" s="3" t="str">
        <f>VLOOKUP(A292,'Orders Dataset'!$A:$D,4,FALSE)</f>
        <v>Madhya Pradesh</v>
      </c>
      <c r="I292" s="5" t="str">
        <f>VLOOKUP(A292,'Orders Dataset'!$A:$E,5,FALSE)</f>
        <v>Indore</v>
      </c>
    </row>
    <row r="293" spans="1:9" x14ac:dyDescent="0.25">
      <c r="A293" t="s">
        <v>526</v>
      </c>
      <c r="B293">
        <v>18</v>
      </c>
      <c r="C293">
        <v>6</v>
      </c>
      <c r="D293">
        <v>3</v>
      </c>
      <c r="E293" t="s">
        <v>899</v>
      </c>
      <c r="F293" t="s">
        <v>903</v>
      </c>
      <c r="G293" t="s">
        <v>902</v>
      </c>
      <c r="H293" s="3" t="str">
        <f>VLOOKUP(A293,'Orders Dataset'!$A:$D,4,FALSE)</f>
        <v>Maharashtra</v>
      </c>
      <c r="I293" s="5" t="str">
        <f>VLOOKUP(A293,'Orders Dataset'!$A:$E,5,FALSE)</f>
        <v>Mumbai</v>
      </c>
    </row>
    <row r="294" spans="1:9" x14ac:dyDescent="0.25">
      <c r="A294" t="s">
        <v>397</v>
      </c>
      <c r="B294">
        <v>325</v>
      </c>
      <c r="C294">
        <v>32</v>
      </c>
      <c r="D294">
        <v>7</v>
      </c>
      <c r="E294" t="s">
        <v>899</v>
      </c>
      <c r="F294" t="s">
        <v>910</v>
      </c>
      <c r="G294" t="s">
        <v>891</v>
      </c>
      <c r="H294" s="3" t="str">
        <f>VLOOKUP(A294,'Orders Dataset'!$A:$D,4,FALSE)</f>
        <v>Rajasthan</v>
      </c>
      <c r="I294" s="5" t="str">
        <f>VLOOKUP(A294,'Orders Dataset'!$A:$E,5,FALSE)</f>
        <v>Jaipur</v>
      </c>
    </row>
    <row r="295" spans="1:9" x14ac:dyDescent="0.25">
      <c r="A295" t="s">
        <v>400</v>
      </c>
      <c r="B295">
        <v>482</v>
      </c>
      <c r="C295">
        <v>-6</v>
      </c>
      <c r="D295">
        <v>7</v>
      </c>
      <c r="E295" t="s">
        <v>889</v>
      </c>
      <c r="F295" t="s">
        <v>890</v>
      </c>
      <c r="G295" t="s">
        <v>894</v>
      </c>
      <c r="H295" s="3" t="str">
        <f>VLOOKUP(A295,'Orders Dataset'!$A:$D,4,FALSE)</f>
        <v>Madhya Pradesh</v>
      </c>
      <c r="I295" s="5" t="str">
        <f>VLOOKUP(A295,'Orders Dataset'!$A:$E,5,FALSE)</f>
        <v>Indore</v>
      </c>
    </row>
    <row r="296" spans="1:9" x14ac:dyDescent="0.25">
      <c r="A296" t="s">
        <v>297</v>
      </c>
      <c r="B296">
        <v>465</v>
      </c>
      <c r="C296">
        <v>-33</v>
      </c>
      <c r="D296">
        <v>4</v>
      </c>
      <c r="E296" t="s">
        <v>889</v>
      </c>
      <c r="F296" t="s">
        <v>898</v>
      </c>
      <c r="G296" t="s">
        <v>894</v>
      </c>
      <c r="H296" s="3" t="str">
        <f>VLOOKUP(A296,'Orders Dataset'!$A:$D,4,FALSE)</f>
        <v>Maharashtra</v>
      </c>
      <c r="I296" s="5" t="str">
        <f>VLOOKUP(A296,'Orders Dataset'!$A:$E,5,FALSE)</f>
        <v>Mumbai</v>
      </c>
    </row>
    <row r="297" spans="1:9" x14ac:dyDescent="0.25">
      <c r="A297" t="s">
        <v>364</v>
      </c>
      <c r="B297">
        <v>40</v>
      </c>
      <c r="C297">
        <v>-12</v>
      </c>
      <c r="D297">
        <v>3</v>
      </c>
      <c r="E297" t="s">
        <v>899</v>
      </c>
      <c r="F297" t="s">
        <v>913</v>
      </c>
      <c r="G297" t="s">
        <v>891</v>
      </c>
      <c r="H297" s="3" t="str">
        <f>VLOOKUP(A297,'Orders Dataset'!$A:$D,4,FALSE)</f>
        <v>Jammu and Kashmir</v>
      </c>
      <c r="I297" s="5" t="str">
        <f>VLOOKUP(A297,'Orders Dataset'!$A:$E,5,FALSE)</f>
        <v>Kashmir</v>
      </c>
    </row>
    <row r="298" spans="1:9" x14ac:dyDescent="0.25">
      <c r="A298" t="s">
        <v>136</v>
      </c>
      <c r="B298">
        <v>107</v>
      </c>
      <c r="C298">
        <v>36</v>
      </c>
      <c r="D298">
        <v>6</v>
      </c>
      <c r="E298" t="s">
        <v>899</v>
      </c>
      <c r="F298" t="s">
        <v>907</v>
      </c>
      <c r="G298" t="s">
        <v>891</v>
      </c>
      <c r="H298" s="3" t="str">
        <f>VLOOKUP(A298,'Orders Dataset'!$A:$D,4,FALSE)</f>
        <v>Madhya Pradesh</v>
      </c>
      <c r="I298" s="5" t="str">
        <f>VLOOKUP(A298,'Orders Dataset'!$A:$E,5,FALSE)</f>
        <v>Bhopal</v>
      </c>
    </row>
    <row r="299" spans="1:9" x14ac:dyDescent="0.25">
      <c r="A299" t="s">
        <v>436</v>
      </c>
      <c r="B299">
        <v>312</v>
      </c>
      <c r="C299">
        <v>-312</v>
      </c>
      <c r="D299">
        <v>7</v>
      </c>
      <c r="E299" t="s">
        <v>892</v>
      </c>
      <c r="F299" t="s">
        <v>893</v>
      </c>
      <c r="G299" t="s">
        <v>891</v>
      </c>
      <c r="H299" s="3" t="str">
        <f>VLOOKUP(A299,'Orders Dataset'!$A:$D,4,FALSE)</f>
        <v>Madhya Pradesh</v>
      </c>
      <c r="I299" s="5" t="str">
        <f>VLOOKUP(A299,'Orders Dataset'!$A:$E,5,FALSE)</f>
        <v>Indore</v>
      </c>
    </row>
    <row r="300" spans="1:9" x14ac:dyDescent="0.25">
      <c r="A300" t="s">
        <v>415</v>
      </c>
      <c r="B300">
        <v>451</v>
      </c>
      <c r="C300">
        <v>25</v>
      </c>
      <c r="D300">
        <v>3</v>
      </c>
      <c r="E300" t="s">
        <v>889</v>
      </c>
      <c r="F300" t="s">
        <v>898</v>
      </c>
      <c r="G300" t="s">
        <v>894</v>
      </c>
      <c r="H300" s="3" t="str">
        <f>VLOOKUP(A300,'Orders Dataset'!$A:$D,4,FALSE)</f>
        <v>West Bengal</v>
      </c>
      <c r="I300" s="5" t="str">
        <f>VLOOKUP(A300,'Orders Dataset'!$A:$E,5,FALSE)</f>
        <v>Kolkata</v>
      </c>
    </row>
    <row r="301" spans="1:9" x14ac:dyDescent="0.25">
      <c r="A301" t="s">
        <v>367</v>
      </c>
      <c r="B301">
        <v>312</v>
      </c>
      <c r="C301">
        <v>62</v>
      </c>
      <c r="D301">
        <v>1</v>
      </c>
      <c r="E301" t="s">
        <v>889</v>
      </c>
      <c r="F301" t="s">
        <v>890</v>
      </c>
      <c r="G301" t="s">
        <v>891</v>
      </c>
      <c r="H301" s="3" t="str">
        <f>VLOOKUP(A301,'Orders Dataset'!$A:$D,4,FALSE)</f>
        <v>Maharashtra</v>
      </c>
      <c r="I301" s="5" t="str">
        <f>VLOOKUP(A301,'Orders Dataset'!$A:$E,5,FALSE)</f>
        <v>Pune</v>
      </c>
    </row>
    <row r="302" spans="1:9" x14ac:dyDescent="0.25">
      <c r="A302" t="s">
        <v>494</v>
      </c>
      <c r="B302">
        <v>311</v>
      </c>
      <c r="C302">
        <v>72</v>
      </c>
      <c r="D302">
        <v>2</v>
      </c>
      <c r="E302" t="s">
        <v>892</v>
      </c>
      <c r="F302" t="s">
        <v>895</v>
      </c>
      <c r="G302" t="s">
        <v>891</v>
      </c>
      <c r="H302" s="3" t="str">
        <f>VLOOKUP(A302,'Orders Dataset'!$A:$D,4,FALSE)</f>
        <v>Jammu and Kashmir</v>
      </c>
      <c r="I302" s="5" t="str">
        <f>VLOOKUP(A302,'Orders Dataset'!$A:$E,5,FALSE)</f>
        <v>Kashmir</v>
      </c>
    </row>
    <row r="303" spans="1:9" x14ac:dyDescent="0.25">
      <c r="A303" t="s">
        <v>879</v>
      </c>
      <c r="B303">
        <v>11</v>
      </c>
      <c r="C303">
        <v>5</v>
      </c>
      <c r="D303">
        <v>2</v>
      </c>
      <c r="E303" t="s">
        <v>899</v>
      </c>
      <c r="F303" t="s">
        <v>903</v>
      </c>
      <c r="G303" t="s">
        <v>902</v>
      </c>
      <c r="H303" s="3" t="str">
        <f>VLOOKUP(A303,'Orders Dataset'!$A:$D,4,FALSE)</f>
        <v>Sikkim</v>
      </c>
      <c r="I303" s="5" t="str">
        <f>VLOOKUP(A303,'Orders Dataset'!$A:$E,5,FALSE)</f>
        <v>Gangtok</v>
      </c>
    </row>
    <row r="304" spans="1:9" x14ac:dyDescent="0.25">
      <c r="A304" t="s">
        <v>644</v>
      </c>
      <c r="B304">
        <v>37</v>
      </c>
      <c r="C304">
        <v>-5</v>
      </c>
      <c r="D304">
        <v>3</v>
      </c>
      <c r="E304" t="s">
        <v>899</v>
      </c>
      <c r="F304" t="s">
        <v>910</v>
      </c>
      <c r="G304" t="s">
        <v>911</v>
      </c>
      <c r="H304" s="3" t="str">
        <f>VLOOKUP(A304,'Orders Dataset'!$A:$D,4,FALSE)</f>
        <v>Gujarat</v>
      </c>
      <c r="I304" s="5" t="str">
        <f>VLOOKUP(A304,'Orders Dataset'!$A:$E,5,FALSE)</f>
        <v>Ahmedabad</v>
      </c>
    </row>
    <row r="305" spans="1:9" x14ac:dyDescent="0.25">
      <c r="A305" t="s">
        <v>265</v>
      </c>
      <c r="B305">
        <v>444</v>
      </c>
      <c r="C305">
        <v>-200</v>
      </c>
      <c r="D305">
        <v>4</v>
      </c>
      <c r="E305" t="s">
        <v>889</v>
      </c>
      <c r="F305" t="s">
        <v>898</v>
      </c>
      <c r="G305" t="s">
        <v>894</v>
      </c>
      <c r="H305" s="3" t="str">
        <f>VLOOKUP(A305,'Orders Dataset'!$A:$D,4,FALSE)</f>
        <v>Bihar</v>
      </c>
      <c r="I305" s="5" t="str">
        <f>VLOOKUP(A305,'Orders Dataset'!$A:$E,5,FALSE)</f>
        <v>Patna</v>
      </c>
    </row>
    <row r="306" spans="1:9" x14ac:dyDescent="0.25">
      <c r="A306" t="s">
        <v>422</v>
      </c>
      <c r="B306">
        <v>434</v>
      </c>
      <c r="C306">
        <v>26</v>
      </c>
      <c r="D306">
        <v>11</v>
      </c>
      <c r="E306" t="s">
        <v>899</v>
      </c>
      <c r="F306" t="s">
        <v>913</v>
      </c>
      <c r="G306" t="s">
        <v>897</v>
      </c>
      <c r="H306" s="3" t="str">
        <f>VLOOKUP(A306,'Orders Dataset'!$A:$D,4,FALSE)</f>
        <v>Karnataka</v>
      </c>
      <c r="I306" s="5" t="str">
        <f>VLOOKUP(A306,'Orders Dataset'!$A:$E,5,FALSE)</f>
        <v>Bangalore</v>
      </c>
    </row>
    <row r="307" spans="1:9" x14ac:dyDescent="0.25">
      <c r="A307" t="s">
        <v>501</v>
      </c>
      <c r="B307">
        <v>299</v>
      </c>
      <c r="C307">
        <v>0</v>
      </c>
      <c r="D307">
        <v>6</v>
      </c>
      <c r="E307" t="s">
        <v>899</v>
      </c>
      <c r="F307" t="s">
        <v>907</v>
      </c>
      <c r="G307" t="s">
        <v>891</v>
      </c>
      <c r="H307" s="3" t="str">
        <f>VLOOKUP(A307,'Orders Dataset'!$A:$D,4,FALSE)</f>
        <v>Delhi</v>
      </c>
      <c r="I307" s="5" t="str">
        <f>VLOOKUP(A307,'Orders Dataset'!$A:$E,5,FALSE)</f>
        <v>Delhi</v>
      </c>
    </row>
    <row r="308" spans="1:9" x14ac:dyDescent="0.25">
      <c r="A308" t="s">
        <v>413</v>
      </c>
      <c r="B308">
        <v>37</v>
      </c>
      <c r="C308">
        <v>17</v>
      </c>
      <c r="D308">
        <v>3</v>
      </c>
      <c r="E308" t="s">
        <v>899</v>
      </c>
      <c r="F308" t="s">
        <v>903</v>
      </c>
      <c r="G308" t="s">
        <v>911</v>
      </c>
      <c r="H308" s="3" t="str">
        <f>VLOOKUP(A308,'Orders Dataset'!$A:$D,4,FALSE)</f>
        <v>Madhya Pradesh</v>
      </c>
      <c r="I308" s="5" t="str">
        <f>VLOOKUP(A308,'Orders Dataset'!$A:$E,5,FALSE)</f>
        <v>Indore</v>
      </c>
    </row>
    <row r="309" spans="1:9" x14ac:dyDescent="0.25">
      <c r="A309" t="s">
        <v>452</v>
      </c>
      <c r="B309">
        <v>299</v>
      </c>
      <c r="C309">
        <v>113</v>
      </c>
      <c r="D309">
        <v>2</v>
      </c>
      <c r="E309" t="s">
        <v>892</v>
      </c>
      <c r="F309" t="s">
        <v>895</v>
      </c>
      <c r="G309" t="s">
        <v>891</v>
      </c>
      <c r="H309" s="3" t="str">
        <f>VLOOKUP(A309,'Orders Dataset'!$A:$D,4,FALSE)</f>
        <v>Madhya Pradesh</v>
      </c>
      <c r="I309" s="5" t="str">
        <f>VLOOKUP(A309,'Orders Dataset'!$A:$E,5,FALSE)</f>
        <v>Indore</v>
      </c>
    </row>
    <row r="310" spans="1:9" x14ac:dyDescent="0.25">
      <c r="A310" t="s">
        <v>503</v>
      </c>
      <c r="B310">
        <v>298</v>
      </c>
      <c r="C310">
        <v>74</v>
      </c>
      <c r="D310">
        <v>2</v>
      </c>
      <c r="E310" t="s">
        <v>892</v>
      </c>
      <c r="F310" t="s">
        <v>895</v>
      </c>
      <c r="G310" t="s">
        <v>891</v>
      </c>
      <c r="H310" s="3" t="str">
        <f>VLOOKUP(A310,'Orders Dataset'!$A:$D,4,FALSE)</f>
        <v>Karnataka</v>
      </c>
      <c r="I310" s="5" t="str">
        <f>VLOOKUP(A310,'Orders Dataset'!$A:$E,5,FALSE)</f>
        <v>Bangalore</v>
      </c>
    </row>
    <row r="311" spans="1:9" x14ac:dyDescent="0.25">
      <c r="A311" t="s">
        <v>728</v>
      </c>
      <c r="B311">
        <v>94</v>
      </c>
      <c r="C311">
        <v>7</v>
      </c>
      <c r="D311">
        <v>7</v>
      </c>
      <c r="E311" t="s">
        <v>899</v>
      </c>
      <c r="F311" t="s">
        <v>908</v>
      </c>
      <c r="G311" t="s">
        <v>902</v>
      </c>
      <c r="H311" s="3" t="str">
        <f>VLOOKUP(A311,'Orders Dataset'!$A:$D,4,FALSE)</f>
        <v>Punjab</v>
      </c>
      <c r="I311" s="5" t="str">
        <f>VLOOKUP(A311,'Orders Dataset'!$A:$E,5,FALSE)</f>
        <v>Chandigarh</v>
      </c>
    </row>
    <row r="312" spans="1:9" x14ac:dyDescent="0.25">
      <c r="A312" t="s">
        <v>317</v>
      </c>
      <c r="B312">
        <v>296</v>
      </c>
      <c r="C312">
        <v>225</v>
      </c>
      <c r="D312">
        <v>11</v>
      </c>
      <c r="E312" t="s">
        <v>899</v>
      </c>
      <c r="F312" t="s">
        <v>901</v>
      </c>
      <c r="G312" t="s">
        <v>891</v>
      </c>
      <c r="H312" s="3" t="str">
        <f>VLOOKUP(A312,'Orders Dataset'!$A:$D,4,FALSE)</f>
        <v>Gujarat</v>
      </c>
      <c r="I312" s="5" t="str">
        <f>VLOOKUP(A312,'Orders Dataset'!$A:$E,5,FALSE)</f>
        <v>Ahmedabad</v>
      </c>
    </row>
    <row r="313" spans="1:9" x14ac:dyDescent="0.25">
      <c r="A313" t="s">
        <v>114</v>
      </c>
      <c r="B313">
        <v>37</v>
      </c>
      <c r="C313">
        <v>17</v>
      </c>
      <c r="D313">
        <v>3</v>
      </c>
      <c r="E313" t="s">
        <v>899</v>
      </c>
      <c r="F313" t="s">
        <v>903</v>
      </c>
      <c r="G313" t="s">
        <v>911</v>
      </c>
      <c r="H313" s="3" t="str">
        <f>VLOOKUP(A313,'Orders Dataset'!$A:$D,4,FALSE)</f>
        <v>Madhya Pradesh</v>
      </c>
      <c r="I313" s="5" t="str">
        <f>VLOOKUP(A313,'Orders Dataset'!$A:$E,5,FALSE)</f>
        <v>Indore</v>
      </c>
    </row>
    <row r="314" spans="1:9" x14ac:dyDescent="0.25">
      <c r="A314" t="s">
        <v>506</v>
      </c>
      <c r="B314">
        <v>291</v>
      </c>
      <c r="C314">
        <v>93</v>
      </c>
      <c r="D314">
        <v>2</v>
      </c>
      <c r="E314" t="s">
        <v>889</v>
      </c>
      <c r="F314" t="s">
        <v>896</v>
      </c>
      <c r="G314" t="s">
        <v>891</v>
      </c>
      <c r="H314" s="3" t="str">
        <f>VLOOKUP(A314,'Orders Dataset'!$A:$D,4,FALSE)</f>
        <v>Maharashtra</v>
      </c>
      <c r="I314" s="5" t="str">
        <f>VLOOKUP(A314,'Orders Dataset'!$A:$E,5,FALSE)</f>
        <v>Pune</v>
      </c>
    </row>
    <row r="315" spans="1:9" x14ac:dyDescent="0.25">
      <c r="A315" t="s">
        <v>480</v>
      </c>
      <c r="B315">
        <v>327</v>
      </c>
      <c r="C315">
        <v>-39</v>
      </c>
      <c r="D315">
        <v>1</v>
      </c>
      <c r="E315" t="s">
        <v>889</v>
      </c>
      <c r="F315" t="s">
        <v>898</v>
      </c>
      <c r="G315" t="s">
        <v>891</v>
      </c>
      <c r="H315" s="3" t="str">
        <f>VLOOKUP(A315,'Orders Dataset'!$A:$D,4,FALSE)</f>
        <v>Karnataka</v>
      </c>
      <c r="I315" s="5" t="str">
        <f>VLOOKUP(A315,'Orders Dataset'!$A:$E,5,FALSE)</f>
        <v>Bangalore</v>
      </c>
    </row>
    <row r="316" spans="1:9" x14ac:dyDescent="0.25">
      <c r="A316" t="s">
        <v>380</v>
      </c>
      <c r="B316">
        <v>291</v>
      </c>
      <c r="C316">
        <v>119</v>
      </c>
      <c r="D316">
        <v>11</v>
      </c>
      <c r="E316" t="s">
        <v>899</v>
      </c>
      <c r="F316" t="s">
        <v>901</v>
      </c>
      <c r="G316" t="s">
        <v>891</v>
      </c>
      <c r="H316" s="3" t="str">
        <f>VLOOKUP(A316,'Orders Dataset'!$A:$D,4,FALSE)</f>
        <v>Jammu and Kashmir</v>
      </c>
      <c r="I316" s="5" t="str">
        <f>VLOOKUP(A316,'Orders Dataset'!$A:$E,5,FALSE)</f>
        <v>Kashmir</v>
      </c>
    </row>
    <row r="317" spans="1:9" x14ac:dyDescent="0.25">
      <c r="A317" t="s">
        <v>509</v>
      </c>
      <c r="B317">
        <v>287</v>
      </c>
      <c r="C317">
        <v>-66</v>
      </c>
      <c r="D317">
        <v>6</v>
      </c>
      <c r="E317" t="s">
        <v>899</v>
      </c>
      <c r="F317" t="s">
        <v>904</v>
      </c>
      <c r="G317" t="s">
        <v>891</v>
      </c>
      <c r="H317" s="3" t="str">
        <f>VLOOKUP(A317,'Orders Dataset'!$A:$D,4,FALSE)</f>
        <v>Maharashtra</v>
      </c>
      <c r="I317" s="5" t="str">
        <f>VLOOKUP(A317,'Orders Dataset'!$A:$E,5,FALSE)</f>
        <v>Mumbai</v>
      </c>
    </row>
    <row r="318" spans="1:9" x14ac:dyDescent="0.25">
      <c r="A318" t="s">
        <v>469</v>
      </c>
      <c r="B318">
        <v>42</v>
      </c>
      <c r="C318">
        <v>15</v>
      </c>
      <c r="D318">
        <v>1</v>
      </c>
      <c r="E318" t="s">
        <v>889</v>
      </c>
      <c r="F318" t="s">
        <v>909</v>
      </c>
      <c r="G318" t="s">
        <v>902</v>
      </c>
      <c r="H318" s="3" t="str">
        <f>VLOOKUP(A318,'Orders Dataset'!$A:$D,4,FALSE)</f>
        <v>Delhi</v>
      </c>
      <c r="I318" s="5" t="str">
        <f>VLOOKUP(A318,'Orders Dataset'!$A:$E,5,FALSE)</f>
        <v>Delhi</v>
      </c>
    </row>
    <row r="319" spans="1:9" x14ac:dyDescent="0.25">
      <c r="A319" t="s">
        <v>424</v>
      </c>
      <c r="B319">
        <v>429</v>
      </c>
      <c r="C319">
        <v>61</v>
      </c>
      <c r="D319">
        <v>3</v>
      </c>
      <c r="E319" t="s">
        <v>889</v>
      </c>
      <c r="F319" t="s">
        <v>890</v>
      </c>
      <c r="G319" t="s">
        <v>897</v>
      </c>
      <c r="H319" s="3" t="str">
        <f>VLOOKUP(A319,'Orders Dataset'!$A:$D,4,FALSE)</f>
        <v>Karnataka</v>
      </c>
      <c r="I319" s="5" t="str">
        <f>VLOOKUP(A319,'Orders Dataset'!$A:$E,5,FALSE)</f>
        <v>Bangalore</v>
      </c>
    </row>
    <row r="320" spans="1:9" x14ac:dyDescent="0.25">
      <c r="A320" t="s">
        <v>510</v>
      </c>
      <c r="B320">
        <v>285</v>
      </c>
      <c r="C320">
        <v>128</v>
      </c>
      <c r="D320">
        <v>2</v>
      </c>
      <c r="E320" t="s">
        <v>889</v>
      </c>
      <c r="F320" t="s">
        <v>896</v>
      </c>
      <c r="G320" t="s">
        <v>891</v>
      </c>
      <c r="H320" s="3" t="str">
        <f>VLOOKUP(A320,'Orders Dataset'!$A:$D,4,FALSE)</f>
        <v>Uttar Pradesh</v>
      </c>
      <c r="I320" s="5" t="str">
        <f>VLOOKUP(A320,'Orders Dataset'!$A:$E,5,FALSE)</f>
        <v>Lucknow</v>
      </c>
    </row>
    <row r="321" spans="1:9" x14ac:dyDescent="0.25">
      <c r="A321" t="s">
        <v>514</v>
      </c>
      <c r="B321">
        <v>277</v>
      </c>
      <c r="C321">
        <v>3</v>
      </c>
      <c r="D321">
        <v>1</v>
      </c>
      <c r="E321" t="s">
        <v>889</v>
      </c>
      <c r="F321" t="s">
        <v>890</v>
      </c>
      <c r="G321" t="s">
        <v>891</v>
      </c>
      <c r="H321" s="3" t="str">
        <f>VLOOKUP(A321,'Orders Dataset'!$A:$D,4,FALSE)</f>
        <v>Punjab</v>
      </c>
      <c r="I321" s="5" t="str">
        <f>VLOOKUP(A321,'Orders Dataset'!$A:$E,5,FALSE)</f>
        <v>Amritsar</v>
      </c>
    </row>
    <row r="322" spans="1:9" x14ac:dyDescent="0.25">
      <c r="A322" t="s">
        <v>282</v>
      </c>
      <c r="B322">
        <v>274</v>
      </c>
      <c r="C322">
        <v>-7</v>
      </c>
      <c r="D322">
        <v>4</v>
      </c>
      <c r="E322" t="s">
        <v>889</v>
      </c>
      <c r="F322" t="s">
        <v>898</v>
      </c>
      <c r="G322" t="s">
        <v>891</v>
      </c>
      <c r="H322" s="3" t="str">
        <f>VLOOKUP(A322,'Orders Dataset'!$A:$D,4,FALSE)</f>
        <v>Kerala</v>
      </c>
      <c r="I322" s="5" t="str">
        <f>VLOOKUP(A322,'Orders Dataset'!$A:$E,5,FALSE)</f>
        <v>Thiruvananthapuram</v>
      </c>
    </row>
    <row r="323" spans="1:9" x14ac:dyDescent="0.25">
      <c r="A323" t="s">
        <v>519</v>
      </c>
      <c r="B323">
        <v>273</v>
      </c>
      <c r="C323">
        <v>-87</v>
      </c>
      <c r="D323">
        <v>4</v>
      </c>
      <c r="E323" t="s">
        <v>889</v>
      </c>
      <c r="F323" t="s">
        <v>898</v>
      </c>
      <c r="G323" t="s">
        <v>891</v>
      </c>
      <c r="H323" s="3" t="str">
        <f>VLOOKUP(A323,'Orders Dataset'!$A:$D,4,FALSE)</f>
        <v>Madhya Pradesh</v>
      </c>
      <c r="I323" s="5" t="str">
        <f>VLOOKUP(A323,'Orders Dataset'!$A:$E,5,FALSE)</f>
        <v>Indore</v>
      </c>
    </row>
    <row r="324" spans="1:9" x14ac:dyDescent="0.25">
      <c r="A324" t="s">
        <v>277</v>
      </c>
      <c r="B324">
        <v>269</v>
      </c>
      <c r="C324">
        <v>91</v>
      </c>
      <c r="D324">
        <v>1</v>
      </c>
      <c r="E324" t="s">
        <v>889</v>
      </c>
      <c r="F324" t="s">
        <v>890</v>
      </c>
      <c r="G324" t="s">
        <v>891</v>
      </c>
      <c r="H324" s="3" t="str">
        <f>VLOOKUP(A324,'Orders Dataset'!$A:$D,4,FALSE)</f>
        <v>Madhya Pradesh</v>
      </c>
      <c r="I324" s="5" t="str">
        <f>VLOOKUP(A324,'Orders Dataset'!$A:$E,5,FALSE)</f>
        <v>Indore</v>
      </c>
    </row>
    <row r="325" spans="1:9" x14ac:dyDescent="0.25">
      <c r="A325" t="s">
        <v>506</v>
      </c>
      <c r="B325">
        <v>11</v>
      </c>
      <c r="C325">
        <v>5</v>
      </c>
      <c r="D325">
        <v>1</v>
      </c>
      <c r="E325" t="s">
        <v>899</v>
      </c>
      <c r="F325" t="s">
        <v>905</v>
      </c>
      <c r="G325" t="s">
        <v>891</v>
      </c>
      <c r="H325" s="3" t="str">
        <f>VLOOKUP(A325,'Orders Dataset'!$A:$D,4,FALSE)</f>
        <v>Maharashtra</v>
      </c>
      <c r="I325" s="5" t="str">
        <f>VLOOKUP(A325,'Orders Dataset'!$A:$E,5,FALSE)</f>
        <v>Pune</v>
      </c>
    </row>
    <row r="326" spans="1:9" x14ac:dyDescent="0.25">
      <c r="A326" t="s">
        <v>25</v>
      </c>
      <c r="B326">
        <v>39</v>
      </c>
      <c r="C326">
        <v>2</v>
      </c>
      <c r="D326">
        <v>2</v>
      </c>
      <c r="E326" t="s">
        <v>899</v>
      </c>
      <c r="F326" t="s">
        <v>901</v>
      </c>
      <c r="G326" t="s">
        <v>911</v>
      </c>
      <c r="H326" s="3" t="str">
        <f>VLOOKUP(A326,'Orders Dataset'!$A:$D,4,FALSE)</f>
        <v>Maharashtra</v>
      </c>
      <c r="I326" s="5" t="str">
        <f>VLOOKUP(A326,'Orders Dataset'!$A:$E,5,FALSE)</f>
        <v>Pune</v>
      </c>
    </row>
    <row r="327" spans="1:9" x14ac:dyDescent="0.25">
      <c r="A327" t="s">
        <v>415</v>
      </c>
      <c r="B327">
        <v>264</v>
      </c>
      <c r="C327">
        <v>-26</v>
      </c>
      <c r="D327">
        <v>3</v>
      </c>
      <c r="E327" t="s">
        <v>899</v>
      </c>
      <c r="F327" t="s">
        <v>900</v>
      </c>
      <c r="G327" t="s">
        <v>891</v>
      </c>
      <c r="H327" s="3" t="str">
        <f>VLOOKUP(A327,'Orders Dataset'!$A:$D,4,FALSE)</f>
        <v>West Bengal</v>
      </c>
      <c r="I327" s="5" t="str">
        <f>VLOOKUP(A327,'Orders Dataset'!$A:$E,5,FALSE)</f>
        <v>Kolkata</v>
      </c>
    </row>
    <row r="328" spans="1:9" x14ac:dyDescent="0.25">
      <c r="A328" t="s">
        <v>448</v>
      </c>
      <c r="B328">
        <v>40</v>
      </c>
      <c r="C328">
        <v>16</v>
      </c>
      <c r="D328">
        <v>3</v>
      </c>
      <c r="E328" t="s">
        <v>899</v>
      </c>
      <c r="F328" t="s">
        <v>903</v>
      </c>
      <c r="G328" t="s">
        <v>911</v>
      </c>
      <c r="H328" s="3" t="str">
        <f>VLOOKUP(A328,'Orders Dataset'!$A:$D,4,FALSE)</f>
        <v>Nagaland</v>
      </c>
      <c r="I328" s="5" t="str">
        <f>VLOOKUP(A328,'Orders Dataset'!$A:$E,5,FALSE)</f>
        <v>Kohima</v>
      </c>
    </row>
    <row r="329" spans="1:9" x14ac:dyDescent="0.25">
      <c r="A329" t="s">
        <v>662</v>
      </c>
      <c r="B329">
        <v>41</v>
      </c>
      <c r="C329">
        <v>19</v>
      </c>
      <c r="D329">
        <v>2</v>
      </c>
      <c r="E329" t="s">
        <v>899</v>
      </c>
      <c r="F329" t="s">
        <v>910</v>
      </c>
      <c r="G329" t="s">
        <v>911</v>
      </c>
      <c r="H329" s="3" t="str">
        <f>VLOOKUP(A329,'Orders Dataset'!$A:$D,4,FALSE)</f>
        <v>Bihar</v>
      </c>
      <c r="I329" s="5" t="str">
        <f>VLOOKUP(A329,'Orders Dataset'!$A:$E,5,FALSE)</f>
        <v>Patna</v>
      </c>
    </row>
    <row r="330" spans="1:9" x14ac:dyDescent="0.25">
      <c r="A330" t="s">
        <v>354</v>
      </c>
      <c r="B330">
        <v>253</v>
      </c>
      <c r="C330">
        <v>-63</v>
      </c>
      <c r="D330">
        <v>2</v>
      </c>
      <c r="E330" t="s">
        <v>899</v>
      </c>
      <c r="F330" t="s">
        <v>901</v>
      </c>
      <c r="G330" t="s">
        <v>902</v>
      </c>
      <c r="H330" s="3" t="str">
        <f>VLOOKUP(A330,'Orders Dataset'!$A:$D,4,FALSE)</f>
        <v>Kerala</v>
      </c>
      <c r="I330" s="5" t="str">
        <f>VLOOKUP(A330,'Orders Dataset'!$A:$E,5,FALSE)</f>
        <v>Thiruvananthapuram</v>
      </c>
    </row>
    <row r="331" spans="1:9" x14ac:dyDescent="0.25">
      <c r="A331" t="s">
        <v>434</v>
      </c>
      <c r="B331">
        <v>406</v>
      </c>
      <c r="C331">
        <v>97</v>
      </c>
      <c r="D331">
        <v>7</v>
      </c>
      <c r="E331" t="s">
        <v>892</v>
      </c>
      <c r="F331" t="s">
        <v>893</v>
      </c>
      <c r="G331" t="s">
        <v>897</v>
      </c>
      <c r="H331" s="3" t="str">
        <f>VLOOKUP(A331,'Orders Dataset'!$A:$D,4,FALSE)</f>
        <v>Rajasthan</v>
      </c>
      <c r="I331" s="5" t="str">
        <f>VLOOKUP(A331,'Orders Dataset'!$A:$E,5,FALSE)</f>
        <v>Jaipur</v>
      </c>
    </row>
    <row r="332" spans="1:9" x14ac:dyDescent="0.25">
      <c r="A332" t="s">
        <v>375</v>
      </c>
      <c r="B332">
        <v>32</v>
      </c>
      <c r="C332">
        <v>7</v>
      </c>
      <c r="D332">
        <v>3</v>
      </c>
      <c r="E332" t="s">
        <v>899</v>
      </c>
      <c r="F332" t="s">
        <v>903</v>
      </c>
      <c r="G332" t="s">
        <v>891</v>
      </c>
      <c r="H332" s="3" t="str">
        <f>VLOOKUP(A332,'Orders Dataset'!$A:$D,4,FALSE)</f>
        <v>Maharashtra</v>
      </c>
      <c r="I332" s="5" t="str">
        <f>VLOOKUP(A332,'Orders Dataset'!$A:$E,5,FALSE)</f>
        <v>Mumbai</v>
      </c>
    </row>
    <row r="333" spans="1:9" x14ac:dyDescent="0.25">
      <c r="A333" t="s">
        <v>367</v>
      </c>
      <c r="B333">
        <v>260</v>
      </c>
      <c r="C333">
        <v>68</v>
      </c>
      <c r="D333">
        <v>2</v>
      </c>
      <c r="E333" t="s">
        <v>889</v>
      </c>
      <c r="F333" t="s">
        <v>896</v>
      </c>
      <c r="G333" t="s">
        <v>891</v>
      </c>
      <c r="H333" s="3" t="str">
        <f>VLOOKUP(A333,'Orders Dataset'!$A:$D,4,FALSE)</f>
        <v>Maharashtra</v>
      </c>
      <c r="I333" s="5" t="str">
        <f>VLOOKUP(A333,'Orders Dataset'!$A:$E,5,FALSE)</f>
        <v>Pune</v>
      </c>
    </row>
    <row r="334" spans="1:9" x14ac:dyDescent="0.25">
      <c r="A334" t="s">
        <v>616</v>
      </c>
      <c r="B334">
        <v>41</v>
      </c>
      <c r="C334">
        <v>19</v>
      </c>
      <c r="D334">
        <v>5</v>
      </c>
      <c r="E334" t="s">
        <v>899</v>
      </c>
      <c r="F334" t="s">
        <v>903</v>
      </c>
      <c r="G334" t="s">
        <v>911</v>
      </c>
      <c r="H334" s="3" t="str">
        <f>VLOOKUP(A334,'Orders Dataset'!$A:$D,4,FALSE)</f>
        <v>Sikkim</v>
      </c>
      <c r="I334" s="5" t="str">
        <f>VLOOKUP(A334,'Orders Dataset'!$A:$E,5,FALSE)</f>
        <v>Gangtok</v>
      </c>
    </row>
    <row r="335" spans="1:9" x14ac:dyDescent="0.25">
      <c r="A335" t="s">
        <v>122</v>
      </c>
      <c r="B335">
        <v>401</v>
      </c>
      <c r="C335">
        <v>13</v>
      </c>
      <c r="D335">
        <v>6</v>
      </c>
      <c r="E335" t="s">
        <v>892</v>
      </c>
      <c r="F335" t="s">
        <v>893</v>
      </c>
      <c r="G335" t="s">
        <v>897</v>
      </c>
      <c r="H335" s="3" t="str">
        <f>VLOOKUP(A335,'Orders Dataset'!$A:$D,4,FALSE)</f>
        <v>Maharashtra</v>
      </c>
      <c r="I335" s="5" t="str">
        <f>VLOOKUP(A335,'Orders Dataset'!$A:$E,5,FALSE)</f>
        <v>Pune</v>
      </c>
    </row>
    <row r="336" spans="1:9" x14ac:dyDescent="0.25">
      <c r="A336" t="s">
        <v>448</v>
      </c>
      <c r="B336">
        <v>382</v>
      </c>
      <c r="C336">
        <v>30</v>
      </c>
      <c r="D336">
        <v>3</v>
      </c>
      <c r="E336" t="s">
        <v>899</v>
      </c>
      <c r="F336" t="s">
        <v>901</v>
      </c>
      <c r="G336" t="s">
        <v>897</v>
      </c>
      <c r="H336" s="3" t="str">
        <f>VLOOKUP(A336,'Orders Dataset'!$A:$D,4,FALSE)</f>
        <v>Nagaland</v>
      </c>
      <c r="I336" s="5" t="str">
        <f>VLOOKUP(A336,'Orders Dataset'!$A:$E,5,FALSE)</f>
        <v>Kohima</v>
      </c>
    </row>
    <row r="337" spans="1:9" x14ac:dyDescent="0.25">
      <c r="A337" t="s">
        <v>248</v>
      </c>
      <c r="B337">
        <v>867</v>
      </c>
      <c r="C337">
        <v>251</v>
      </c>
      <c r="D337">
        <v>5</v>
      </c>
      <c r="E337" t="s">
        <v>889</v>
      </c>
      <c r="F337" t="s">
        <v>898</v>
      </c>
      <c r="G337" t="s">
        <v>891</v>
      </c>
      <c r="H337" s="3" t="str">
        <f>VLOOKUP(A337,'Orders Dataset'!$A:$D,4,FALSE)</f>
        <v>Delhi</v>
      </c>
      <c r="I337" s="5" t="str">
        <f>VLOOKUP(A337,'Orders Dataset'!$A:$E,5,FALSE)</f>
        <v>Delhi</v>
      </c>
    </row>
    <row r="338" spans="1:9" x14ac:dyDescent="0.25">
      <c r="A338" t="s">
        <v>199</v>
      </c>
      <c r="B338">
        <v>43</v>
      </c>
      <c r="C338">
        <v>0</v>
      </c>
      <c r="D338">
        <v>3</v>
      </c>
      <c r="E338" t="s">
        <v>899</v>
      </c>
      <c r="F338" t="s">
        <v>901</v>
      </c>
      <c r="G338" t="s">
        <v>911</v>
      </c>
      <c r="H338" s="3" t="str">
        <f>VLOOKUP(A338,'Orders Dataset'!$A:$D,4,FALSE)</f>
        <v>Bihar</v>
      </c>
      <c r="I338" s="5" t="str">
        <f>VLOOKUP(A338,'Orders Dataset'!$A:$E,5,FALSE)</f>
        <v>Patna</v>
      </c>
    </row>
    <row r="339" spans="1:9" x14ac:dyDescent="0.25">
      <c r="A339" t="s">
        <v>810</v>
      </c>
      <c r="B339">
        <v>43</v>
      </c>
      <c r="C339">
        <v>-43</v>
      </c>
      <c r="D339">
        <v>7</v>
      </c>
      <c r="E339" t="s">
        <v>899</v>
      </c>
      <c r="F339" t="s">
        <v>907</v>
      </c>
      <c r="G339" t="s">
        <v>911</v>
      </c>
      <c r="H339" s="3" t="str">
        <f>VLOOKUP(A339,'Orders Dataset'!$A:$D,4,FALSE)</f>
        <v>Maharashtra</v>
      </c>
      <c r="I339" s="5" t="str">
        <f>VLOOKUP(A339,'Orders Dataset'!$A:$E,5,FALSE)</f>
        <v>Mumbai</v>
      </c>
    </row>
    <row r="340" spans="1:9" x14ac:dyDescent="0.25">
      <c r="A340" t="s">
        <v>581</v>
      </c>
      <c r="B340">
        <v>74</v>
      </c>
      <c r="C340">
        <v>29</v>
      </c>
      <c r="D340">
        <v>3</v>
      </c>
      <c r="E340" t="s">
        <v>899</v>
      </c>
      <c r="F340" t="s">
        <v>907</v>
      </c>
      <c r="G340" t="s">
        <v>891</v>
      </c>
      <c r="H340" s="3" t="str">
        <f>VLOOKUP(A340,'Orders Dataset'!$A:$D,4,FALSE)</f>
        <v>Gujarat</v>
      </c>
      <c r="I340" s="5" t="str">
        <f>VLOOKUP(A340,'Orders Dataset'!$A:$E,5,FALSE)</f>
        <v>Surat</v>
      </c>
    </row>
    <row r="341" spans="1:9" x14ac:dyDescent="0.25">
      <c r="A341" t="s">
        <v>436</v>
      </c>
      <c r="B341">
        <v>44</v>
      </c>
      <c r="C341">
        <v>-26</v>
      </c>
      <c r="D341">
        <v>3</v>
      </c>
      <c r="E341" t="s">
        <v>899</v>
      </c>
      <c r="F341" t="s">
        <v>903</v>
      </c>
      <c r="G341" t="s">
        <v>911</v>
      </c>
      <c r="H341" s="3" t="str">
        <f>VLOOKUP(A341,'Orders Dataset'!$A:$D,4,FALSE)</f>
        <v>Madhya Pradesh</v>
      </c>
      <c r="I341" s="5" t="str">
        <f>VLOOKUP(A341,'Orders Dataset'!$A:$E,5,FALSE)</f>
        <v>Indore</v>
      </c>
    </row>
    <row r="342" spans="1:9" x14ac:dyDescent="0.25">
      <c r="A342" t="s">
        <v>523</v>
      </c>
      <c r="B342">
        <v>259</v>
      </c>
      <c r="C342">
        <v>-55</v>
      </c>
      <c r="D342">
        <v>2</v>
      </c>
      <c r="E342" t="s">
        <v>892</v>
      </c>
      <c r="F342" t="s">
        <v>893</v>
      </c>
      <c r="G342" t="s">
        <v>891</v>
      </c>
      <c r="H342" s="3" t="str">
        <f>VLOOKUP(A342,'Orders Dataset'!$A:$D,4,FALSE)</f>
        <v>Punjab</v>
      </c>
      <c r="I342" s="5" t="str">
        <f>VLOOKUP(A342,'Orders Dataset'!$A:$E,5,FALSE)</f>
        <v>Chandigarh</v>
      </c>
    </row>
    <row r="343" spans="1:9" x14ac:dyDescent="0.25">
      <c r="A343" t="s">
        <v>128</v>
      </c>
      <c r="B343">
        <v>257</v>
      </c>
      <c r="C343">
        <v>23</v>
      </c>
      <c r="D343">
        <v>5</v>
      </c>
      <c r="E343" t="s">
        <v>899</v>
      </c>
      <c r="F343" t="s">
        <v>903</v>
      </c>
      <c r="G343" t="s">
        <v>891</v>
      </c>
      <c r="H343" s="3" t="str">
        <f>VLOOKUP(A343,'Orders Dataset'!$A:$D,4,FALSE)</f>
        <v>Tamil Nadu</v>
      </c>
      <c r="I343" s="5" t="str">
        <f>VLOOKUP(A343,'Orders Dataset'!$A:$E,5,FALSE)</f>
        <v>Chennai</v>
      </c>
    </row>
    <row r="344" spans="1:9" x14ac:dyDescent="0.25">
      <c r="A344" t="s">
        <v>132</v>
      </c>
      <c r="B344">
        <v>76</v>
      </c>
      <c r="C344">
        <v>27</v>
      </c>
      <c r="D344">
        <v>5</v>
      </c>
      <c r="E344" t="s">
        <v>899</v>
      </c>
      <c r="F344" t="s">
        <v>907</v>
      </c>
      <c r="G344" t="s">
        <v>891</v>
      </c>
      <c r="H344" s="3" t="str">
        <f>VLOOKUP(A344,'Orders Dataset'!$A:$D,4,FALSE)</f>
        <v>Madhya Pradesh</v>
      </c>
      <c r="I344" s="5" t="str">
        <f>VLOOKUP(A344,'Orders Dataset'!$A:$E,5,FALSE)</f>
        <v>Indore</v>
      </c>
    </row>
    <row r="345" spans="1:9" x14ac:dyDescent="0.25">
      <c r="A345" t="s">
        <v>663</v>
      </c>
      <c r="B345">
        <v>44</v>
      </c>
      <c r="C345">
        <v>-32</v>
      </c>
      <c r="D345">
        <v>3</v>
      </c>
      <c r="E345" t="s">
        <v>899</v>
      </c>
      <c r="F345" t="s">
        <v>907</v>
      </c>
      <c r="G345" t="s">
        <v>911</v>
      </c>
      <c r="H345" s="3" t="str">
        <f>VLOOKUP(A345,'Orders Dataset'!$A:$D,4,FALSE)</f>
        <v>Maharashtra</v>
      </c>
      <c r="I345" s="5" t="str">
        <f>VLOOKUP(A345,'Orders Dataset'!$A:$E,5,FALSE)</f>
        <v>Mumbai</v>
      </c>
    </row>
    <row r="346" spans="1:9" x14ac:dyDescent="0.25">
      <c r="A346" t="s">
        <v>309</v>
      </c>
      <c r="B346">
        <v>257</v>
      </c>
      <c r="C346">
        <v>3</v>
      </c>
      <c r="D346">
        <v>2</v>
      </c>
      <c r="E346" t="s">
        <v>899</v>
      </c>
      <c r="F346" t="s">
        <v>901</v>
      </c>
      <c r="G346" t="s">
        <v>891</v>
      </c>
      <c r="H346" s="3" t="str">
        <f>VLOOKUP(A346,'Orders Dataset'!$A:$D,4,FALSE)</f>
        <v>Maharashtra</v>
      </c>
      <c r="I346" s="5" t="str">
        <f>VLOOKUP(A346,'Orders Dataset'!$A:$E,5,FALSE)</f>
        <v>Mumbai</v>
      </c>
    </row>
    <row r="347" spans="1:9" x14ac:dyDescent="0.25">
      <c r="A347" t="s">
        <v>528</v>
      </c>
      <c r="B347">
        <v>255</v>
      </c>
      <c r="C347">
        <v>76</v>
      </c>
      <c r="D347">
        <v>9</v>
      </c>
      <c r="E347" t="s">
        <v>899</v>
      </c>
      <c r="F347" t="s">
        <v>903</v>
      </c>
      <c r="G347" t="s">
        <v>891</v>
      </c>
      <c r="H347" s="3" t="str">
        <f>VLOOKUP(A347,'Orders Dataset'!$A:$D,4,FALSE)</f>
        <v>Goa</v>
      </c>
      <c r="I347" s="5" t="str">
        <f>VLOOKUP(A347,'Orders Dataset'!$A:$E,5,FALSE)</f>
        <v>Goa</v>
      </c>
    </row>
    <row r="348" spans="1:9" x14ac:dyDescent="0.25">
      <c r="A348" t="s">
        <v>546</v>
      </c>
      <c r="B348">
        <v>44</v>
      </c>
      <c r="C348">
        <v>14</v>
      </c>
      <c r="D348">
        <v>3</v>
      </c>
      <c r="E348" t="s">
        <v>899</v>
      </c>
      <c r="F348" t="s">
        <v>903</v>
      </c>
      <c r="G348" t="s">
        <v>911</v>
      </c>
      <c r="H348" s="3" t="str">
        <f>VLOOKUP(A348,'Orders Dataset'!$A:$D,4,FALSE)</f>
        <v>Uttar Pradesh</v>
      </c>
      <c r="I348" s="5" t="str">
        <f>VLOOKUP(A348,'Orders Dataset'!$A:$E,5,FALSE)</f>
        <v>Lucknow</v>
      </c>
    </row>
    <row r="349" spans="1:9" x14ac:dyDescent="0.25">
      <c r="A349" t="s">
        <v>644</v>
      </c>
      <c r="B349">
        <v>45</v>
      </c>
      <c r="C349">
        <v>-2</v>
      </c>
      <c r="D349">
        <v>4</v>
      </c>
      <c r="E349" t="s">
        <v>899</v>
      </c>
      <c r="F349" t="s">
        <v>913</v>
      </c>
      <c r="G349" t="s">
        <v>891</v>
      </c>
      <c r="H349" s="3" t="str">
        <f>VLOOKUP(A349,'Orders Dataset'!$A:$D,4,FALSE)</f>
        <v>Gujarat</v>
      </c>
      <c r="I349" s="5" t="str">
        <f>VLOOKUP(A349,'Orders Dataset'!$A:$E,5,FALSE)</f>
        <v>Ahmedabad</v>
      </c>
    </row>
    <row r="350" spans="1:9" x14ac:dyDescent="0.25">
      <c r="A350" t="s">
        <v>87</v>
      </c>
      <c r="B350">
        <v>44</v>
      </c>
      <c r="C350">
        <v>-3</v>
      </c>
      <c r="D350">
        <v>1</v>
      </c>
      <c r="E350" t="s">
        <v>899</v>
      </c>
      <c r="F350" t="s">
        <v>901</v>
      </c>
      <c r="G350" t="s">
        <v>911</v>
      </c>
      <c r="H350" s="3" t="str">
        <f>VLOOKUP(A350,'Orders Dataset'!$A:$D,4,FALSE)</f>
        <v>Madhya Pradesh</v>
      </c>
      <c r="I350" s="5" t="str">
        <f>VLOOKUP(A350,'Orders Dataset'!$A:$E,5,FALSE)</f>
        <v>Indore</v>
      </c>
    </row>
    <row r="351" spans="1:9" x14ac:dyDescent="0.25">
      <c r="A351" t="s">
        <v>138</v>
      </c>
      <c r="B351">
        <v>382</v>
      </c>
      <c r="C351">
        <v>119</v>
      </c>
      <c r="D351">
        <v>2</v>
      </c>
      <c r="E351" t="s">
        <v>899</v>
      </c>
      <c r="F351" t="s">
        <v>901</v>
      </c>
      <c r="G351" t="s">
        <v>897</v>
      </c>
      <c r="H351" s="3" t="str">
        <f>VLOOKUP(A351,'Orders Dataset'!$A:$D,4,FALSE)</f>
        <v>West Bengal</v>
      </c>
      <c r="I351" s="5" t="str">
        <f>VLOOKUP(A351,'Orders Dataset'!$A:$E,5,FALSE)</f>
        <v>Kolkata</v>
      </c>
    </row>
    <row r="352" spans="1:9" x14ac:dyDescent="0.25">
      <c r="A352" t="s">
        <v>286</v>
      </c>
      <c r="B352">
        <v>250</v>
      </c>
      <c r="C352">
        <v>100</v>
      </c>
      <c r="D352">
        <v>3</v>
      </c>
      <c r="E352" t="s">
        <v>899</v>
      </c>
      <c r="F352" t="s">
        <v>900</v>
      </c>
      <c r="G352" t="s">
        <v>891</v>
      </c>
      <c r="H352" s="3" t="str">
        <f>VLOOKUP(A352,'Orders Dataset'!$A:$D,4,FALSE)</f>
        <v>West Bengal</v>
      </c>
      <c r="I352" s="5" t="str">
        <f>VLOOKUP(A352,'Orders Dataset'!$A:$E,5,FALSE)</f>
        <v>Kolkata</v>
      </c>
    </row>
    <row r="353" spans="1:9" x14ac:dyDescent="0.25">
      <c r="A353" t="s">
        <v>559</v>
      </c>
      <c r="B353">
        <v>45</v>
      </c>
      <c r="C353">
        <v>-15</v>
      </c>
      <c r="D353">
        <v>2</v>
      </c>
      <c r="E353" t="s">
        <v>892</v>
      </c>
      <c r="F353" t="s">
        <v>893</v>
      </c>
      <c r="G353" t="s">
        <v>891</v>
      </c>
      <c r="H353" s="3" t="str">
        <f>VLOOKUP(A353,'Orders Dataset'!$A:$D,4,FALSE)</f>
        <v>Gujarat</v>
      </c>
      <c r="I353" s="5" t="str">
        <f>VLOOKUP(A353,'Orders Dataset'!$A:$E,5,FALSE)</f>
        <v>Ahmedabad</v>
      </c>
    </row>
    <row r="354" spans="1:9" x14ac:dyDescent="0.25">
      <c r="A354" t="s">
        <v>352</v>
      </c>
      <c r="B354">
        <v>246</v>
      </c>
      <c r="C354">
        <v>61</v>
      </c>
      <c r="D354">
        <v>2</v>
      </c>
      <c r="E354" t="s">
        <v>892</v>
      </c>
      <c r="F354" t="s">
        <v>895</v>
      </c>
      <c r="G354" t="s">
        <v>891</v>
      </c>
      <c r="H354" s="3" t="str">
        <f>VLOOKUP(A354,'Orders Dataset'!$A:$D,4,FALSE)</f>
        <v>Jammu and Kashmir</v>
      </c>
      <c r="I354" s="5" t="str">
        <f>VLOOKUP(A354,'Orders Dataset'!$A:$E,5,FALSE)</f>
        <v>Kashmir</v>
      </c>
    </row>
    <row r="355" spans="1:9" x14ac:dyDescent="0.25">
      <c r="A355" t="s">
        <v>506</v>
      </c>
      <c r="B355">
        <v>50</v>
      </c>
      <c r="C355">
        <v>25</v>
      </c>
      <c r="D355">
        <v>5</v>
      </c>
      <c r="E355" t="s">
        <v>899</v>
      </c>
      <c r="F355" t="s">
        <v>907</v>
      </c>
      <c r="G355" t="s">
        <v>891</v>
      </c>
      <c r="H355" s="3" t="str">
        <f>VLOOKUP(A355,'Orders Dataset'!$A:$D,4,FALSE)</f>
        <v>Maharashtra</v>
      </c>
      <c r="I355" s="5" t="str">
        <f>VLOOKUP(A355,'Orders Dataset'!$A:$E,5,FALSE)</f>
        <v>Pune</v>
      </c>
    </row>
    <row r="356" spans="1:9" x14ac:dyDescent="0.25">
      <c r="A356" t="s">
        <v>360</v>
      </c>
      <c r="B356">
        <v>246</v>
      </c>
      <c r="C356">
        <v>98</v>
      </c>
      <c r="D356">
        <v>5</v>
      </c>
      <c r="E356" t="s">
        <v>899</v>
      </c>
      <c r="F356" t="s">
        <v>903</v>
      </c>
      <c r="G356" t="s">
        <v>891</v>
      </c>
      <c r="H356" s="3" t="str">
        <f>VLOOKUP(A356,'Orders Dataset'!$A:$D,4,FALSE)</f>
        <v>Maharashtra</v>
      </c>
      <c r="I356" s="5" t="str">
        <f>VLOOKUP(A356,'Orders Dataset'!$A:$E,5,FALSE)</f>
        <v>Mumbai</v>
      </c>
    </row>
    <row r="357" spans="1:9" x14ac:dyDescent="0.25">
      <c r="A357" t="s">
        <v>239</v>
      </c>
      <c r="B357">
        <v>44</v>
      </c>
      <c r="C357">
        <v>99</v>
      </c>
      <c r="D357">
        <v>3</v>
      </c>
      <c r="E357" t="s">
        <v>899</v>
      </c>
      <c r="F357" t="s">
        <v>904</v>
      </c>
      <c r="G357" t="s">
        <v>911</v>
      </c>
      <c r="H357" s="3" t="str">
        <f>VLOOKUP(A357,'Orders Dataset'!$A:$D,4,FALSE)</f>
        <v>Karnataka</v>
      </c>
      <c r="I357" s="5" t="str">
        <f>VLOOKUP(A357,'Orders Dataset'!$A:$E,5,FALSE)</f>
        <v>Bangalore</v>
      </c>
    </row>
    <row r="358" spans="1:9" x14ac:dyDescent="0.25">
      <c r="A358" t="s">
        <v>533</v>
      </c>
      <c r="B358">
        <v>245</v>
      </c>
      <c r="C358">
        <v>-78</v>
      </c>
      <c r="D358">
        <v>3</v>
      </c>
      <c r="E358" t="s">
        <v>899</v>
      </c>
      <c r="F358" t="s">
        <v>901</v>
      </c>
      <c r="G358" t="s">
        <v>891</v>
      </c>
      <c r="H358" s="3" t="str">
        <f>VLOOKUP(A358,'Orders Dataset'!$A:$D,4,FALSE)</f>
        <v>Karnataka</v>
      </c>
      <c r="I358" s="5" t="str">
        <f>VLOOKUP(A358,'Orders Dataset'!$A:$E,5,FALSE)</f>
        <v>Bangalore</v>
      </c>
    </row>
    <row r="359" spans="1:9" x14ac:dyDescent="0.25">
      <c r="A359" t="s">
        <v>36</v>
      </c>
      <c r="B359">
        <v>245</v>
      </c>
      <c r="C359">
        <v>30</v>
      </c>
      <c r="D359">
        <v>2</v>
      </c>
      <c r="E359" t="s">
        <v>899</v>
      </c>
      <c r="F359" t="s">
        <v>901</v>
      </c>
      <c r="G359" t="s">
        <v>891</v>
      </c>
      <c r="H359" s="3" t="str">
        <f>VLOOKUP(A359,'Orders Dataset'!$A:$D,4,FALSE)</f>
        <v>Maharashtra</v>
      </c>
      <c r="I359" s="5" t="str">
        <f>VLOOKUP(A359,'Orders Dataset'!$A:$E,5,FALSE)</f>
        <v>Mumbai</v>
      </c>
    </row>
    <row r="360" spans="1:9" x14ac:dyDescent="0.25">
      <c r="A360" t="s">
        <v>451</v>
      </c>
      <c r="B360">
        <v>376</v>
      </c>
      <c r="C360">
        <v>0</v>
      </c>
      <c r="D360">
        <v>7</v>
      </c>
      <c r="E360" t="s">
        <v>899</v>
      </c>
      <c r="F360" t="s">
        <v>907</v>
      </c>
      <c r="G360" t="s">
        <v>897</v>
      </c>
      <c r="H360" s="3" t="str">
        <f>VLOOKUP(A360,'Orders Dataset'!$A:$D,4,FALSE)</f>
        <v>Nagaland</v>
      </c>
      <c r="I360" s="5" t="str">
        <f>VLOOKUP(A360,'Orders Dataset'!$A:$E,5,FALSE)</f>
        <v>Kohima</v>
      </c>
    </row>
    <row r="361" spans="1:9" x14ac:dyDescent="0.25">
      <c r="A361" t="s">
        <v>230</v>
      </c>
      <c r="B361">
        <v>45</v>
      </c>
      <c r="C361">
        <v>1</v>
      </c>
      <c r="D361">
        <v>3</v>
      </c>
      <c r="E361" t="s">
        <v>899</v>
      </c>
      <c r="F361" t="s">
        <v>910</v>
      </c>
      <c r="G361" t="s">
        <v>911</v>
      </c>
      <c r="H361" s="3" t="str">
        <f>VLOOKUP(A361,'Orders Dataset'!$A:$D,4,FALSE)</f>
        <v>Goa</v>
      </c>
      <c r="I361" s="5" t="str">
        <f>VLOOKUP(A361,'Orders Dataset'!$A:$E,5,FALSE)</f>
        <v>Goa</v>
      </c>
    </row>
    <row r="362" spans="1:9" x14ac:dyDescent="0.25">
      <c r="A362" t="s">
        <v>273</v>
      </c>
      <c r="B362">
        <v>45</v>
      </c>
      <c r="C362">
        <v>-28</v>
      </c>
      <c r="D362">
        <v>2</v>
      </c>
      <c r="E362" t="s">
        <v>899</v>
      </c>
      <c r="F362" t="s">
        <v>907</v>
      </c>
      <c r="G362" t="s">
        <v>911</v>
      </c>
      <c r="H362" s="3" t="str">
        <f>VLOOKUP(A362,'Orders Dataset'!$A:$D,4,FALSE)</f>
        <v>Gujarat</v>
      </c>
      <c r="I362" s="5" t="str">
        <f>VLOOKUP(A362,'Orders Dataset'!$A:$E,5,FALSE)</f>
        <v>Ahmedabad</v>
      </c>
    </row>
    <row r="363" spans="1:9" x14ac:dyDescent="0.25">
      <c r="A363" t="s">
        <v>534</v>
      </c>
      <c r="B363">
        <v>244</v>
      </c>
      <c r="C363">
        <v>-122</v>
      </c>
      <c r="D363">
        <v>5</v>
      </c>
      <c r="E363" t="s">
        <v>892</v>
      </c>
      <c r="F363" t="s">
        <v>912</v>
      </c>
      <c r="G363" t="s">
        <v>891</v>
      </c>
      <c r="H363" s="3" t="str">
        <f>VLOOKUP(A363,'Orders Dataset'!$A:$D,4,FALSE)</f>
        <v>Madhya Pradesh</v>
      </c>
      <c r="I363" s="5" t="str">
        <f>VLOOKUP(A363,'Orders Dataset'!$A:$E,5,FALSE)</f>
        <v>Indore</v>
      </c>
    </row>
    <row r="364" spans="1:9" x14ac:dyDescent="0.25">
      <c r="A364" t="s">
        <v>536</v>
      </c>
      <c r="B364">
        <v>244</v>
      </c>
      <c r="C364">
        <v>83</v>
      </c>
      <c r="D364">
        <v>2</v>
      </c>
      <c r="E364" t="s">
        <v>892</v>
      </c>
      <c r="F364" t="s">
        <v>895</v>
      </c>
      <c r="G364" t="s">
        <v>891</v>
      </c>
      <c r="H364" s="3" t="str">
        <f>VLOOKUP(A364,'Orders Dataset'!$A:$D,4,FALSE)</f>
        <v>Madhya Pradesh</v>
      </c>
      <c r="I364" s="5" t="str">
        <f>VLOOKUP(A364,'Orders Dataset'!$A:$E,5,FALSE)</f>
        <v>Indore</v>
      </c>
    </row>
    <row r="365" spans="1:9" x14ac:dyDescent="0.25">
      <c r="A365" t="s">
        <v>252</v>
      </c>
      <c r="B365">
        <v>10</v>
      </c>
      <c r="C365">
        <v>4</v>
      </c>
      <c r="D365">
        <v>1</v>
      </c>
      <c r="E365" t="s">
        <v>899</v>
      </c>
      <c r="F365" t="s">
        <v>904</v>
      </c>
      <c r="G365" t="s">
        <v>902</v>
      </c>
      <c r="H365" s="3" t="str">
        <f>VLOOKUP(A365,'Orders Dataset'!$A:$D,4,FALSE)</f>
        <v>Andhra Pradesh</v>
      </c>
      <c r="I365" s="5" t="str">
        <f>VLOOKUP(A365,'Orders Dataset'!$A:$E,5,FALSE)</f>
        <v>Hyderabad</v>
      </c>
    </row>
    <row r="366" spans="1:9" x14ac:dyDescent="0.25">
      <c r="A366" t="s">
        <v>452</v>
      </c>
      <c r="B366">
        <v>375</v>
      </c>
      <c r="C366">
        <v>180</v>
      </c>
      <c r="D366">
        <v>3</v>
      </c>
      <c r="E366" t="s">
        <v>892</v>
      </c>
      <c r="F366" t="s">
        <v>895</v>
      </c>
      <c r="G366" t="s">
        <v>897</v>
      </c>
      <c r="H366" s="3" t="str">
        <f>VLOOKUP(A366,'Orders Dataset'!$A:$D,4,FALSE)</f>
        <v>Madhya Pradesh</v>
      </c>
      <c r="I366" s="5" t="str">
        <f>VLOOKUP(A366,'Orders Dataset'!$A:$E,5,FALSE)</f>
        <v>Indore</v>
      </c>
    </row>
    <row r="367" spans="1:9" x14ac:dyDescent="0.25">
      <c r="A367" t="s">
        <v>18</v>
      </c>
      <c r="B367">
        <v>46</v>
      </c>
      <c r="C367">
        <v>14</v>
      </c>
      <c r="D367">
        <v>5</v>
      </c>
      <c r="E367" t="s">
        <v>899</v>
      </c>
      <c r="F367" t="s">
        <v>905</v>
      </c>
      <c r="G367" t="s">
        <v>911</v>
      </c>
      <c r="H367" s="3" t="str">
        <f>VLOOKUP(A367,'Orders Dataset'!$A:$D,4,FALSE)</f>
        <v>Madhya Pradesh</v>
      </c>
      <c r="I367" s="5" t="str">
        <f>VLOOKUP(A367,'Orders Dataset'!$A:$E,5,FALSE)</f>
        <v>Indore</v>
      </c>
    </row>
    <row r="368" spans="1:9" x14ac:dyDescent="0.25">
      <c r="A368" t="s">
        <v>718</v>
      </c>
      <c r="B368">
        <v>49</v>
      </c>
      <c r="C368">
        <v>-31</v>
      </c>
      <c r="D368">
        <v>2</v>
      </c>
      <c r="E368" t="s">
        <v>899</v>
      </c>
      <c r="F368" t="s">
        <v>907</v>
      </c>
      <c r="G368" t="s">
        <v>902</v>
      </c>
      <c r="H368" s="3" t="str">
        <f>VLOOKUP(A368,'Orders Dataset'!$A:$D,4,FALSE)</f>
        <v>Uttar Pradesh</v>
      </c>
      <c r="I368" s="5" t="str">
        <f>VLOOKUP(A368,'Orders Dataset'!$A:$E,5,FALSE)</f>
        <v>Lucknow</v>
      </c>
    </row>
    <row r="369" spans="1:9" x14ac:dyDescent="0.25">
      <c r="A369" t="s">
        <v>805</v>
      </c>
      <c r="B369">
        <v>47</v>
      </c>
      <c r="C369">
        <v>-20</v>
      </c>
      <c r="D369">
        <v>2</v>
      </c>
      <c r="E369" t="s">
        <v>899</v>
      </c>
      <c r="F369" t="s">
        <v>904</v>
      </c>
      <c r="G369" t="s">
        <v>911</v>
      </c>
      <c r="H369" s="3" t="str">
        <f>VLOOKUP(A369,'Orders Dataset'!$A:$D,4,FALSE)</f>
        <v>Maharashtra</v>
      </c>
      <c r="I369" s="5" t="str">
        <f>VLOOKUP(A369,'Orders Dataset'!$A:$E,5,FALSE)</f>
        <v>Mumbai</v>
      </c>
    </row>
    <row r="370" spans="1:9" x14ac:dyDescent="0.25">
      <c r="A370" t="s">
        <v>310</v>
      </c>
      <c r="B370">
        <v>355</v>
      </c>
      <c r="C370">
        <v>-114</v>
      </c>
      <c r="D370">
        <v>7</v>
      </c>
      <c r="E370" t="s">
        <v>899</v>
      </c>
      <c r="F370" t="s">
        <v>907</v>
      </c>
      <c r="G370" t="s">
        <v>897</v>
      </c>
      <c r="H370" s="3" t="str">
        <f>VLOOKUP(A370,'Orders Dataset'!$A:$D,4,FALSE)</f>
        <v>Uttar Pradesh</v>
      </c>
      <c r="I370" s="5" t="str">
        <f>VLOOKUP(A370,'Orders Dataset'!$A:$E,5,FALSE)</f>
        <v>Mathura</v>
      </c>
    </row>
    <row r="371" spans="1:9" x14ac:dyDescent="0.25">
      <c r="A371" t="s">
        <v>562</v>
      </c>
      <c r="B371">
        <v>32</v>
      </c>
      <c r="C371">
        <v>8</v>
      </c>
      <c r="D371">
        <v>5</v>
      </c>
      <c r="E371" t="s">
        <v>899</v>
      </c>
      <c r="F371" t="s">
        <v>903</v>
      </c>
      <c r="G371" t="s">
        <v>902</v>
      </c>
      <c r="H371" s="3" t="str">
        <f>VLOOKUP(A371,'Orders Dataset'!$A:$D,4,FALSE)</f>
        <v>Madhya Pradesh</v>
      </c>
      <c r="I371" s="5" t="str">
        <f>VLOOKUP(A371,'Orders Dataset'!$A:$E,5,FALSE)</f>
        <v>Indore</v>
      </c>
    </row>
    <row r="372" spans="1:9" x14ac:dyDescent="0.25">
      <c r="A372" t="s">
        <v>87</v>
      </c>
      <c r="B372">
        <v>243</v>
      </c>
      <c r="C372">
        <v>-14</v>
      </c>
      <c r="D372">
        <v>2</v>
      </c>
      <c r="E372" t="s">
        <v>892</v>
      </c>
      <c r="F372" t="s">
        <v>893</v>
      </c>
      <c r="G372" t="s">
        <v>891</v>
      </c>
      <c r="H372" s="3" t="str">
        <f>VLOOKUP(A372,'Orders Dataset'!$A:$D,4,FALSE)</f>
        <v>Madhya Pradesh</v>
      </c>
      <c r="I372" s="5" t="str">
        <f>VLOOKUP(A372,'Orders Dataset'!$A:$E,5,FALSE)</f>
        <v>Indore</v>
      </c>
    </row>
    <row r="373" spans="1:9" x14ac:dyDescent="0.25">
      <c r="A373" t="s">
        <v>537</v>
      </c>
      <c r="B373">
        <v>241</v>
      </c>
      <c r="C373">
        <v>-77</v>
      </c>
      <c r="D373">
        <v>4</v>
      </c>
      <c r="E373" t="s">
        <v>889</v>
      </c>
      <c r="F373" t="s">
        <v>890</v>
      </c>
      <c r="G373" t="s">
        <v>891</v>
      </c>
      <c r="H373" s="3" t="str">
        <f>VLOOKUP(A373,'Orders Dataset'!$A:$D,4,FALSE)</f>
        <v>Nagaland</v>
      </c>
      <c r="I373" s="5" t="str">
        <f>VLOOKUP(A373,'Orders Dataset'!$A:$E,5,FALSE)</f>
        <v>Kohima</v>
      </c>
    </row>
    <row r="374" spans="1:9" x14ac:dyDescent="0.25">
      <c r="A374" t="s">
        <v>807</v>
      </c>
      <c r="B374">
        <v>47</v>
      </c>
      <c r="C374">
        <v>15</v>
      </c>
      <c r="D374">
        <v>5</v>
      </c>
      <c r="E374" t="s">
        <v>899</v>
      </c>
      <c r="F374" t="s">
        <v>901</v>
      </c>
      <c r="G374" t="s">
        <v>911</v>
      </c>
      <c r="H374" s="3" t="str">
        <f>VLOOKUP(A374,'Orders Dataset'!$A:$D,4,FALSE)</f>
        <v>Rajasthan</v>
      </c>
      <c r="I374" s="5" t="str">
        <f>VLOOKUP(A374,'Orders Dataset'!$A:$E,5,FALSE)</f>
        <v>Jaipur</v>
      </c>
    </row>
    <row r="375" spans="1:9" x14ac:dyDescent="0.25">
      <c r="A375" t="s">
        <v>627</v>
      </c>
      <c r="B375">
        <v>50</v>
      </c>
      <c r="C375">
        <v>-10</v>
      </c>
      <c r="D375">
        <v>6</v>
      </c>
      <c r="E375" t="s">
        <v>899</v>
      </c>
      <c r="F375" t="s">
        <v>905</v>
      </c>
      <c r="G375" t="s">
        <v>911</v>
      </c>
      <c r="H375" s="3" t="str">
        <f>VLOOKUP(A375,'Orders Dataset'!$A:$D,4,FALSE)</f>
        <v>Delhi</v>
      </c>
      <c r="I375" s="5" t="str">
        <f>VLOOKUP(A375,'Orders Dataset'!$A:$E,5,FALSE)</f>
        <v>Delhi</v>
      </c>
    </row>
    <row r="376" spans="1:9" x14ac:dyDescent="0.25">
      <c r="A376" t="s">
        <v>427</v>
      </c>
      <c r="B376">
        <v>15</v>
      </c>
      <c r="C376">
        <v>6</v>
      </c>
      <c r="D376">
        <v>2</v>
      </c>
      <c r="E376" t="s">
        <v>899</v>
      </c>
      <c r="F376" t="s">
        <v>903</v>
      </c>
      <c r="G376" t="s">
        <v>891</v>
      </c>
      <c r="H376" s="3" t="str">
        <f>VLOOKUP(A376,'Orders Dataset'!$A:$D,4,FALSE)</f>
        <v>Bihar</v>
      </c>
      <c r="I376" s="5" t="str">
        <f>VLOOKUP(A376,'Orders Dataset'!$A:$E,5,FALSE)</f>
        <v>Patna</v>
      </c>
    </row>
    <row r="377" spans="1:9" x14ac:dyDescent="0.25">
      <c r="A377" t="s">
        <v>230</v>
      </c>
      <c r="B377">
        <v>148</v>
      </c>
      <c r="C377">
        <v>24</v>
      </c>
      <c r="D377">
        <v>3</v>
      </c>
      <c r="E377" t="s">
        <v>899</v>
      </c>
      <c r="F377" t="s">
        <v>907</v>
      </c>
      <c r="G377" t="s">
        <v>891</v>
      </c>
      <c r="H377" s="3" t="str">
        <f>VLOOKUP(A377,'Orders Dataset'!$A:$D,4,FALSE)</f>
        <v>Goa</v>
      </c>
      <c r="I377" s="5" t="str">
        <f>VLOOKUP(A377,'Orders Dataset'!$A:$E,5,FALSE)</f>
        <v>Goa</v>
      </c>
    </row>
    <row r="378" spans="1:9" x14ac:dyDescent="0.25">
      <c r="A378" t="s">
        <v>499</v>
      </c>
      <c r="B378">
        <v>299</v>
      </c>
      <c r="C378">
        <v>-28</v>
      </c>
      <c r="D378">
        <v>3</v>
      </c>
      <c r="E378" t="s">
        <v>889</v>
      </c>
      <c r="F378" t="s">
        <v>890</v>
      </c>
      <c r="G378" t="s">
        <v>902</v>
      </c>
      <c r="H378" s="3" t="str">
        <f>VLOOKUP(A378,'Orders Dataset'!$A:$D,4,FALSE)</f>
        <v>West Bengal</v>
      </c>
      <c r="I378" s="5" t="str">
        <f>VLOOKUP(A378,'Orders Dataset'!$A:$E,5,FALSE)</f>
        <v>Kolkata</v>
      </c>
    </row>
    <row r="379" spans="1:9" x14ac:dyDescent="0.25">
      <c r="A379" t="s">
        <v>337</v>
      </c>
      <c r="B379">
        <v>68</v>
      </c>
      <c r="C379">
        <v>-30</v>
      </c>
      <c r="D379">
        <v>1</v>
      </c>
      <c r="E379" t="s">
        <v>889</v>
      </c>
      <c r="F379" t="s">
        <v>898</v>
      </c>
      <c r="G379" t="s">
        <v>902</v>
      </c>
      <c r="H379" s="3" t="str">
        <f>VLOOKUP(A379,'Orders Dataset'!$A:$D,4,FALSE)</f>
        <v>Madhya Pradesh</v>
      </c>
      <c r="I379" s="5" t="str">
        <f>VLOOKUP(A379,'Orders Dataset'!$A:$E,5,FALSE)</f>
        <v>Bhopal</v>
      </c>
    </row>
    <row r="380" spans="1:9" x14ac:dyDescent="0.25">
      <c r="A380" t="s">
        <v>230</v>
      </c>
      <c r="B380">
        <v>52</v>
      </c>
      <c r="C380">
        <v>18</v>
      </c>
      <c r="D380">
        <v>5</v>
      </c>
      <c r="E380" t="s">
        <v>899</v>
      </c>
      <c r="F380" t="s">
        <v>908</v>
      </c>
      <c r="G380" t="s">
        <v>911</v>
      </c>
      <c r="H380" s="3" t="str">
        <f>VLOOKUP(A380,'Orders Dataset'!$A:$D,4,FALSE)</f>
        <v>Goa</v>
      </c>
      <c r="I380" s="5" t="str">
        <f>VLOOKUP(A380,'Orders Dataset'!$A:$E,5,FALSE)</f>
        <v>Goa</v>
      </c>
    </row>
    <row r="381" spans="1:9" x14ac:dyDescent="0.25">
      <c r="A381" t="s">
        <v>339</v>
      </c>
      <c r="B381">
        <v>239</v>
      </c>
      <c r="C381">
        <v>-162</v>
      </c>
      <c r="D381">
        <v>5</v>
      </c>
      <c r="E381" t="s">
        <v>892</v>
      </c>
      <c r="F381" t="s">
        <v>893</v>
      </c>
      <c r="G381" t="s">
        <v>891</v>
      </c>
      <c r="H381" s="3" t="str">
        <f>VLOOKUP(A381,'Orders Dataset'!$A:$D,4,FALSE)</f>
        <v>Maharashtra</v>
      </c>
      <c r="I381" s="5" t="str">
        <f>VLOOKUP(A381,'Orders Dataset'!$A:$E,5,FALSE)</f>
        <v>Mumbai</v>
      </c>
    </row>
    <row r="382" spans="1:9" x14ac:dyDescent="0.25">
      <c r="A382" t="s">
        <v>352</v>
      </c>
      <c r="B382">
        <v>27</v>
      </c>
      <c r="C382">
        <v>6</v>
      </c>
      <c r="D382">
        <v>3</v>
      </c>
      <c r="E382" t="s">
        <v>899</v>
      </c>
      <c r="F382" t="s">
        <v>905</v>
      </c>
      <c r="G382" t="s">
        <v>891</v>
      </c>
      <c r="H382" s="3" t="str">
        <f>VLOOKUP(A382,'Orders Dataset'!$A:$D,4,FALSE)</f>
        <v>Jammu and Kashmir</v>
      </c>
      <c r="I382" s="5" t="str">
        <f>VLOOKUP(A382,'Orders Dataset'!$A:$E,5,FALSE)</f>
        <v>Kashmir</v>
      </c>
    </row>
    <row r="383" spans="1:9" x14ac:dyDescent="0.25">
      <c r="A383" t="s">
        <v>226</v>
      </c>
      <c r="B383">
        <v>238</v>
      </c>
      <c r="C383">
        <v>20</v>
      </c>
      <c r="D383">
        <v>2</v>
      </c>
      <c r="E383" t="s">
        <v>899</v>
      </c>
      <c r="F383" t="s">
        <v>901</v>
      </c>
      <c r="G383" t="s">
        <v>891</v>
      </c>
      <c r="H383" s="3" t="str">
        <f>VLOOKUP(A383,'Orders Dataset'!$A:$D,4,FALSE)</f>
        <v>Maharashtra</v>
      </c>
      <c r="I383" s="5" t="str">
        <f>VLOOKUP(A383,'Orders Dataset'!$A:$E,5,FALSE)</f>
        <v>Mumbai</v>
      </c>
    </row>
    <row r="384" spans="1:9" x14ac:dyDescent="0.25">
      <c r="A384" t="s">
        <v>419</v>
      </c>
      <c r="B384">
        <v>48</v>
      </c>
      <c r="C384">
        <v>16</v>
      </c>
      <c r="D384">
        <v>3</v>
      </c>
      <c r="E384" t="s">
        <v>899</v>
      </c>
      <c r="F384" t="s">
        <v>913</v>
      </c>
      <c r="G384" t="s">
        <v>891</v>
      </c>
      <c r="H384" s="3" t="str">
        <f>VLOOKUP(A384,'Orders Dataset'!$A:$D,4,FALSE)</f>
        <v>Gujarat</v>
      </c>
      <c r="I384" s="5" t="str">
        <f>VLOOKUP(A384,'Orders Dataset'!$A:$E,5,FALSE)</f>
        <v>Ahmedabad</v>
      </c>
    </row>
    <row r="385" spans="1:9" x14ac:dyDescent="0.25">
      <c r="A385" t="s">
        <v>194</v>
      </c>
      <c r="B385">
        <v>66</v>
      </c>
      <c r="C385">
        <v>22</v>
      </c>
      <c r="D385">
        <v>3</v>
      </c>
      <c r="E385" t="s">
        <v>899</v>
      </c>
      <c r="F385" t="s">
        <v>907</v>
      </c>
      <c r="G385" t="s">
        <v>902</v>
      </c>
      <c r="H385" s="3" t="str">
        <f>VLOOKUP(A385,'Orders Dataset'!$A:$D,4,FALSE)</f>
        <v>Haryana</v>
      </c>
      <c r="I385" s="5" t="str">
        <f>VLOOKUP(A385,'Orders Dataset'!$A:$E,5,FALSE)</f>
        <v>Chandigarh</v>
      </c>
    </row>
    <row r="386" spans="1:9" x14ac:dyDescent="0.25">
      <c r="A386" t="s">
        <v>618</v>
      </c>
      <c r="B386">
        <v>53</v>
      </c>
      <c r="C386">
        <v>24</v>
      </c>
      <c r="D386">
        <v>1</v>
      </c>
      <c r="E386" t="s">
        <v>899</v>
      </c>
      <c r="F386" t="s">
        <v>903</v>
      </c>
      <c r="G386" t="s">
        <v>911</v>
      </c>
      <c r="H386" s="3" t="str">
        <f>VLOOKUP(A386,'Orders Dataset'!$A:$D,4,FALSE)</f>
        <v>Kerala</v>
      </c>
      <c r="I386" s="5" t="str">
        <f>VLOOKUP(A386,'Orders Dataset'!$A:$E,5,FALSE)</f>
        <v>Thiruvananthapuram</v>
      </c>
    </row>
    <row r="387" spans="1:9" x14ac:dyDescent="0.25">
      <c r="A387" t="s">
        <v>476</v>
      </c>
      <c r="B387">
        <v>233</v>
      </c>
      <c r="C387">
        <v>-10</v>
      </c>
      <c r="D387">
        <v>5</v>
      </c>
      <c r="E387" t="s">
        <v>889</v>
      </c>
      <c r="F387" t="s">
        <v>890</v>
      </c>
      <c r="G387" t="s">
        <v>891</v>
      </c>
      <c r="H387" s="3" t="str">
        <f>VLOOKUP(A387,'Orders Dataset'!$A:$D,4,FALSE)</f>
        <v>Madhya Pradesh</v>
      </c>
      <c r="I387" s="5" t="str">
        <f>VLOOKUP(A387,'Orders Dataset'!$A:$E,5,FALSE)</f>
        <v>Bhopal</v>
      </c>
    </row>
    <row r="388" spans="1:9" x14ac:dyDescent="0.25">
      <c r="A388" t="s">
        <v>421</v>
      </c>
      <c r="B388">
        <v>53</v>
      </c>
      <c r="C388">
        <v>-2</v>
      </c>
      <c r="D388">
        <v>3</v>
      </c>
      <c r="E388" t="s">
        <v>899</v>
      </c>
      <c r="F388" t="s">
        <v>901</v>
      </c>
      <c r="G388" t="s">
        <v>911</v>
      </c>
      <c r="H388" s="3" t="str">
        <f>VLOOKUP(A388,'Orders Dataset'!$A:$D,4,FALSE)</f>
        <v>Maharashtra</v>
      </c>
      <c r="I388" s="5" t="str">
        <f>VLOOKUP(A388,'Orders Dataset'!$A:$E,5,FALSE)</f>
        <v>Pune</v>
      </c>
    </row>
    <row r="389" spans="1:9" x14ac:dyDescent="0.25">
      <c r="A389" t="s">
        <v>292</v>
      </c>
      <c r="B389">
        <v>54</v>
      </c>
      <c r="C389">
        <v>8</v>
      </c>
      <c r="D389">
        <v>4</v>
      </c>
      <c r="E389" t="s">
        <v>899</v>
      </c>
      <c r="F389" t="s">
        <v>910</v>
      </c>
      <c r="G389" t="s">
        <v>911</v>
      </c>
      <c r="H389" s="3" t="str">
        <f>VLOOKUP(A389,'Orders Dataset'!$A:$D,4,FALSE)</f>
        <v>Kerala</v>
      </c>
      <c r="I389" s="5" t="str">
        <f>VLOOKUP(A389,'Orders Dataset'!$A:$E,5,FALSE)</f>
        <v>Thiruvananthapuram</v>
      </c>
    </row>
    <row r="390" spans="1:9" x14ac:dyDescent="0.25">
      <c r="A390" t="s">
        <v>462</v>
      </c>
      <c r="B390">
        <v>352</v>
      </c>
      <c r="C390">
        <v>-345</v>
      </c>
      <c r="D390">
        <v>5</v>
      </c>
      <c r="E390" t="s">
        <v>899</v>
      </c>
      <c r="F390" t="s">
        <v>901</v>
      </c>
      <c r="G390" t="s">
        <v>897</v>
      </c>
      <c r="H390" s="3" t="str">
        <f>VLOOKUP(A390,'Orders Dataset'!$A:$D,4,FALSE)</f>
        <v>Madhya Pradesh</v>
      </c>
      <c r="I390" s="5" t="str">
        <f>VLOOKUP(A390,'Orders Dataset'!$A:$E,5,FALSE)</f>
        <v>Indore</v>
      </c>
    </row>
    <row r="391" spans="1:9" x14ac:dyDescent="0.25">
      <c r="A391" t="s">
        <v>294</v>
      </c>
      <c r="B391">
        <v>349</v>
      </c>
      <c r="C391">
        <v>0</v>
      </c>
      <c r="D391">
        <v>7</v>
      </c>
      <c r="E391" t="s">
        <v>899</v>
      </c>
      <c r="F391" t="s">
        <v>907</v>
      </c>
      <c r="G391" t="s">
        <v>897</v>
      </c>
      <c r="H391" s="3" t="str">
        <f>VLOOKUP(A391,'Orders Dataset'!$A:$D,4,FALSE)</f>
        <v>Madhya Pradesh</v>
      </c>
      <c r="I391" s="5" t="str">
        <f>VLOOKUP(A391,'Orders Dataset'!$A:$E,5,FALSE)</f>
        <v>Indore</v>
      </c>
    </row>
    <row r="392" spans="1:9" x14ac:dyDescent="0.25">
      <c r="A392" t="s">
        <v>214</v>
      </c>
      <c r="B392">
        <v>341</v>
      </c>
      <c r="C392">
        <v>-85</v>
      </c>
      <c r="D392">
        <v>6</v>
      </c>
      <c r="E392" t="s">
        <v>899</v>
      </c>
      <c r="F392" t="s">
        <v>900</v>
      </c>
      <c r="G392" t="s">
        <v>897</v>
      </c>
      <c r="H392" s="3" t="str">
        <f>VLOOKUP(A392,'Orders Dataset'!$A:$D,4,FALSE)</f>
        <v>Uttar Pradesh</v>
      </c>
      <c r="I392" s="5" t="str">
        <f>VLOOKUP(A392,'Orders Dataset'!$A:$E,5,FALSE)</f>
        <v>Lucknow</v>
      </c>
    </row>
    <row r="393" spans="1:9" x14ac:dyDescent="0.25">
      <c r="A393" t="s">
        <v>248</v>
      </c>
      <c r="B393">
        <v>54</v>
      </c>
      <c r="C393">
        <v>12</v>
      </c>
      <c r="D393">
        <v>3</v>
      </c>
      <c r="E393" t="s">
        <v>899</v>
      </c>
      <c r="F393" t="s">
        <v>901</v>
      </c>
      <c r="G393" t="s">
        <v>911</v>
      </c>
      <c r="H393" s="3" t="str">
        <f>VLOOKUP(A393,'Orders Dataset'!$A:$D,4,FALSE)</f>
        <v>Delhi</v>
      </c>
      <c r="I393" s="5" t="str">
        <f>VLOOKUP(A393,'Orders Dataset'!$A:$E,5,FALSE)</f>
        <v>Delhi</v>
      </c>
    </row>
    <row r="394" spans="1:9" x14ac:dyDescent="0.25">
      <c r="A394" t="s">
        <v>5</v>
      </c>
      <c r="B394">
        <v>57</v>
      </c>
      <c r="C394">
        <v>7</v>
      </c>
      <c r="D394">
        <v>2</v>
      </c>
      <c r="E394" t="s">
        <v>899</v>
      </c>
      <c r="F394" t="s">
        <v>913</v>
      </c>
      <c r="G394" t="s">
        <v>902</v>
      </c>
      <c r="H394" s="3" t="str">
        <f>VLOOKUP(A394,'Orders Dataset'!$A:$D,4,FALSE)</f>
        <v>Uttar Pradesh</v>
      </c>
      <c r="I394" s="5" t="str">
        <f>VLOOKUP(A394,'Orders Dataset'!$A:$E,5,FALSE)</f>
        <v>Mathura</v>
      </c>
    </row>
    <row r="395" spans="1:9" x14ac:dyDescent="0.25">
      <c r="A395" t="s">
        <v>467</v>
      </c>
      <c r="B395">
        <v>340</v>
      </c>
      <c r="C395">
        <v>20</v>
      </c>
      <c r="D395">
        <v>7</v>
      </c>
      <c r="E395" t="s">
        <v>899</v>
      </c>
      <c r="F395" t="s">
        <v>913</v>
      </c>
      <c r="G395" t="s">
        <v>897</v>
      </c>
      <c r="H395" s="3" t="str">
        <f>VLOOKUP(A395,'Orders Dataset'!$A:$D,4,FALSE)</f>
        <v>Karnataka</v>
      </c>
      <c r="I395" s="5" t="str">
        <f>VLOOKUP(A395,'Orders Dataset'!$A:$E,5,FALSE)</f>
        <v>Bangalore</v>
      </c>
    </row>
    <row r="396" spans="1:9" x14ac:dyDescent="0.25">
      <c r="A396" t="s">
        <v>5</v>
      </c>
      <c r="B396">
        <v>227</v>
      </c>
      <c r="C396">
        <v>48</v>
      </c>
      <c r="D396">
        <v>5</v>
      </c>
      <c r="E396" t="s">
        <v>899</v>
      </c>
      <c r="F396" t="s">
        <v>907</v>
      </c>
      <c r="G396" t="s">
        <v>891</v>
      </c>
      <c r="H396" s="3" t="str">
        <f>VLOOKUP(A396,'Orders Dataset'!$A:$D,4,FALSE)</f>
        <v>Uttar Pradesh</v>
      </c>
      <c r="I396" s="5" t="str">
        <f>VLOOKUP(A396,'Orders Dataset'!$A:$E,5,FALSE)</f>
        <v>Mathura</v>
      </c>
    </row>
    <row r="397" spans="1:9" x14ac:dyDescent="0.25">
      <c r="A397" t="s">
        <v>469</v>
      </c>
      <c r="B397">
        <v>330</v>
      </c>
      <c r="C397">
        <v>81</v>
      </c>
      <c r="D397">
        <v>1</v>
      </c>
      <c r="E397" t="s">
        <v>892</v>
      </c>
      <c r="F397" t="s">
        <v>895</v>
      </c>
      <c r="G397" t="s">
        <v>897</v>
      </c>
      <c r="H397" s="3" t="str">
        <f>VLOOKUP(A397,'Orders Dataset'!$A:$D,4,FALSE)</f>
        <v>Delhi</v>
      </c>
      <c r="I397" s="5" t="str">
        <f>VLOOKUP(A397,'Orders Dataset'!$A:$E,5,FALSE)</f>
        <v>Delhi</v>
      </c>
    </row>
    <row r="398" spans="1:9" x14ac:dyDescent="0.25">
      <c r="A398" t="s">
        <v>343</v>
      </c>
      <c r="B398">
        <v>216</v>
      </c>
      <c r="C398">
        <v>-38</v>
      </c>
      <c r="D398">
        <v>6</v>
      </c>
      <c r="E398" t="s">
        <v>892</v>
      </c>
      <c r="F398" t="s">
        <v>912</v>
      </c>
      <c r="G398" t="s">
        <v>902</v>
      </c>
      <c r="H398" s="3" t="str">
        <f>VLOOKUP(A398,'Orders Dataset'!$A:$D,4,FALSE)</f>
        <v>Maharashtra</v>
      </c>
      <c r="I398" s="5" t="str">
        <f>VLOOKUP(A398,'Orders Dataset'!$A:$E,5,FALSE)</f>
        <v>Pune</v>
      </c>
    </row>
    <row r="399" spans="1:9" x14ac:dyDescent="0.25">
      <c r="A399" t="s">
        <v>530</v>
      </c>
      <c r="B399">
        <v>224</v>
      </c>
      <c r="C399">
        <v>-143</v>
      </c>
      <c r="D399">
        <v>3</v>
      </c>
      <c r="E399" t="s">
        <v>892</v>
      </c>
      <c r="F399" t="s">
        <v>893</v>
      </c>
      <c r="G399" t="s">
        <v>891</v>
      </c>
      <c r="H399" s="3" t="str">
        <f>VLOOKUP(A399,'Orders Dataset'!$A:$D,4,FALSE)</f>
        <v>Kerala</v>
      </c>
      <c r="I399" s="5" t="str">
        <f>VLOOKUP(A399,'Orders Dataset'!$A:$E,5,FALSE)</f>
        <v>Thiruvananthapuram</v>
      </c>
    </row>
    <row r="400" spans="1:9" x14ac:dyDescent="0.25">
      <c r="A400" t="s">
        <v>541</v>
      </c>
      <c r="B400">
        <v>55</v>
      </c>
      <c r="C400">
        <v>-33</v>
      </c>
      <c r="D400">
        <v>2</v>
      </c>
      <c r="E400" t="s">
        <v>892</v>
      </c>
      <c r="F400" t="s">
        <v>893</v>
      </c>
      <c r="G400" t="s">
        <v>911</v>
      </c>
      <c r="H400" s="3" t="str">
        <f>VLOOKUP(A400,'Orders Dataset'!$A:$D,4,FALSE)</f>
        <v>Jammu and Kashmir</v>
      </c>
      <c r="I400" s="5" t="str">
        <f>VLOOKUP(A400,'Orders Dataset'!$A:$E,5,FALSE)</f>
        <v>Kashmir</v>
      </c>
    </row>
    <row r="401" spans="1:9" x14ac:dyDescent="0.25">
      <c r="A401" t="s">
        <v>677</v>
      </c>
      <c r="B401">
        <v>49</v>
      </c>
      <c r="C401">
        <v>21</v>
      </c>
      <c r="D401">
        <v>1</v>
      </c>
      <c r="E401" t="s">
        <v>899</v>
      </c>
      <c r="F401" t="s">
        <v>907</v>
      </c>
      <c r="G401" t="s">
        <v>902</v>
      </c>
      <c r="H401" s="3" t="str">
        <f>VLOOKUP(A401,'Orders Dataset'!$A:$D,4,FALSE)</f>
        <v>Kerala</v>
      </c>
      <c r="I401" s="5" t="str">
        <f>VLOOKUP(A401,'Orders Dataset'!$A:$E,5,FALSE)</f>
        <v>Thiruvananthapuram</v>
      </c>
    </row>
    <row r="402" spans="1:9" x14ac:dyDescent="0.25">
      <c r="A402" t="s">
        <v>292</v>
      </c>
      <c r="B402">
        <v>224</v>
      </c>
      <c r="C402">
        <v>87</v>
      </c>
      <c r="D402">
        <v>3</v>
      </c>
      <c r="E402" t="s">
        <v>899</v>
      </c>
      <c r="F402" t="s">
        <v>900</v>
      </c>
      <c r="G402" t="s">
        <v>891</v>
      </c>
      <c r="H402" s="3" t="str">
        <f>VLOOKUP(A402,'Orders Dataset'!$A:$D,4,FALSE)</f>
        <v>Kerala</v>
      </c>
      <c r="I402" s="5" t="str">
        <f>VLOOKUP(A402,'Orders Dataset'!$A:$E,5,FALSE)</f>
        <v>Thiruvananthapuram</v>
      </c>
    </row>
    <row r="403" spans="1:9" x14ac:dyDescent="0.25">
      <c r="A403" t="s">
        <v>36</v>
      </c>
      <c r="B403">
        <v>223</v>
      </c>
      <c r="C403">
        <v>27</v>
      </c>
      <c r="D403">
        <v>2</v>
      </c>
      <c r="E403" t="s">
        <v>892</v>
      </c>
      <c r="F403" t="s">
        <v>895</v>
      </c>
      <c r="G403" t="s">
        <v>891</v>
      </c>
      <c r="H403" s="3" t="str">
        <f>VLOOKUP(A403,'Orders Dataset'!$A:$D,4,FALSE)</f>
        <v>Maharashtra</v>
      </c>
      <c r="I403" s="5" t="str">
        <f>VLOOKUP(A403,'Orders Dataset'!$A:$E,5,FALSE)</f>
        <v>Mumbai</v>
      </c>
    </row>
    <row r="404" spans="1:9" x14ac:dyDescent="0.25">
      <c r="A404" t="s">
        <v>347</v>
      </c>
      <c r="B404">
        <v>324</v>
      </c>
      <c r="C404">
        <v>39</v>
      </c>
      <c r="D404">
        <v>8</v>
      </c>
      <c r="E404" t="s">
        <v>889</v>
      </c>
      <c r="F404" t="s">
        <v>909</v>
      </c>
      <c r="G404" t="s">
        <v>897</v>
      </c>
      <c r="H404" s="3" t="str">
        <f>VLOOKUP(A404,'Orders Dataset'!$A:$D,4,FALSE)</f>
        <v>Madhya Pradesh</v>
      </c>
      <c r="I404" s="5" t="str">
        <f>VLOOKUP(A404,'Orders Dataset'!$A:$E,5,FALSE)</f>
        <v>Indore</v>
      </c>
    </row>
    <row r="405" spans="1:9" x14ac:dyDescent="0.25">
      <c r="A405" t="s">
        <v>126</v>
      </c>
      <c r="B405">
        <v>56</v>
      </c>
      <c r="C405">
        <v>18</v>
      </c>
      <c r="D405">
        <v>2</v>
      </c>
      <c r="E405" t="s">
        <v>899</v>
      </c>
      <c r="F405" t="s">
        <v>903</v>
      </c>
      <c r="G405" t="s">
        <v>911</v>
      </c>
      <c r="H405" s="3" t="str">
        <f>VLOOKUP(A405,'Orders Dataset'!$A:$D,4,FALSE)</f>
        <v>Maharashtra</v>
      </c>
      <c r="I405" s="5" t="str">
        <f>VLOOKUP(A405,'Orders Dataset'!$A:$E,5,FALSE)</f>
        <v>Pune</v>
      </c>
    </row>
    <row r="406" spans="1:9" x14ac:dyDescent="0.25">
      <c r="A406" t="s">
        <v>271</v>
      </c>
      <c r="B406">
        <v>223</v>
      </c>
      <c r="C406">
        <v>62</v>
      </c>
      <c r="D406">
        <v>7</v>
      </c>
      <c r="E406" t="s">
        <v>899</v>
      </c>
      <c r="F406" t="s">
        <v>913</v>
      </c>
      <c r="G406" t="s">
        <v>891</v>
      </c>
      <c r="H406" s="3" t="str">
        <f>VLOOKUP(A406,'Orders Dataset'!$A:$D,4,FALSE)</f>
        <v>Delhi</v>
      </c>
      <c r="I406" s="5" t="str">
        <f>VLOOKUP(A406,'Orders Dataset'!$A:$E,5,FALSE)</f>
        <v>Delhi</v>
      </c>
    </row>
    <row r="407" spans="1:9" x14ac:dyDescent="0.25">
      <c r="A407" t="s">
        <v>309</v>
      </c>
      <c r="B407">
        <v>10</v>
      </c>
      <c r="C407">
        <v>2</v>
      </c>
      <c r="D407">
        <v>2</v>
      </c>
      <c r="E407" t="s">
        <v>899</v>
      </c>
      <c r="F407" t="s">
        <v>905</v>
      </c>
      <c r="G407" t="s">
        <v>891</v>
      </c>
      <c r="H407" s="3" t="str">
        <f>VLOOKUP(A407,'Orders Dataset'!$A:$D,4,FALSE)</f>
        <v>Maharashtra</v>
      </c>
      <c r="I407" s="5" t="str">
        <f>VLOOKUP(A407,'Orders Dataset'!$A:$E,5,FALSE)</f>
        <v>Mumbai</v>
      </c>
    </row>
    <row r="408" spans="1:9" x14ac:dyDescent="0.25">
      <c r="A408" t="s">
        <v>783</v>
      </c>
      <c r="B408">
        <v>57</v>
      </c>
      <c r="C408">
        <v>6</v>
      </c>
      <c r="D408">
        <v>5</v>
      </c>
      <c r="E408" t="s">
        <v>899</v>
      </c>
      <c r="F408" t="s">
        <v>908</v>
      </c>
      <c r="G408" t="s">
        <v>911</v>
      </c>
      <c r="H408" s="3" t="str">
        <f>VLOOKUP(A408,'Orders Dataset'!$A:$D,4,FALSE)</f>
        <v>Madhya Pradesh</v>
      </c>
      <c r="I408" s="5" t="str">
        <f>VLOOKUP(A408,'Orders Dataset'!$A:$E,5,FALSE)</f>
        <v>Indore</v>
      </c>
    </row>
    <row r="409" spans="1:9" x14ac:dyDescent="0.25">
      <c r="A409" t="s">
        <v>208</v>
      </c>
      <c r="B409">
        <v>322</v>
      </c>
      <c r="C409">
        <v>-113</v>
      </c>
      <c r="D409">
        <v>4</v>
      </c>
      <c r="E409" t="s">
        <v>899</v>
      </c>
      <c r="F409" t="s">
        <v>901</v>
      </c>
      <c r="G409" t="s">
        <v>897</v>
      </c>
      <c r="H409" s="3" t="str">
        <f>VLOOKUP(A409,'Orders Dataset'!$A:$D,4,FALSE)</f>
        <v>Maharashtra</v>
      </c>
      <c r="I409" s="5" t="str">
        <f>VLOOKUP(A409,'Orders Dataset'!$A:$E,5,FALSE)</f>
        <v>Pune</v>
      </c>
    </row>
    <row r="410" spans="1:9" x14ac:dyDescent="0.25">
      <c r="A410" t="s">
        <v>418</v>
      </c>
      <c r="B410">
        <v>219</v>
      </c>
      <c r="C410">
        <v>4</v>
      </c>
      <c r="D410">
        <v>2</v>
      </c>
      <c r="E410" t="s">
        <v>899</v>
      </c>
      <c r="F410" t="s">
        <v>901</v>
      </c>
      <c r="G410" t="s">
        <v>891</v>
      </c>
      <c r="H410" s="3" t="str">
        <f>VLOOKUP(A410,'Orders Dataset'!$A:$D,4,FALSE)</f>
        <v>Madhya Pradesh</v>
      </c>
      <c r="I410" s="5" t="str">
        <f>VLOOKUP(A410,'Orders Dataset'!$A:$E,5,FALSE)</f>
        <v>Bhopal</v>
      </c>
    </row>
    <row r="411" spans="1:9" x14ac:dyDescent="0.25">
      <c r="A411" t="s">
        <v>705</v>
      </c>
      <c r="B411">
        <v>103</v>
      </c>
      <c r="C411">
        <v>21</v>
      </c>
      <c r="D411">
        <v>7</v>
      </c>
      <c r="E411" t="s">
        <v>899</v>
      </c>
      <c r="F411" t="s">
        <v>907</v>
      </c>
      <c r="G411" t="s">
        <v>902</v>
      </c>
      <c r="H411" s="3" t="str">
        <f>VLOOKUP(A411,'Orders Dataset'!$A:$D,4,FALSE)</f>
        <v>Delhi</v>
      </c>
      <c r="I411" s="5" t="str">
        <f>VLOOKUP(A411,'Orders Dataset'!$A:$E,5,FALSE)</f>
        <v>Delhi</v>
      </c>
    </row>
    <row r="412" spans="1:9" x14ac:dyDescent="0.25">
      <c r="A412" t="s">
        <v>539</v>
      </c>
      <c r="B412">
        <v>47</v>
      </c>
      <c r="C412">
        <v>-27</v>
      </c>
      <c r="D412">
        <v>4</v>
      </c>
      <c r="E412" t="s">
        <v>899</v>
      </c>
      <c r="F412" t="s">
        <v>901</v>
      </c>
      <c r="G412" t="s">
        <v>891</v>
      </c>
      <c r="H412" s="3" t="str">
        <f>VLOOKUP(A412,'Orders Dataset'!$A:$D,4,FALSE)</f>
        <v>Madhya Pradesh</v>
      </c>
      <c r="I412" s="5" t="str">
        <f>VLOOKUP(A412,'Orders Dataset'!$A:$E,5,FALSE)</f>
        <v>Indore</v>
      </c>
    </row>
    <row r="413" spans="1:9" x14ac:dyDescent="0.25">
      <c r="A413" t="s">
        <v>36</v>
      </c>
      <c r="B413">
        <v>219</v>
      </c>
      <c r="C413">
        <v>0</v>
      </c>
      <c r="D413">
        <v>1</v>
      </c>
      <c r="E413" t="s">
        <v>899</v>
      </c>
      <c r="F413" t="s">
        <v>901</v>
      </c>
      <c r="G413" t="s">
        <v>891</v>
      </c>
      <c r="H413" s="3" t="str">
        <f>VLOOKUP(A413,'Orders Dataset'!$A:$D,4,FALSE)</f>
        <v>Maharashtra</v>
      </c>
      <c r="I413" s="5" t="str">
        <f>VLOOKUP(A413,'Orders Dataset'!$A:$E,5,FALSE)</f>
        <v>Mumbai</v>
      </c>
    </row>
    <row r="414" spans="1:9" x14ac:dyDescent="0.25">
      <c r="A414" t="s">
        <v>482</v>
      </c>
      <c r="B414">
        <v>57</v>
      </c>
      <c r="C414">
        <v>-48</v>
      </c>
      <c r="D414">
        <v>6</v>
      </c>
      <c r="E414" t="s">
        <v>899</v>
      </c>
      <c r="F414" t="s">
        <v>908</v>
      </c>
      <c r="G414" t="s">
        <v>911</v>
      </c>
      <c r="H414" s="3" t="str">
        <f>VLOOKUP(A414,'Orders Dataset'!$A:$D,4,FALSE)</f>
        <v>Madhya Pradesh</v>
      </c>
      <c r="I414" s="5" t="str">
        <f>VLOOKUP(A414,'Orders Dataset'!$A:$E,5,FALSE)</f>
        <v>Indore</v>
      </c>
    </row>
    <row r="415" spans="1:9" x14ac:dyDescent="0.25">
      <c r="A415" t="s">
        <v>490</v>
      </c>
      <c r="B415">
        <v>319</v>
      </c>
      <c r="C415">
        <v>102</v>
      </c>
      <c r="D415">
        <v>6</v>
      </c>
      <c r="E415" t="s">
        <v>889</v>
      </c>
      <c r="F415" t="s">
        <v>909</v>
      </c>
      <c r="G415" t="s">
        <v>897</v>
      </c>
      <c r="H415" s="3" t="str">
        <f>VLOOKUP(A415,'Orders Dataset'!$A:$D,4,FALSE)</f>
        <v>Bihar</v>
      </c>
      <c r="I415" s="5" t="str">
        <f>VLOOKUP(A415,'Orders Dataset'!$A:$E,5,FALSE)</f>
        <v>Patna</v>
      </c>
    </row>
    <row r="416" spans="1:9" x14ac:dyDescent="0.25">
      <c r="A416" t="s">
        <v>70</v>
      </c>
      <c r="B416">
        <v>315</v>
      </c>
      <c r="C416">
        <v>-8</v>
      </c>
      <c r="D416">
        <v>3</v>
      </c>
      <c r="E416" t="s">
        <v>892</v>
      </c>
      <c r="F416" t="s">
        <v>893</v>
      </c>
      <c r="G416" t="s">
        <v>897</v>
      </c>
      <c r="H416" s="3" t="str">
        <f>VLOOKUP(A416,'Orders Dataset'!$A:$D,4,FALSE)</f>
        <v>Madhya Pradesh</v>
      </c>
      <c r="I416" s="5" t="str">
        <f>VLOOKUP(A416,'Orders Dataset'!$A:$E,5,FALSE)</f>
        <v>Bhopal</v>
      </c>
    </row>
    <row r="417" spans="1:9" x14ac:dyDescent="0.25">
      <c r="A417" t="s">
        <v>176</v>
      </c>
      <c r="B417">
        <v>314</v>
      </c>
      <c r="C417">
        <v>-41</v>
      </c>
      <c r="D417">
        <v>3</v>
      </c>
      <c r="E417" t="s">
        <v>889</v>
      </c>
      <c r="F417" t="s">
        <v>890</v>
      </c>
      <c r="G417" t="s">
        <v>897</v>
      </c>
      <c r="H417" s="3" t="str">
        <f>VLOOKUP(A417,'Orders Dataset'!$A:$D,4,FALSE)</f>
        <v>Maharashtra</v>
      </c>
      <c r="I417" s="5" t="str">
        <f>VLOOKUP(A417,'Orders Dataset'!$A:$E,5,FALSE)</f>
        <v>Mumbai</v>
      </c>
    </row>
    <row r="418" spans="1:9" x14ac:dyDescent="0.25">
      <c r="A418" t="s">
        <v>495</v>
      </c>
      <c r="B418">
        <v>311</v>
      </c>
      <c r="C418">
        <v>40</v>
      </c>
      <c r="D418">
        <v>1</v>
      </c>
      <c r="E418" t="s">
        <v>889</v>
      </c>
      <c r="F418" t="s">
        <v>890</v>
      </c>
      <c r="G418" t="s">
        <v>894</v>
      </c>
      <c r="H418" s="3" t="str">
        <f>VLOOKUP(A418,'Orders Dataset'!$A:$D,4,FALSE)</f>
        <v>Himachal Pradesh</v>
      </c>
      <c r="I418" s="5" t="str">
        <f>VLOOKUP(A418,'Orders Dataset'!$A:$E,5,FALSE)</f>
        <v>Simla</v>
      </c>
    </row>
    <row r="419" spans="1:9" x14ac:dyDescent="0.25">
      <c r="A419" t="s">
        <v>189</v>
      </c>
      <c r="B419">
        <v>307</v>
      </c>
      <c r="C419">
        <v>74</v>
      </c>
      <c r="D419">
        <v>3</v>
      </c>
      <c r="E419" t="s">
        <v>889</v>
      </c>
      <c r="F419" t="s">
        <v>909</v>
      </c>
      <c r="G419" t="s">
        <v>894</v>
      </c>
      <c r="H419" s="3" t="str">
        <f>VLOOKUP(A419,'Orders Dataset'!$A:$D,4,FALSE)</f>
        <v>Punjab</v>
      </c>
      <c r="I419" s="5" t="str">
        <f>VLOOKUP(A419,'Orders Dataset'!$A:$E,5,FALSE)</f>
        <v>Chandigarh</v>
      </c>
    </row>
    <row r="420" spans="1:9" x14ac:dyDescent="0.25">
      <c r="A420" t="s">
        <v>36</v>
      </c>
      <c r="B420">
        <v>294</v>
      </c>
      <c r="C420">
        <v>109</v>
      </c>
      <c r="D420">
        <v>7</v>
      </c>
      <c r="E420" t="s">
        <v>889</v>
      </c>
      <c r="F420" t="s">
        <v>909</v>
      </c>
      <c r="G420" t="s">
        <v>894</v>
      </c>
      <c r="H420" s="3" t="str">
        <f>VLOOKUP(A420,'Orders Dataset'!$A:$D,4,FALSE)</f>
        <v>Maharashtra</v>
      </c>
      <c r="I420" s="5" t="str">
        <f>VLOOKUP(A420,'Orders Dataset'!$A:$E,5,FALSE)</f>
        <v>Mumbai</v>
      </c>
    </row>
    <row r="421" spans="1:9" x14ac:dyDescent="0.25">
      <c r="A421" t="s">
        <v>546</v>
      </c>
      <c r="B421">
        <v>216</v>
      </c>
      <c r="C421">
        <v>-83</v>
      </c>
      <c r="D421">
        <v>3</v>
      </c>
      <c r="E421" t="s">
        <v>889</v>
      </c>
      <c r="F421" t="s">
        <v>890</v>
      </c>
      <c r="G421" t="s">
        <v>891</v>
      </c>
      <c r="H421" s="3" t="str">
        <f>VLOOKUP(A421,'Orders Dataset'!$A:$D,4,FALSE)</f>
        <v>Uttar Pradesh</v>
      </c>
      <c r="I421" s="5" t="str">
        <f>VLOOKUP(A421,'Orders Dataset'!$A:$E,5,FALSE)</f>
        <v>Lucknow</v>
      </c>
    </row>
    <row r="422" spans="1:9" x14ac:dyDescent="0.25">
      <c r="A422" t="s">
        <v>541</v>
      </c>
      <c r="B422">
        <v>58</v>
      </c>
      <c r="C422">
        <v>-42</v>
      </c>
      <c r="D422">
        <v>2</v>
      </c>
      <c r="E422" t="s">
        <v>892</v>
      </c>
      <c r="F422" t="s">
        <v>893</v>
      </c>
      <c r="G422" t="s">
        <v>911</v>
      </c>
      <c r="H422" s="3" t="str">
        <f>VLOOKUP(A422,'Orders Dataset'!$A:$D,4,FALSE)</f>
        <v>Jammu and Kashmir</v>
      </c>
      <c r="I422" s="5" t="str">
        <f>VLOOKUP(A422,'Orders Dataset'!$A:$E,5,FALSE)</f>
        <v>Kashmir</v>
      </c>
    </row>
    <row r="423" spans="1:9" x14ac:dyDescent="0.25">
      <c r="A423" t="s">
        <v>110</v>
      </c>
      <c r="B423">
        <v>48</v>
      </c>
      <c r="C423">
        <v>20</v>
      </c>
      <c r="D423">
        <v>4</v>
      </c>
      <c r="E423" t="s">
        <v>899</v>
      </c>
      <c r="F423" t="s">
        <v>907</v>
      </c>
      <c r="G423" t="s">
        <v>902</v>
      </c>
      <c r="H423" s="3" t="str">
        <f>VLOOKUP(A423,'Orders Dataset'!$A:$D,4,FALSE)</f>
        <v>Gujarat</v>
      </c>
      <c r="I423" s="5" t="str">
        <f>VLOOKUP(A423,'Orders Dataset'!$A:$E,5,FALSE)</f>
        <v>Ahmedabad</v>
      </c>
    </row>
    <row r="424" spans="1:9" x14ac:dyDescent="0.25">
      <c r="A424" t="s">
        <v>25</v>
      </c>
      <c r="B424">
        <v>54</v>
      </c>
      <c r="C424">
        <v>14</v>
      </c>
      <c r="D424">
        <v>3</v>
      </c>
      <c r="E424" t="s">
        <v>899</v>
      </c>
      <c r="F424" t="s">
        <v>910</v>
      </c>
      <c r="G424" t="s">
        <v>902</v>
      </c>
      <c r="H424" s="3" t="str">
        <f>VLOOKUP(A424,'Orders Dataset'!$A:$D,4,FALSE)</f>
        <v>Maharashtra</v>
      </c>
      <c r="I424" s="5" t="str">
        <f>VLOOKUP(A424,'Orders Dataset'!$A:$E,5,FALSE)</f>
        <v>Pune</v>
      </c>
    </row>
    <row r="425" spans="1:9" x14ac:dyDescent="0.25">
      <c r="A425" t="s">
        <v>138</v>
      </c>
      <c r="B425">
        <v>216</v>
      </c>
      <c r="C425">
        <v>50</v>
      </c>
      <c r="D425">
        <v>4</v>
      </c>
      <c r="E425" t="s">
        <v>899</v>
      </c>
      <c r="F425" t="s">
        <v>907</v>
      </c>
      <c r="G425" t="s">
        <v>891</v>
      </c>
      <c r="H425" s="3" t="str">
        <f>VLOOKUP(A425,'Orders Dataset'!$A:$D,4,FALSE)</f>
        <v>West Bengal</v>
      </c>
      <c r="I425" s="5" t="str">
        <f>VLOOKUP(A425,'Orders Dataset'!$A:$E,5,FALSE)</f>
        <v>Kolkata</v>
      </c>
    </row>
    <row r="426" spans="1:9" x14ac:dyDescent="0.25">
      <c r="A426" t="s">
        <v>271</v>
      </c>
      <c r="B426">
        <v>215</v>
      </c>
      <c r="C426">
        <v>-30</v>
      </c>
      <c r="D426">
        <v>2</v>
      </c>
      <c r="E426" t="s">
        <v>899</v>
      </c>
      <c r="F426" t="s">
        <v>901</v>
      </c>
      <c r="G426" t="s">
        <v>891</v>
      </c>
      <c r="H426" s="3" t="str">
        <f>VLOOKUP(A426,'Orders Dataset'!$A:$D,4,FALSE)</f>
        <v>Delhi</v>
      </c>
      <c r="I426" s="5" t="str">
        <f>VLOOKUP(A426,'Orders Dataset'!$A:$E,5,FALSE)</f>
        <v>Delhi</v>
      </c>
    </row>
    <row r="427" spans="1:9" x14ac:dyDescent="0.25">
      <c r="A427" t="s">
        <v>640</v>
      </c>
      <c r="B427">
        <v>43</v>
      </c>
      <c r="C427">
        <v>8</v>
      </c>
      <c r="D427">
        <v>3</v>
      </c>
      <c r="E427" t="s">
        <v>899</v>
      </c>
      <c r="F427" t="s">
        <v>908</v>
      </c>
      <c r="G427" t="s">
        <v>891</v>
      </c>
      <c r="H427" s="3" t="str">
        <f>VLOOKUP(A427,'Orders Dataset'!$A:$D,4,FALSE)</f>
        <v>Bihar</v>
      </c>
      <c r="I427" s="5" t="str">
        <f>VLOOKUP(A427,'Orders Dataset'!$A:$E,5,FALSE)</f>
        <v>Patna</v>
      </c>
    </row>
    <row r="428" spans="1:9" x14ac:dyDescent="0.25">
      <c r="A428" t="s">
        <v>93</v>
      </c>
      <c r="B428">
        <v>136</v>
      </c>
      <c r="C428">
        <v>-33</v>
      </c>
      <c r="D428">
        <v>5</v>
      </c>
      <c r="E428" t="s">
        <v>899</v>
      </c>
      <c r="F428" t="s">
        <v>901</v>
      </c>
      <c r="G428" t="s">
        <v>891</v>
      </c>
      <c r="H428" s="3" t="str">
        <f>VLOOKUP(A428,'Orders Dataset'!$A:$D,4,FALSE)</f>
        <v>Madhya Pradesh</v>
      </c>
      <c r="I428" s="5" t="str">
        <f>VLOOKUP(A428,'Orders Dataset'!$A:$E,5,FALSE)</f>
        <v>Indore</v>
      </c>
    </row>
    <row r="429" spans="1:9" x14ac:dyDescent="0.25">
      <c r="A429" t="s">
        <v>333</v>
      </c>
      <c r="B429">
        <v>59</v>
      </c>
      <c r="C429">
        <v>-30</v>
      </c>
      <c r="D429">
        <v>3</v>
      </c>
      <c r="E429" t="s">
        <v>899</v>
      </c>
      <c r="F429" t="s">
        <v>908</v>
      </c>
      <c r="G429" t="s">
        <v>911</v>
      </c>
      <c r="H429" s="3" t="str">
        <f>VLOOKUP(A429,'Orders Dataset'!$A:$D,4,FALSE)</f>
        <v>Jammu and Kashmir</v>
      </c>
      <c r="I429" s="5" t="str">
        <f>VLOOKUP(A429,'Orders Dataset'!$A:$E,5,FALSE)</f>
        <v>Kashmir</v>
      </c>
    </row>
    <row r="430" spans="1:9" x14ac:dyDescent="0.25">
      <c r="A430" t="s">
        <v>5</v>
      </c>
      <c r="B430">
        <v>213</v>
      </c>
      <c r="C430">
        <v>4</v>
      </c>
      <c r="D430">
        <v>14</v>
      </c>
      <c r="E430" t="s">
        <v>899</v>
      </c>
      <c r="F430" t="s">
        <v>913</v>
      </c>
      <c r="G430" t="s">
        <v>891</v>
      </c>
      <c r="H430" s="3" t="str">
        <f>VLOOKUP(A430,'Orders Dataset'!$A:$D,4,FALSE)</f>
        <v>Uttar Pradesh</v>
      </c>
      <c r="I430" s="5" t="str">
        <f>VLOOKUP(A430,'Orders Dataset'!$A:$E,5,FALSE)</f>
        <v>Mathura</v>
      </c>
    </row>
    <row r="431" spans="1:9" x14ac:dyDescent="0.25">
      <c r="A431" t="s">
        <v>194</v>
      </c>
      <c r="B431">
        <v>59</v>
      </c>
      <c r="C431">
        <v>21</v>
      </c>
      <c r="D431">
        <v>2</v>
      </c>
      <c r="E431" t="s">
        <v>899</v>
      </c>
      <c r="F431" t="s">
        <v>907</v>
      </c>
      <c r="G431" t="s">
        <v>911</v>
      </c>
      <c r="H431" s="3" t="str">
        <f>VLOOKUP(A431,'Orders Dataset'!$A:$D,4,FALSE)</f>
        <v>Haryana</v>
      </c>
      <c r="I431" s="5" t="str">
        <f>VLOOKUP(A431,'Orders Dataset'!$A:$E,5,FALSE)</f>
        <v>Chandigarh</v>
      </c>
    </row>
    <row r="432" spans="1:9" x14ac:dyDescent="0.25">
      <c r="A432" t="s">
        <v>378</v>
      </c>
      <c r="B432">
        <v>55</v>
      </c>
      <c r="C432">
        <v>3</v>
      </c>
      <c r="D432">
        <v>3</v>
      </c>
      <c r="E432" t="s">
        <v>899</v>
      </c>
      <c r="F432" t="s">
        <v>910</v>
      </c>
      <c r="G432" t="s">
        <v>891</v>
      </c>
      <c r="H432" s="3" t="str">
        <f>VLOOKUP(A432,'Orders Dataset'!$A:$D,4,FALSE)</f>
        <v>Bihar</v>
      </c>
      <c r="I432" s="5" t="str">
        <f>VLOOKUP(A432,'Orders Dataset'!$A:$E,5,FALSE)</f>
        <v>Patna</v>
      </c>
    </row>
    <row r="433" spans="1:9" x14ac:dyDescent="0.25">
      <c r="A433" t="s">
        <v>25</v>
      </c>
      <c r="B433">
        <v>294</v>
      </c>
      <c r="C433">
        <v>62</v>
      </c>
      <c r="D433">
        <v>9</v>
      </c>
      <c r="E433" t="s">
        <v>899</v>
      </c>
      <c r="F433" t="s">
        <v>910</v>
      </c>
      <c r="G433" t="s">
        <v>894</v>
      </c>
      <c r="H433" s="3" t="str">
        <f>VLOOKUP(A433,'Orders Dataset'!$A:$D,4,FALSE)</f>
        <v>Maharashtra</v>
      </c>
      <c r="I433" s="5" t="str">
        <f>VLOOKUP(A433,'Orders Dataset'!$A:$E,5,FALSE)</f>
        <v>Pune</v>
      </c>
    </row>
    <row r="434" spans="1:9" x14ac:dyDescent="0.25">
      <c r="A434" t="s">
        <v>552</v>
      </c>
      <c r="B434">
        <v>210</v>
      </c>
      <c r="C434">
        <v>62</v>
      </c>
      <c r="D434">
        <v>2</v>
      </c>
      <c r="E434" t="s">
        <v>889</v>
      </c>
      <c r="F434" t="s">
        <v>898</v>
      </c>
      <c r="G434" t="s">
        <v>891</v>
      </c>
      <c r="H434" s="3" t="str">
        <f>VLOOKUP(A434,'Orders Dataset'!$A:$D,4,FALSE)</f>
        <v>Punjab</v>
      </c>
      <c r="I434" s="5" t="str">
        <f>VLOOKUP(A434,'Orders Dataset'!$A:$E,5,FALSE)</f>
        <v>Amritsar</v>
      </c>
    </row>
    <row r="435" spans="1:9" x14ac:dyDescent="0.25">
      <c r="A435" t="s">
        <v>652</v>
      </c>
      <c r="B435">
        <v>59</v>
      </c>
      <c r="C435">
        <v>24</v>
      </c>
      <c r="D435">
        <v>6</v>
      </c>
      <c r="E435" t="s">
        <v>899</v>
      </c>
      <c r="F435" t="s">
        <v>904</v>
      </c>
      <c r="G435" t="s">
        <v>911</v>
      </c>
      <c r="H435" s="3" t="str">
        <f>VLOOKUP(A435,'Orders Dataset'!$A:$D,4,FALSE)</f>
        <v>Goa</v>
      </c>
      <c r="I435" s="5" t="str">
        <f>VLOOKUP(A435,'Orders Dataset'!$A:$E,5,FALSE)</f>
        <v>Goa</v>
      </c>
    </row>
    <row r="436" spans="1:9" x14ac:dyDescent="0.25">
      <c r="A436" t="s">
        <v>436</v>
      </c>
      <c r="B436">
        <v>396</v>
      </c>
      <c r="C436">
        <v>-31</v>
      </c>
      <c r="D436">
        <v>9</v>
      </c>
      <c r="E436" t="s">
        <v>899</v>
      </c>
      <c r="F436" t="s">
        <v>901</v>
      </c>
      <c r="G436" t="s">
        <v>891</v>
      </c>
      <c r="H436" s="3" t="str">
        <f>VLOOKUP(A436,'Orders Dataset'!$A:$D,4,FALSE)</f>
        <v>Madhya Pradesh</v>
      </c>
      <c r="I436" s="5" t="str">
        <f>VLOOKUP(A436,'Orders Dataset'!$A:$E,5,FALSE)</f>
        <v>Indore</v>
      </c>
    </row>
    <row r="437" spans="1:9" x14ac:dyDescent="0.25">
      <c r="A437" t="s">
        <v>358</v>
      </c>
      <c r="B437">
        <v>284</v>
      </c>
      <c r="C437">
        <v>45</v>
      </c>
      <c r="D437">
        <v>2</v>
      </c>
      <c r="E437" t="s">
        <v>892</v>
      </c>
      <c r="F437" t="s">
        <v>895</v>
      </c>
      <c r="G437" t="s">
        <v>894</v>
      </c>
      <c r="H437" s="3" t="str">
        <f>VLOOKUP(A437,'Orders Dataset'!$A:$D,4,FALSE)</f>
        <v>Madhya Pradesh</v>
      </c>
      <c r="I437" s="5" t="str">
        <f>VLOOKUP(A437,'Orders Dataset'!$A:$E,5,FALSE)</f>
        <v>Indore</v>
      </c>
    </row>
    <row r="438" spans="1:9" x14ac:dyDescent="0.25">
      <c r="A438" t="s">
        <v>518</v>
      </c>
      <c r="B438">
        <v>276</v>
      </c>
      <c r="C438">
        <v>52</v>
      </c>
      <c r="D438">
        <v>5</v>
      </c>
      <c r="E438" t="s">
        <v>899</v>
      </c>
      <c r="F438" t="s">
        <v>901</v>
      </c>
      <c r="G438" t="s">
        <v>894</v>
      </c>
      <c r="H438" s="3" t="str">
        <f>VLOOKUP(A438,'Orders Dataset'!$A:$D,4,FALSE)</f>
        <v>Delhi</v>
      </c>
      <c r="I438" s="5" t="str">
        <f>VLOOKUP(A438,'Orders Dataset'!$A:$E,5,FALSE)</f>
        <v>Delhi</v>
      </c>
    </row>
    <row r="439" spans="1:9" x14ac:dyDescent="0.25">
      <c r="A439" t="s">
        <v>448</v>
      </c>
      <c r="B439">
        <v>23</v>
      </c>
      <c r="C439">
        <v>2</v>
      </c>
      <c r="D439">
        <v>2</v>
      </c>
      <c r="E439" t="s">
        <v>899</v>
      </c>
      <c r="F439" t="s">
        <v>905</v>
      </c>
      <c r="G439" t="s">
        <v>902</v>
      </c>
      <c r="H439" s="3" t="str">
        <f>VLOOKUP(A439,'Orders Dataset'!$A:$D,4,FALSE)</f>
        <v>Nagaland</v>
      </c>
      <c r="I439" s="5" t="str">
        <f>VLOOKUP(A439,'Orders Dataset'!$A:$E,5,FALSE)</f>
        <v>Kohima</v>
      </c>
    </row>
    <row r="440" spans="1:9" x14ac:dyDescent="0.25">
      <c r="A440" t="s">
        <v>553</v>
      </c>
      <c r="B440">
        <v>209</v>
      </c>
      <c r="C440">
        <v>-63</v>
      </c>
      <c r="D440">
        <v>4</v>
      </c>
      <c r="E440" t="s">
        <v>889</v>
      </c>
      <c r="F440" t="s">
        <v>890</v>
      </c>
      <c r="G440" t="s">
        <v>891</v>
      </c>
      <c r="H440" s="3" t="str">
        <f>VLOOKUP(A440,'Orders Dataset'!$A:$D,4,FALSE)</f>
        <v>Kerala</v>
      </c>
      <c r="I440" s="5" t="str">
        <f>VLOOKUP(A440,'Orders Dataset'!$A:$E,5,FALSE)</f>
        <v>Thiruvananthapuram</v>
      </c>
    </row>
    <row r="441" spans="1:9" x14ac:dyDescent="0.25">
      <c r="A441" t="s">
        <v>800</v>
      </c>
      <c r="B441">
        <v>50</v>
      </c>
      <c r="C441">
        <v>-28</v>
      </c>
      <c r="D441">
        <v>5</v>
      </c>
      <c r="E441" t="s">
        <v>892</v>
      </c>
      <c r="F441" t="s">
        <v>912</v>
      </c>
      <c r="G441" t="s">
        <v>891</v>
      </c>
      <c r="H441" s="3" t="str">
        <f>VLOOKUP(A441,'Orders Dataset'!$A:$D,4,FALSE)</f>
        <v>Rajasthan</v>
      </c>
      <c r="I441" s="5" t="str">
        <f>VLOOKUP(A441,'Orders Dataset'!$A:$E,5,FALSE)</f>
        <v>Udaipur</v>
      </c>
    </row>
    <row r="442" spans="1:9" x14ac:dyDescent="0.25">
      <c r="A442" t="s">
        <v>781</v>
      </c>
      <c r="B442">
        <v>57</v>
      </c>
      <c r="C442">
        <v>27</v>
      </c>
      <c r="D442">
        <v>2</v>
      </c>
      <c r="E442" t="s">
        <v>899</v>
      </c>
      <c r="F442" t="s">
        <v>913</v>
      </c>
      <c r="G442" t="s">
        <v>891</v>
      </c>
      <c r="H442" s="3" t="str">
        <f>VLOOKUP(A442,'Orders Dataset'!$A:$D,4,FALSE)</f>
        <v>Maharashtra</v>
      </c>
      <c r="I442" s="5" t="str">
        <f>VLOOKUP(A442,'Orders Dataset'!$A:$E,5,FALSE)</f>
        <v>Mumbai</v>
      </c>
    </row>
    <row r="443" spans="1:9" x14ac:dyDescent="0.25">
      <c r="A443" t="s">
        <v>516</v>
      </c>
      <c r="B443">
        <v>276</v>
      </c>
      <c r="C443">
        <v>-21</v>
      </c>
      <c r="D443">
        <v>2</v>
      </c>
      <c r="E443" t="s">
        <v>889</v>
      </c>
      <c r="F443" t="s">
        <v>898</v>
      </c>
      <c r="G443" t="s">
        <v>894</v>
      </c>
      <c r="H443" s="3" t="str">
        <f>VLOOKUP(A443,'Orders Dataset'!$A:$D,4,FALSE)</f>
        <v>Sikkim</v>
      </c>
      <c r="I443" s="5" t="str">
        <f>VLOOKUP(A443,'Orders Dataset'!$A:$E,5,FALSE)</f>
        <v>Gangtok</v>
      </c>
    </row>
    <row r="444" spans="1:9" x14ac:dyDescent="0.25">
      <c r="A444" t="s">
        <v>77</v>
      </c>
      <c r="B444">
        <v>268</v>
      </c>
      <c r="C444">
        <v>6</v>
      </c>
      <c r="D444">
        <v>2</v>
      </c>
      <c r="E444" t="s">
        <v>892</v>
      </c>
      <c r="F444" t="s">
        <v>895</v>
      </c>
      <c r="G444" t="s">
        <v>902</v>
      </c>
      <c r="H444" s="3" t="str">
        <f>VLOOKUP(A444,'Orders Dataset'!$A:$D,4,FALSE)</f>
        <v>Maharashtra</v>
      </c>
      <c r="I444" s="5" t="str">
        <f>VLOOKUP(A444,'Orders Dataset'!$A:$E,5,FALSE)</f>
        <v>Mumbai</v>
      </c>
    </row>
    <row r="445" spans="1:9" x14ac:dyDescent="0.25">
      <c r="A445" t="s">
        <v>226</v>
      </c>
      <c r="B445">
        <v>269</v>
      </c>
      <c r="C445">
        <v>111</v>
      </c>
      <c r="D445">
        <v>3</v>
      </c>
      <c r="E445" t="s">
        <v>899</v>
      </c>
      <c r="F445" t="s">
        <v>900</v>
      </c>
      <c r="G445" t="s">
        <v>894</v>
      </c>
      <c r="H445" s="3" t="str">
        <f>VLOOKUP(A445,'Orders Dataset'!$A:$D,4,FALSE)</f>
        <v>Maharashtra</v>
      </c>
      <c r="I445" s="5" t="str">
        <f>VLOOKUP(A445,'Orders Dataset'!$A:$E,5,FALSE)</f>
        <v>Mumbai</v>
      </c>
    </row>
    <row r="446" spans="1:9" x14ac:dyDescent="0.25">
      <c r="A446" t="s">
        <v>181</v>
      </c>
      <c r="B446">
        <v>209</v>
      </c>
      <c r="C446">
        <v>2</v>
      </c>
      <c r="D446">
        <v>1</v>
      </c>
      <c r="E446" t="s">
        <v>899</v>
      </c>
      <c r="F446" t="s">
        <v>901</v>
      </c>
      <c r="G446" t="s">
        <v>891</v>
      </c>
      <c r="H446" s="3" t="str">
        <f>VLOOKUP(A446,'Orders Dataset'!$A:$D,4,FALSE)</f>
        <v>Madhya Pradesh</v>
      </c>
      <c r="I446" s="5" t="str">
        <f>VLOOKUP(A446,'Orders Dataset'!$A:$E,5,FALSE)</f>
        <v>Indore</v>
      </c>
    </row>
    <row r="447" spans="1:9" x14ac:dyDescent="0.25">
      <c r="A447" t="s">
        <v>124</v>
      </c>
      <c r="B447">
        <v>60</v>
      </c>
      <c r="C447">
        <v>-12</v>
      </c>
      <c r="D447">
        <v>4</v>
      </c>
      <c r="E447" t="s">
        <v>899</v>
      </c>
      <c r="F447" t="s">
        <v>903</v>
      </c>
      <c r="G447" t="s">
        <v>911</v>
      </c>
      <c r="H447" s="3" t="str">
        <f>VLOOKUP(A447,'Orders Dataset'!$A:$D,4,FALSE)</f>
        <v>Madhya Pradesh</v>
      </c>
      <c r="I447" s="5" t="str">
        <f>VLOOKUP(A447,'Orders Dataset'!$A:$E,5,FALSE)</f>
        <v>Indore</v>
      </c>
    </row>
    <row r="448" spans="1:9" x14ac:dyDescent="0.25">
      <c r="A448" t="s">
        <v>416</v>
      </c>
      <c r="B448">
        <v>269</v>
      </c>
      <c r="C448">
        <v>-86</v>
      </c>
      <c r="D448">
        <v>2</v>
      </c>
      <c r="E448" t="s">
        <v>889</v>
      </c>
      <c r="F448" t="s">
        <v>890</v>
      </c>
      <c r="G448" t="s">
        <v>894</v>
      </c>
      <c r="H448" s="3" t="str">
        <f>VLOOKUP(A448,'Orders Dataset'!$A:$D,4,FALSE)</f>
        <v>Maharashtra</v>
      </c>
      <c r="I448" s="5" t="str">
        <f>VLOOKUP(A448,'Orders Dataset'!$A:$E,5,FALSE)</f>
        <v>Mumbai</v>
      </c>
    </row>
    <row r="449" spans="1:9" x14ac:dyDescent="0.25">
      <c r="A449" t="s">
        <v>369</v>
      </c>
      <c r="B449">
        <v>208</v>
      </c>
      <c r="C449">
        <v>-25</v>
      </c>
      <c r="D449">
        <v>2</v>
      </c>
      <c r="E449" t="s">
        <v>899</v>
      </c>
      <c r="F449" t="s">
        <v>901</v>
      </c>
      <c r="G449" t="s">
        <v>891</v>
      </c>
      <c r="H449" s="3" t="str">
        <f>VLOOKUP(A449,'Orders Dataset'!$A:$D,4,FALSE)</f>
        <v>Madhya Pradesh</v>
      </c>
      <c r="I449" s="5" t="str">
        <f>VLOOKUP(A449,'Orders Dataset'!$A:$E,5,FALSE)</f>
        <v>Indore</v>
      </c>
    </row>
    <row r="450" spans="1:9" x14ac:dyDescent="0.25">
      <c r="A450" t="s">
        <v>614</v>
      </c>
      <c r="B450">
        <v>27</v>
      </c>
      <c r="C450">
        <v>2</v>
      </c>
      <c r="D450">
        <v>2</v>
      </c>
      <c r="E450" t="s">
        <v>899</v>
      </c>
      <c r="F450" t="s">
        <v>908</v>
      </c>
      <c r="G450" t="s">
        <v>902</v>
      </c>
      <c r="H450" s="3" t="str">
        <f>VLOOKUP(A450,'Orders Dataset'!$A:$D,4,FALSE)</f>
        <v>Gujarat</v>
      </c>
      <c r="I450" s="5" t="str">
        <f>VLOOKUP(A450,'Orders Dataset'!$A:$E,5,FALSE)</f>
        <v>Ahmedabad</v>
      </c>
    </row>
    <row r="451" spans="1:9" x14ac:dyDescent="0.25">
      <c r="A451" t="s">
        <v>555</v>
      </c>
      <c r="B451">
        <v>206</v>
      </c>
      <c r="C451">
        <v>-206</v>
      </c>
      <c r="D451">
        <v>3</v>
      </c>
      <c r="E451" t="s">
        <v>899</v>
      </c>
      <c r="F451" t="s">
        <v>901</v>
      </c>
      <c r="G451" t="s">
        <v>891</v>
      </c>
      <c r="H451" s="3" t="str">
        <f>VLOOKUP(A451,'Orders Dataset'!$A:$D,4,FALSE)</f>
        <v>Goa</v>
      </c>
      <c r="I451" s="5" t="str">
        <f>VLOOKUP(A451,'Orders Dataset'!$A:$E,5,FALSE)</f>
        <v>Goa</v>
      </c>
    </row>
    <row r="452" spans="1:9" x14ac:dyDescent="0.25">
      <c r="A452" t="s">
        <v>484</v>
      </c>
      <c r="B452">
        <v>61</v>
      </c>
      <c r="C452">
        <v>8</v>
      </c>
      <c r="D452">
        <v>4</v>
      </c>
      <c r="E452" t="s">
        <v>899</v>
      </c>
      <c r="F452" t="s">
        <v>903</v>
      </c>
      <c r="G452" t="s">
        <v>911</v>
      </c>
      <c r="H452" s="3" t="str">
        <f>VLOOKUP(A452,'Orders Dataset'!$A:$D,4,FALSE)</f>
        <v>Tamil Nadu</v>
      </c>
      <c r="I452" s="5" t="str">
        <f>VLOOKUP(A452,'Orders Dataset'!$A:$E,5,FALSE)</f>
        <v>Chennai</v>
      </c>
    </row>
    <row r="453" spans="1:9" x14ac:dyDescent="0.25">
      <c r="A453" t="s">
        <v>369</v>
      </c>
      <c r="B453">
        <v>212</v>
      </c>
      <c r="C453">
        <v>-24</v>
      </c>
      <c r="D453">
        <v>2</v>
      </c>
      <c r="E453" t="s">
        <v>892</v>
      </c>
      <c r="F453" t="s">
        <v>893</v>
      </c>
      <c r="G453" t="s">
        <v>891</v>
      </c>
      <c r="H453" s="3" t="str">
        <f>VLOOKUP(A453,'Orders Dataset'!$A:$D,4,FALSE)</f>
        <v>Madhya Pradesh</v>
      </c>
      <c r="I453" s="5" t="str">
        <f>VLOOKUP(A453,'Orders Dataset'!$A:$E,5,FALSE)</f>
        <v>Indore</v>
      </c>
    </row>
    <row r="454" spans="1:9" x14ac:dyDescent="0.25">
      <c r="A454" t="s">
        <v>503</v>
      </c>
      <c r="B454">
        <v>262</v>
      </c>
      <c r="C454">
        <v>64</v>
      </c>
      <c r="D454">
        <v>6</v>
      </c>
      <c r="E454" t="s">
        <v>899</v>
      </c>
      <c r="F454" t="s">
        <v>901</v>
      </c>
      <c r="G454" t="s">
        <v>894</v>
      </c>
      <c r="H454" s="3" t="str">
        <f>VLOOKUP(A454,'Orders Dataset'!$A:$D,4,FALSE)</f>
        <v>Karnataka</v>
      </c>
      <c r="I454" s="5" t="str">
        <f>VLOOKUP(A454,'Orders Dataset'!$A:$E,5,FALSE)</f>
        <v>Bangalore</v>
      </c>
    </row>
    <row r="455" spans="1:9" x14ac:dyDescent="0.25">
      <c r="A455" t="s">
        <v>297</v>
      </c>
      <c r="B455">
        <v>204</v>
      </c>
      <c r="C455">
        <v>276</v>
      </c>
      <c r="D455">
        <v>3</v>
      </c>
      <c r="E455" t="s">
        <v>892</v>
      </c>
      <c r="F455" t="s">
        <v>895</v>
      </c>
      <c r="G455" t="s">
        <v>891</v>
      </c>
      <c r="H455" s="3" t="str">
        <f>VLOOKUP(A455,'Orders Dataset'!$A:$D,4,FALSE)</f>
        <v>Maharashtra</v>
      </c>
      <c r="I455" s="5" t="str">
        <f>VLOOKUP(A455,'Orders Dataset'!$A:$E,5,FALSE)</f>
        <v>Mumbai</v>
      </c>
    </row>
    <row r="456" spans="1:9" x14ac:dyDescent="0.25">
      <c r="A456" t="s">
        <v>200</v>
      </c>
      <c r="B456">
        <v>59</v>
      </c>
      <c r="C456">
        <v>-46</v>
      </c>
      <c r="D456">
        <v>7</v>
      </c>
      <c r="E456" t="s">
        <v>899</v>
      </c>
      <c r="F456" t="s">
        <v>910</v>
      </c>
      <c r="G456" t="s">
        <v>902</v>
      </c>
      <c r="H456" s="3" t="str">
        <f>VLOOKUP(A456,'Orders Dataset'!$A:$D,4,FALSE)</f>
        <v>Madhya Pradesh</v>
      </c>
      <c r="I456" s="5" t="str">
        <f>VLOOKUP(A456,'Orders Dataset'!$A:$E,5,FALSE)</f>
        <v>Indore</v>
      </c>
    </row>
    <row r="457" spans="1:9" x14ac:dyDescent="0.25">
      <c r="A457" t="s">
        <v>369</v>
      </c>
      <c r="B457">
        <v>199</v>
      </c>
      <c r="C457">
        <v>-18</v>
      </c>
      <c r="D457">
        <v>2</v>
      </c>
      <c r="E457" t="s">
        <v>899</v>
      </c>
      <c r="F457" t="s">
        <v>901</v>
      </c>
      <c r="G457" t="s">
        <v>891</v>
      </c>
      <c r="H457" s="3" t="str">
        <f>VLOOKUP(A457,'Orders Dataset'!$A:$D,4,FALSE)</f>
        <v>Madhya Pradesh</v>
      </c>
      <c r="I457" s="5" t="str">
        <f>VLOOKUP(A457,'Orders Dataset'!$A:$E,5,FALSE)</f>
        <v>Indore</v>
      </c>
    </row>
    <row r="458" spans="1:9" x14ac:dyDescent="0.25">
      <c r="A458" t="s">
        <v>50</v>
      </c>
      <c r="B458">
        <v>59</v>
      </c>
      <c r="C458">
        <v>6</v>
      </c>
      <c r="D458">
        <v>1</v>
      </c>
      <c r="E458" t="s">
        <v>889</v>
      </c>
      <c r="F458" t="s">
        <v>909</v>
      </c>
      <c r="G458" t="s">
        <v>902</v>
      </c>
      <c r="H458" s="3" t="str">
        <f>VLOOKUP(A458,'Orders Dataset'!$A:$D,4,FALSE)</f>
        <v>Maharashtra</v>
      </c>
      <c r="I458" s="5" t="str">
        <f>VLOOKUP(A458,'Orders Dataset'!$A:$E,5,FALSE)</f>
        <v>Mumbai</v>
      </c>
    </row>
    <row r="459" spans="1:9" x14ac:dyDescent="0.25">
      <c r="A459" t="s">
        <v>415</v>
      </c>
      <c r="B459">
        <v>45</v>
      </c>
      <c r="C459">
        <v>9</v>
      </c>
      <c r="D459">
        <v>3</v>
      </c>
      <c r="E459" t="s">
        <v>899</v>
      </c>
      <c r="F459" t="s">
        <v>908</v>
      </c>
      <c r="G459" t="s">
        <v>902</v>
      </c>
      <c r="H459" s="3" t="str">
        <f>VLOOKUP(A459,'Orders Dataset'!$A:$D,4,FALSE)</f>
        <v>West Bengal</v>
      </c>
      <c r="I459" s="5" t="str">
        <f>VLOOKUP(A459,'Orders Dataset'!$A:$E,5,FALSE)</f>
        <v>Kolkata</v>
      </c>
    </row>
    <row r="460" spans="1:9" x14ac:dyDescent="0.25">
      <c r="A460" t="s">
        <v>18</v>
      </c>
      <c r="B460">
        <v>211</v>
      </c>
      <c r="C460">
        <v>19</v>
      </c>
      <c r="D460">
        <v>8</v>
      </c>
      <c r="E460" t="s">
        <v>899</v>
      </c>
      <c r="F460" t="s">
        <v>907</v>
      </c>
      <c r="G460" t="s">
        <v>891</v>
      </c>
      <c r="H460" s="3" t="str">
        <f>VLOOKUP(A460,'Orders Dataset'!$A:$D,4,FALSE)</f>
        <v>Madhya Pradesh</v>
      </c>
      <c r="I460" s="5" t="str">
        <f>VLOOKUP(A460,'Orders Dataset'!$A:$E,5,FALSE)</f>
        <v>Indore</v>
      </c>
    </row>
    <row r="461" spans="1:9" x14ac:dyDescent="0.25">
      <c r="A461" t="s">
        <v>381</v>
      </c>
      <c r="B461">
        <v>65</v>
      </c>
      <c r="C461">
        <v>-16</v>
      </c>
      <c r="D461">
        <v>2</v>
      </c>
      <c r="E461" t="s">
        <v>889</v>
      </c>
      <c r="F461" t="s">
        <v>898</v>
      </c>
      <c r="G461" t="s">
        <v>911</v>
      </c>
      <c r="H461" s="3" t="str">
        <f>VLOOKUP(A461,'Orders Dataset'!$A:$D,4,FALSE)</f>
        <v>Tamil Nadu</v>
      </c>
      <c r="I461" s="5" t="str">
        <f>VLOOKUP(A461,'Orders Dataset'!$A:$E,5,FALSE)</f>
        <v>Chennai</v>
      </c>
    </row>
    <row r="462" spans="1:9" x14ac:dyDescent="0.25">
      <c r="A462" t="s">
        <v>343</v>
      </c>
      <c r="B462">
        <v>25</v>
      </c>
      <c r="C462">
        <v>0</v>
      </c>
      <c r="D462">
        <v>4</v>
      </c>
      <c r="E462" t="s">
        <v>899</v>
      </c>
      <c r="F462" t="s">
        <v>905</v>
      </c>
      <c r="G462" t="s">
        <v>902</v>
      </c>
      <c r="H462" s="3" t="str">
        <f>VLOOKUP(A462,'Orders Dataset'!$A:$D,4,FALSE)</f>
        <v>Maharashtra</v>
      </c>
      <c r="I462" s="5" t="str">
        <f>VLOOKUP(A462,'Orders Dataset'!$A:$E,5,FALSE)</f>
        <v>Pune</v>
      </c>
    </row>
    <row r="463" spans="1:9" x14ac:dyDescent="0.25">
      <c r="A463" t="s">
        <v>564</v>
      </c>
      <c r="B463">
        <v>196</v>
      </c>
      <c r="C463">
        <v>-7</v>
      </c>
      <c r="D463">
        <v>5</v>
      </c>
      <c r="E463" t="s">
        <v>889</v>
      </c>
      <c r="F463" t="s">
        <v>898</v>
      </c>
      <c r="G463" t="s">
        <v>891</v>
      </c>
      <c r="H463" s="3" t="str">
        <f>VLOOKUP(A463,'Orders Dataset'!$A:$D,4,FALSE)</f>
        <v>Delhi</v>
      </c>
      <c r="I463" s="5" t="str">
        <f>VLOOKUP(A463,'Orders Dataset'!$A:$E,5,FALSE)</f>
        <v>Delhi</v>
      </c>
    </row>
    <row r="464" spans="1:9" x14ac:dyDescent="0.25">
      <c r="A464" t="s">
        <v>93</v>
      </c>
      <c r="B464">
        <v>261</v>
      </c>
      <c r="C464">
        <v>13</v>
      </c>
      <c r="D464">
        <v>6</v>
      </c>
      <c r="E464" t="s">
        <v>899</v>
      </c>
      <c r="F464" t="s">
        <v>913</v>
      </c>
      <c r="G464" t="s">
        <v>897</v>
      </c>
      <c r="H464" s="3" t="str">
        <f>VLOOKUP(A464,'Orders Dataset'!$A:$D,4,FALSE)</f>
        <v>Madhya Pradesh</v>
      </c>
      <c r="I464" s="5" t="str">
        <f>VLOOKUP(A464,'Orders Dataset'!$A:$E,5,FALSE)</f>
        <v>Indore</v>
      </c>
    </row>
    <row r="465" spans="1:9" x14ac:dyDescent="0.25">
      <c r="A465" t="s">
        <v>142</v>
      </c>
      <c r="B465">
        <v>195</v>
      </c>
      <c r="C465">
        <v>-117</v>
      </c>
      <c r="D465">
        <v>5</v>
      </c>
      <c r="E465" t="s">
        <v>889</v>
      </c>
      <c r="F465" t="s">
        <v>898</v>
      </c>
      <c r="G465" t="s">
        <v>891</v>
      </c>
      <c r="H465" s="3" t="str">
        <f>VLOOKUP(A465,'Orders Dataset'!$A:$D,4,FALSE)</f>
        <v>Nagaland</v>
      </c>
      <c r="I465" s="5" t="str">
        <f>VLOOKUP(A465,'Orders Dataset'!$A:$E,5,FALSE)</f>
        <v>Kohima</v>
      </c>
    </row>
    <row r="466" spans="1:9" x14ac:dyDescent="0.25">
      <c r="A466" t="s">
        <v>349</v>
      </c>
      <c r="B466">
        <v>192</v>
      </c>
      <c r="C466">
        <v>-146</v>
      </c>
      <c r="D466">
        <v>3</v>
      </c>
      <c r="E466" t="s">
        <v>899</v>
      </c>
      <c r="F466" t="s">
        <v>901</v>
      </c>
      <c r="G466" t="s">
        <v>891</v>
      </c>
      <c r="H466" s="3" t="str">
        <f>VLOOKUP(A466,'Orders Dataset'!$A:$D,4,FALSE)</f>
        <v>West Bengal</v>
      </c>
      <c r="I466" s="5" t="str">
        <f>VLOOKUP(A466,'Orders Dataset'!$A:$E,5,FALSE)</f>
        <v>Kolkata</v>
      </c>
    </row>
    <row r="467" spans="1:9" x14ac:dyDescent="0.25">
      <c r="A467" t="s">
        <v>575</v>
      </c>
      <c r="B467">
        <v>189</v>
      </c>
      <c r="C467">
        <v>87</v>
      </c>
      <c r="D467">
        <v>7</v>
      </c>
      <c r="E467" t="s">
        <v>899</v>
      </c>
      <c r="F467" t="s">
        <v>907</v>
      </c>
      <c r="G467" t="s">
        <v>891</v>
      </c>
      <c r="H467" s="3" t="str">
        <f>VLOOKUP(A467,'Orders Dataset'!$A:$D,4,FALSE)</f>
        <v>Kerala</v>
      </c>
      <c r="I467" s="5" t="str">
        <f>VLOOKUP(A467,'Orders Dataset'!$A:$E,5,FALSE)</f>
        <v>Thiruvananthapuram</v>
      </c>
    </row>
    <row r="468" spans="1:9" x14ac:dyDescent="0.25">
      <c r="A468" t="s">
        <v>311</v>
      </c>
      <c r="B468">
        <v>32</v>
      </c>
      <c r="C468">
        <v>2</v>
      </c>
      <c r="D468">
        <v>2</v>
      </c>
      <c r="E468" t="s">
        <v>899</v>
      </c>
      <c r="F468" t="s">
        <v>904</v>
      </c>
      <c r="G468" t="s">
        <v>902</v>
      </c>
      <c r="H468" s="3" t="str">
        <f>VLOOKUP(A468,'Orders Dataset'!$A:$D,4,FALSE)</f>
        <v>Madhya Pradesh</v>
      </c>
      <c r="I468" s="5" t="str">
        <f>VLOOKUP(A468,'Orders Dataset'!$A:$E,5,FALSE)</f>
        <v>Indore</v>
      </c>
    </row>
    <row r="469" spans="1:9" x14ac:dyDescent="0.25">
      <c r="A469" t="s">
        <v>577</v>
      </c>
      <c r="B469">
        <v>188</v>
      </c>
      <c r="C469">
        <v>13</v>
      </c>
      <c r="D469">
        <v>7</v>
      </c>
      <c r="E469" t="s">
        <v>899</v>
      </c>
      <c r="F469" t="s">
        <v>913</v>
      </c>
      <c r="G469" t="s">
        <v>891</v>
      </c>
      <c r="H469" s="3" t="str">
        <f>VLOOKUP(A469,'Orders Dataset'!$A:$D,4,FALSE)</f>
        <v>Madhya Pradesh</v>
      </c>
      <c r="I469" s="5" t="str">
        <f>VLOOKUP(A469,'Orders Dataset'!$A:$E,5,FALSE)</f>
        <v>Indore</v>
      </c>
    </row>
    <row r="470" spans="1:9" x14ac:dyDescent="0.25">
      <c r="A470" t="s">
        <v>759</v>
      </c>
      <c r="B470">
        <v>73</v>
      </c>
      <c r="C470">
        <v>-25</v>
      </c>
      <c r="D470">
        <v>3</v>
      </c>
      <c r="E470" t="s">
        <v>899</v>
      </c>
      <c r="F470" t="s">
        <v>901</v>
      </c>
      <c r="G470" t="s">
        <v>891</v>
      </c>
      <c r="H470" s="3" t="str">
        <f>VLOOKUP(A470,'Orders Dataset'!$A:$D,4,FALSE)</f>
        <v>Madhya Pradesh</v>
      </c>
      <c r="I470" s="5" t="str">
        <f>VLOOKUP(A470,'Orders Dataset'!$A:$E,5,FALSE)</f>
        <v>Indore</v>
      </c>
    </row>
    <row r="471" spans="1:9" x14ac:dyDescent="0.25">
      <c r="A471" t="s">
        <v>91</v>
      </c>
      <c r="B471">
        <v>259</v>
      </c>
      <c r="C471">
        <v>47</v>
      </c>
      <c r="D471">
        <v>5</v>
      </c>
      <c r="E471" t="s">
        <v>899</v>
      </c>
      <c r="F471" t="s">
        <v>903</v>
      </c>
      <c r="G471" t="s">
        <v>897</v>
      </c>
      <c r="H471" s="3" t="str">
        <f>VLOOKUP(A471,'Orders Dataset'!$A:$D,4,FALSE)</f>
        <v>Delhi</v>
      </c>
      <c r="I471" s="5" t="str">
        <f>VLOOKUP(A471,'Orders Dataset'!$A:$E,5,FALSE)</f>
        <v>Delhi</v>
      </c>
    </row>
    <row r="472" spans="1:9" x14ac:dyDescent="0.25">
      <c r="A472" t="s">
        <v>579</v>
      </c>
      <c r="B472">
        <v>187</v>
      </c>
      <c r="C472">
        <v>-15</v>
      </c>
      <c r="D472">
        <v>3</v>
      </c>
      <c r="E472" t="s">
        <v>899</v>
      </c>
      <c r="F472" t="s">
        <v>900</v>
      </c>
      <c r="G472" t="s">
        <v>891</v>
      </c>
      <c r="H472" s="3" t="str">
        <f>VLOOKUP(A472,'Orders Dataset'!$A:$D,4,FALSE)</f>
        <v>Madhya Pradesh</v>
      </c>
      <c r="I472" s="5" t="str">
        <f>VLOOKUP(A472,'Orders Dataset'!$A:$E,5,FALSE)</f>
        <v>Indore</v>
      </c>
    </row>
    <row r="473" spans="1:9" x14ac:dyDescent="0.25">
      <c r="A473" t="s">
        <v>52</v>
      </c>
      <c r="B473">
        <v>26</v>
      </c>
      <c r="C473">
        <v>11</v>
      </c>
      <c r="D473">
        <v>2</v>
      </c>
      <c r="E473" t="s">
        <v>899</v>
      </c>
      <c r="F473" t="s">
        <v>903</v>
      </c>
      <c r="G473" t="s">
        <v>902</v>
      </c>
      <c r="H473" s="3" t="str">
        <f>VLOOKUP(A473,'Orders Dataset'!$A:$D,4,FALSE)</f>
        <v>Gujarat</v>
      </c>
      <c r="I473" s="5" t="str">
        <f>VLOOKUP(A473,'Orders Dataset'!$A:$E,5,FALSE)</f>
        <v>Ahmedabad</v>
      </c>
    </row>
    <row r="474" spans="1:9" x14ac:dyDescent="0.25">
      <c r="A474" t="s">
        <v>315</v>
      </c>
      <c r="B474">
        <v>185</v>
      </c>
      <c r="C474">
        <v>-26</v>
      </c>
      <c r="D474">
        <v>6</v>
      </c>
      <c r="E474" t="s">
        <v>892</v>
      </c>
      <c r="F474" t="s">
        <v>893</v>
      </c>
      <c r="G474" t="s">
        <v>891</v>
      </c>
      <c r="H474" s="3" t="str">
        <f>VLOOKUP(A474,'Orders Dataset'!$A:$D,4,FALSE)</f>
        <v>Karnataka</v>
      </c>
      <c r="I474" s="5" t="str">
        <f>VLOOKUP(A474,'Orders Dataset'!$A:$E,5,FALSE)</f>
        <v>Bangalore</v>
      </c>
    </row>
    <row r="475" spans="1:9" x14ac:dyDescent="0.25">
      <c r="A475" t="s">
        <v>531</v>
      </c>
      <c r="B475">
        <v>248</v>
      </c>
      <c r="C475">
        <v>8</v>
      </c>
      <c r="D475">
        <v>2</v>
      </c>
      <c r="E475" t="s">
        <v>899</v>
      </c>
      <c r="F475" t="s">
        <v>901</v>
      </c>
      <c r="G475" t="s">
        <v>897</v>
      </c>
      <c r="H475" s="3" t="str">
        <f>VLOOKUP(A475,'Orders Dataset'!$A:$D,4,FALSE)</f>
        <v>Uttar Pradesh</v>
      </c>
      <c r="I475" s="5" t="str">
        <f>VLOOKUP(A475,'Orders Dataset'!$A:$E,5,FALSE)</f>
        <v>Prayagraj</v>
      </c>
    </row>
    <row r="476" spans="1:9" x14ac:dyDescent="0.25">
      <c r="A476" t="s">
        <v>767</v>
      </c>
      <c r="B476">
        <v>67</v>
      </c>
      <c r="C476">
        <v>9</v>
      </c>
      <c r="D476">
        <v>4</v>
      </c>
      <c r="E476" t="s">
        <v>899</v>
      </c>
      <c r="F476" t="s">
        <v>908</v>
      </c>
      <c r="G476" t="s">
        <v>911</v>
      </c>
      <c r="H476" s="3" t="str">
        <f>VLOOKUP(A476,'Orders Dataset'!$A:$D,4,FALSE)</f>
        <v>Madhya Pradesh</v>
      </c>
      <c r="I476" s="5" t="str">
        <f>VLOOKUP(A476,'Orders Dataset'!$A:$E,5,FALSE)</f>
        <v>Bhopal</v>
      </c>
    </row>
    <row r="477" spans="1:9" x14ac:dyDescent="0.25">
      <c r="A477" t="s">
        <v>530</v>
      </c>
      <c r="B477">
        <v>248</v>
      </c>
      <c r="C477">
        <v>-70</v>
      </c>
      <c r="D477">
        <v>3</v>
      </c>
      <c r="E477" t="s">
        <v>892</v>
      </c>
      <c r="F477" t="s">
        <v>893</v>
      </c>
      <c r="G477" t="s">
        <v>897</v>
      </c>
      <c r="H477" s="3" t="str">
        <f>VLOOKUP(A477,'Orders Dataset'!$A:$D,4,FALSE)</f>
        <v>Kerala</v>
      </c>
      <c r="I477" s="5" t="str">
        <f>VLOOKUP(A477,'Orders Dataset'!$A:$E,5,FALSE)</f>
        <v>Thiruvananthapuram</v>
      </c>
    </row>
    <row r="478" spans="1:9" x14ac:dyDescent="0.25">
      <c r="A478" t="s">
        <v>503</v>
      </c>
      <c r="B478">
        <v>246</v>
      </c>
      <c r="C478">
        <v>61</v>
      </c>
      <c r="D478">
        <v>2</v>
      </c>
      <c r="E478" t="s">
        <v>892</v>
      </c>
      <c r="F478" t="s">
        <v>895</v>
      </c>
      <c r="G478" t="s">
        <v>897</v>
      </c>
      <c r="H478" s="3" t="str">
        <f>VLOOKUP(A478,'Orders Dataset'!$A:$D,4,FALSE)</f>
        <v>Karnataka</v>
      </c>
      <c r="I478" s="5" t="str">
        <f>VLOOKUP(A478,'Orders Dataset'!$A:$E,5,FALSE)</f>
        <v>Bangalore</v>
      </c>
    </row>
    <row r="479" spans="1:9" x14ac:dyDescent="0.25">
      <c r="A479" t="s">
        <v>582</v>
      </c>
      <c r="B479">
        <v>179</v>
      </c>
      <c r="C479">
        <v>-25</v>
      </c>
      <c r="D479">
        <v>5</v>
      </c>
      <c r="E479" t="s">
        <v>899</v>
      </c>
      <c r="F479" t="s">
        <v>904</v>
      </c>
      <c r="G479" t="s">
        <v>891</v>
      </c>
      <c r="H479" s="3" t="str">
        <f>VLOOKUP(A479,'Orders Dataset'!$A:$D,4,FALSE)</f>
        <v>Delhi</v>
      </c>
      <c r="I479" s="5" t="str">
        <f>VLOOKUP(A479,'Orders Dataset'!$A:$E,5,FALSE)</f>
        <v>Delhi</v>
      </c>
    </row>
    <row r="480" spans="1:9" x14ac:dyDescent="0.25">
      <c r="A480" t="s">
        <v>587</v>
      </c>
      <c r="B480">
        <v>176</v>
      </c>
      <c r="C480">
        <v>-28</v>
      </c>
      <c r="D480">
        <v>5</v>
      </c>
      <c r="E480" t="s">
        <v>892</v>
      </c>
      <c r="F480" t="s">
        <v>912</v>
      </c>
      <c r="G480" t="s">
        <v>891</v>
      </c>
      <c r="H480" s="3" t="str">
        <f>VLOOKUP(A480,'Orders Dataset'!$A:$D,4,FALSE)</f>
        <v>Haryana</v>
      </c>
      <c r="I480" s="5" t="str">
        <f>VLOOKUP(A480,'Orders Dataset'!$A:$E,5,FALSE)</f>
        <v>Chandigarh</v>
      </c>
    </row>
    <row r="481" spans="1:9" x14ac:dyDescent="0.25">
      <c r="A481" t="s">
        <v>378</v>
      </c>
      <c r="B481">
        <v>176</v>
      </c>
      <c r="C481">
        <v>-13</v>
      </c>
      <c r="D481">
        <v>5</v>
      </c>
      <c r="E481" t="s">
        <v>892</v>
      </c>
      <c r="F481" t="s">
        <v>912</v>
      </c>
      <c r="G481" t="s">
        <v>891</v>
      </c>
      <c r="H481" s="3" t="str">
        <f>VLOOKUP(A481,'Orders Dataset'!$A:$D,4,FALSE)</f>
        <v>Bihar</v>
      </c>
      <c r="I481" s="5" t="str">
        <f>VLOOKUP(A481,'Orders Dataset'!$A:$E,5,FALSE)</f>
        <v>Patna</v>
      </c>
    </row>
    <row r="482" spans="1:9" x14ac:dyDescent="0.25">
      <c r="A482" t="s">
        <v>491</v>
      </c>
      <c r="B482">
        <v>68</v>
      </c>
      <c r="C482">
        <v>-62</v>
      </c>
      <c r="D482">
        <v>2</v>
      </c>
      <c r="E482" t="s">
        <v>899</v>
      </c>
      <c r="F482" t="s">
        <v>900</v>
      </c>
      <c r="G482" t="s">
        <v>911</v>
      </c>
      <c r="H482" s="3" t="str">
        <f>VLOOKUP(A482,'Orders Dataset'!$A:$D,4,FALSE)</f>
        <v>Rajasthan</v>
      </c>
      <c r="I482" s="5" t="str">
        <f>VLOOKUP(A482,'Orders Dataset'!$A:$E,5,FALSE)</f>
        <v>Jaipur</v>
      </c>
    </row>
    <row r="483" spans="1:9" x14ac:dyDescent="0.25">
      <c r="A483" t="s">
        <v>586</v>
      </c>
      <c r="B483">
        <v>176</v>
      </c>
      <c r="C483">
        <v>37</v>
      </c>
      <c r="D483">
        <v>6</v>
      </c>
      <c r="E483" t="s">
        <v>889</v>
      </c>
      <c r="F483" t="s">
        <v>909</v>
      </c>
      <c r="G483" t="s">
        <v>891</v>
      </c>
      <c r="H483" s="3" t="str">
        <f>VLOOKUP(A483,'Orders Dataset'!$A:$D,4,FALSE)</f>
        <v>Himachal Pradesh</v>
      </c>
      <c r="I483" s="5" t="str">
        <f>VLOOKUP(A483,'Orders Dataset'!$A:$E,5,FALSE)</f>
        <v>Simla</v>
      </c>
    </row>
    <row r="484" spans="1:9" x14ac:dyDescent="0.25">
      <c r="A484" t="s">
        <v>501</v>
      </c>
      <c r="B484">
        <v>88</v>
      </c>
      <c r="C484">
        <v>11</v>
      </c>
      <c r="D484">
        <v>7</v>
      </c>
      <c r="E484" t="s">
        <v>899</v>
      </c>
      <c r="F484" t="s">
        <v>903</v>
      </c>
      <c r="G484" t="s">
        <v>902</v>
      </c>
      <c r="H484" s="3" t="str">
        <f>VLOOKUP(A484,'Orders Dataset'!$A:$D,4,FALSE)</f>
        <v>Delhi</v>
      </c>
      <c r="I484" s="5" t="str">
        <f>VLOOKUP(A484,'Orders Dataset'!$A:$E,5,FALSE)</f>
        <v>Delhi</v>
      </c>
    </row>
    <row r="485" spans="1:9" x14ac:dyDescent="0.25">
      <c r="A485" t="s">
        <v>766</v>
      </c>
      <c r="B485">
        <v>68</v>
      </c>
      <c r="C485">
        <v>20</v>
      </c>
      <c r="D485">
        <v>5</v>
      </c>
      <c r="E485" t="s">
        <v>899</v>
      </c>
      <c r="F485" t="s">
        <v>903</v>
      </c>
      <c r="G485" t="s">
        <v>911</v>
      </c>
      <c r="H485" s="3" t="str">
        <f>VLOOKUP(A485,'Orders Dataset'!$A:$D,4,FALSE)</f>
        <v>Sikkim</v>
      </c>
      <c r="I485" s="5" t="str">
        <f>VLOOKUP(A485,'Orders Dataset'!$A:$E,5,FALSE)</f>
        <v>Gangtok</v>
      </c>
    </row>
    <row r="486" spans="1:9" x14ac:dyDescent="0.25">
      <c r="A486" t="s">
        <v>44</v>
      </c>
      <c r="B486">
        <v>231</v>
      </c>
      <c r="C486">
        <v>99</v>
      </c>
      <c r="D486">
        <v>2</v>
      </c>
      <c r="E486" t="s">
        <v>889</v>
      </c>
      <c r="F486" t="s">
        <v>890</v>
      </c>
      <c r="G486" t="s">
        <v>897</v>
      </c>
      <c r="H486" s="3" t="str">
        <f>VLOOKUP(A486,'Orders Dataset'!$A:$D,4,FALSE)</f>
        <v>Maharashtra</v>
      </c>
      <c r="I486" s="5" t="str">
        <f>VLOOKUP(A486,'Orders Dataset'!$A:$E,5,FALSE)</f>
        <v>Pune</v>
      </c>
    </row>
    <row r="487" spans="1:9" x14ac:dyDescent="0.25">
      <c r="A487" t="s">
        <v>248</v>
      </c>
      <c r="B487">
        <v>62</v>
      </c>
      <c r="C487">
        <v>8</v>
      </c>
      <c r="D487">
        <v>2</v>
      </c>
      <c r="E487" t="s">
        <v>899</v>
      </c>
      <c r="F487" t="s">
        <v>910</v>
      </c>
      <c r="G487" t="s">
        <v>902</v>
      </c>
      <c r="H487" s="3" t="str">
        <f>VLOOKUP(A487,'Orders Dataset'!$A:$D,4,FALSE)</f>
        <v>Delhi</v>
      </c>
      <c r="I487" s="5" t="str">
        <f>VLOOKUP(A487,'Orders Dataset'!$A:$E,5,FALSE)</f>
        <v>Delhi</v>
      </c>
    </row>
    <row r="488" spans="1:9" x14ac:dyDescent="0.25">
      <c r="A488" t="s">
        <v>354</v>
      </c>
      <c r="B488">
        <v>175</v>
      </c>
      <c r="C488">
        <v>77</v>
      </c>
      <c r="D488">
        <v>3</v>
      </c>
      <c r="E488" t="s">
        <v>899</v>
      </c>
      <c r="F488" t="s">
        <v>901</v>
      </c>
      <c r="G488" t="s">
        <v>891</v>
      </c>
      <c r="H488" s="3" t="str">
        <f>VLOOKUP(A488,'Orders Dataset'!$A:$D,4,FALSE)</f>
        <v>Kerala</v>
      </c>
      <c r="I488" s="5" t="str">
        <f>VLOOKUP(A488,'Orders Dataset'!$A:$E,5,FALSE)</f>
        <v>Thiruvananthapuram</v>
      </c>
    </row>
    <row r="489" spans="1:9" x14ac:dyDescent="0.25">
      <c r="A489" t="s">
        <v>228</v>
      </c>
      <c r="B489">
        <v>71</v>
      </c>
      <c r="C489">
        <v>4</v>
      </c>
      <c r="D489">
        <v>5</v>
      </c>
      <c r="E489" t="s">
        <v>899</v>
      </c>
      <c r="F489" t="s">
        <v>908</v>
      </c>
      <c r="G489" t="s">
        <v>911</v>
      </c>
      <c r="H489" s="3" t="str">
        <f>VLOOKUP(A489,'Orders Dataset'!$A:$D,4,FALSE)</f>
        <v>Rajasthan</v>
      </c>
      <c r="I489" s="5" t="str">
        <f>VLOOKUP(A489,'Orders Dataset'!$A:$E,5,FALSE)</f>
        <v>Udaipur</v>
      </c>
    </row>
    <row r="490" spans="1:9" x14ac:dyDescent="0.25">
      <c r="A490" t="s">
        <v>555</v>
      </c>
      <c r="B490">
        <v>174</v>
      </c>
      <c r="C490">
        <v>-70</v>
      </c>
      <c r="D490">
        <v>3</v>
      </c>
      <c r="E490" t="s">
        <v>889</v>
      </c>
      <c r="F490" t="s">
        <v>909</v>
      </c>
      <c r="G490" t="s">
        <v>891</v>
      </c>
      <c r="H490" s="3" t="str">
        <f>VLOOKUP(A490,'Orders Dataset'!$A:$D,4,FALSE)</f>
        <v>Goa</v>
      </c>
      <c r="I490" s="5" t="str">
        <f>VLOOKUP(A490,'Orders Dataset'!$A:$E,5,FALSE)</f>
        <v>Goa</v>
      </c>
    </row>
    <row r="491" spans="1:9" x14ac:dyDescent="0.25">
      <c r="A491" t="s">
        <v>221</v>
      </c>
      <c r="B491">
        <v>173</v>
      </c>
      <c r="C491">
        <v>69</v>
      </c>
      <c r="D491">
        <v>3</v>
      </c>
      <c r="E491" t="s">
        <v>892</v>
      </c>
      <c r="F491" t="s">
        <v>893</v>
      </c>
      <c r="G491" t="s">
        <v>891</v>
      </c>
      <c r="H491" s="3" t="str">
        <f>VLOOKUP(A491,'Orders Dataset'!$A:$D,4,FALSE)</f>
        <v>Madhya Pradesh</v>
      </c>
      <c r="I491" s="5" t="str">
        <f>VLOOKUP(A491,'Orders Dataset'!$A:$E,5,FALSE)</f>
        <v>Indore</v>
      </c>
    </row>
    <row r="492" spans="1:9" x14ac:dyDescent="0.25">
      <c r="A492" t="s">
        <v>232</v>
      </c>
      <c r="B492">
        <v>171</v>
      </c>
      <c r="C492">
        <v>2</v>
      </c>
      <c r="D492">
        <v>2</v>
      </c>
      <c r="E492" t="s">
        <v>889</v>
      </c>
      <c r="F492" t="s">
        <v>890</v>
      </c>
      <c r="G492" t="s">
        <v>891</v>
      </c>
      <c r="H492" s="3" t="str">
        <f>VLOOKUP(A492,'Orders Dataset'!$A:$D,4,FALSE)</f>
        <v>Rajasthan</v>
      </c>
      <c r="I492" s="5" t="str">
        <f>VLOOKUP(A492,'Orders Dataset'!$A:$E,5,FALSE)</f>
        <v>Udaipur</v>
      </c>
    </row>
    <row r="493" spans="1:9" x14ac:dyDescent="0.25">
      <c r="A493" t="s">
        <v>349</v>
      </c>
      <c r="B493">
        <v>268</v>
      </c>
      <c r="C493">
        <v>-25</v>
      </c>
      <c r="D493">
        <v>3</v>
      </c>
      <c r="E493" t="s">
        <v>899</v>
      </c>
      <c r="F493" t="s">
        <v>901</v>
      </c>
      <c r="G493" t="s">
        <v>891</v>
      </c>
      <c r="H493" s="3" t="str">
        <f>VLOOKUP(A493,'Orders Dataset'!$A:$D,4,FALSE)</f>
        <v>West Bengal</v>
      </c>
      <c r="I493" s="5" t="str">
        <f>VLOOKUP(A493,'Orders Dataset'!$A:$E,5,FALSE)</f>
        <v>Kolkata</v>
      </c>
    </row>
    <row r="494" spans="1:9" x14ac:dyDescent="0.25">
      <c r="A494" t="s">
        <v>764</v>
      </c>
      <c r="B494">
        <v>71</v>
      </c>
      <c r="C494">
        <v>32</v>
      </c>
      <c r="D494">
        <v>3</v>
      </c>
      <c r="E494" t="s">
        <v>899</v>
      </c>
      <c r="F494" t="s">
        <v>901</v>
      </c>
      <c r="G494" t="s">
        <v>911</v>
      </c>
      <c r="H494" s="3" t="str">
        <f>VLOOKUP(A494,'Orders Dataset'!$A:$D,4,FALSE)</f>
        <v>Delhi</v>
      </c>
      <c r="I494" s="5" t="str">
        <f>VLOOKUP(A494,'Orders Dataset'!$A:$E,5,FALSE)</f>
        <v>Delhi</v>
      </c>
    </row>
    <row r="495" spans="1:9" x14ac:dyDescent="0.25">
      <c r="A495" t="s">
        <v>611</v>
      </c>
      <c r="B495">
        <v>29</v>
      </c>
      <c r="C495">
        <v>10</v>
      </c>
      <c r="D495">
        <v>4</v>
      </c>
      <c r="E495" t="s">
        <v>899</v>
      </c>
      <c r="F495" t="s">
        <v>903</v>
      </c>
      <c r="G495" t="s">
        <v>902</v>
      </c>
      <c r="H495" s="3" t="str">
        <f>VLOOKUP(A495,'Orders Dataset'!$A:$D,4,FALSE)</f>
        <v>Andhra Pradesh</v>
      </c>
      <c r="I495" s="5" t="str">
        <f>VLOOKUP(A495,'Orders Dataset'!$A:$E,5,FALSE)</f>
        <v>Hyderabad</v>
      </c>
    </row>
    <row r="496" spans="1:9" x14ac:dyDescent="0.25">
      <c r="A496" t="s">
        <v>612</v>
      </c>
      <c r="B496">
        <v>65</v>
      </c>
      <c r="C496">
        <v>17</v>
      </c>
      <c r="D496">
        <v>2</v>
      </c>
      <c r="E496" t="s">
        <v>899</v>
      </c>
      <c r="F496" t="s">
        <v>910</v>
      </c>
      <c r="G496" t="s">
        <v>902</v>
      </c>
      <c r="H496" s="3" t="str">
        <f>VLOOKUP(A496,'Orders Dataset'!$A:$D,4,FALSE)</f>
        <v>Rajasthan</v>
      </c>
      <c r="I496" s="5" t="str">
        <f>VLOOKUP(A496,'Orders Dataset'!$A:$E,5,FALSE)</f>
        <v>Jaipur</v>
      </c>
    </row>
    <row r="497" spans="1:9" x14ac:dyDescent="0.25">
      <c r="A497" t="s">
        <v>488</v>
      </c>
      <c r="B497">
        <v>72</v>
      </c>
      <c r="C497">
        <v>-46</v>
      </c>
      <c r="D497">
        <v>7</v>
      </c>
      <c r="E497" t="s">
        <v>899</v>
      </c>
      <c r="F497" t="s">
        <v>904</v>
      </c>
      <c r="G497" t="s">
        <v>911</v>
      </c>
      <c r="H497" s="3" t="str">
        <f>VLOOKUP(A497,'Orders Dataset'!$A:$D,4,FALSE)</f>
        <v>Bihar</v>
      </c>
      <c r="I497" s="5" t="str">
        <f>VLOOKUP(A497,'Orders Dataset'!$A:$E,5,FALSE)</f>
        <v>Patna</v>
      </c>
    </row>
    <row r="498" spans="1:9" x14ac:dyDescent="0.25">
      <c r="A498" t="s">
        <v>597</v>
      </c>
      <c r="B498">
        <v>168</v>
      </c>
      <c r="C498">
        <v>-51</v>
      </c>
      <c r="D498">
        <v>2</v>
      </c>
      <c r="E498" t="s">
        <v>892</v>
      </c>
      <c r="F498" t="s">
        <v>895</v>
      </c>
      <c r="G498" t="s">
        <v>891</v>
      </c>
      <c r="H498" s="3" t="str">
        <f>VLOOKUP(A498,'Orders Dataset'!$A:$D,4,FALSE)</f>
        <v>Madhya Pradesh</v>
      </c>
      <c r="I498" s="5" t="str">
        <f>VLOOKUP(A498,'Orders Dataset'!$A:$E,5,FALSE)</f>
        <v>Indore</v>
      </c>
    </row>
    <row r="499" spans="1:9" x14ac:dyDescent="0.25">
      <c r="A499" t="s">
        <v>18</v>
      </c>
      <c r="B499">
        <v>165</v>
      </c>
      <c r="C499">
        <v>30</v>
      </c>
      <c r="D499">
        <v>3</v>
      </c>
      <c r="E499" t="s">
        <v>899</v>
      </c>
      <c r="F499" t="s">
        <v>907</v>
      </c>
      <c r="G499" t="s">
        <v>891</v>
      </c>
      <c r="H499" s="3" t="str">
        <f>VLOOKUP(A499,'Orders Dataset'!$A:$D,4,FALSE)</f>
        <v>Madhya Pradesh</v>
      </c>
      <c r="I499" s="5" t="str">
        <f>VLOOKUP(A499,'Orders Dataset'!$A:$E,5,FALSE)</f>
        <v>Indore</v>
      </c>
    </row>
    <row r="500" spans="1:9" x14ac:dyDescent="0.25">
      <c r="A500" t="s">
        <v>499</v>
      </c>
      <c r="B500">
        <v>74</v>
      </c>
      <c r="C500">
        <v>-59</v>
      </c>
      <c r="D500">
        <v>2</v>
      </c>
      <c r="E500" t="s">
        <v>889</v>
      </c>
      <c r="F500" t="s">
        <v>909</v>
      </c>
      <c r="G500" t="s">
        <v>911</v>
      </c>
      <c r="H500" s="3" t="str">
        <f>VLOOKUP(A500,'Orders Dataset'!$A:$D,4,FALSE)</f>
        <v>West Bengal</v>
      </c>
      <c r="I500" s="5" t="str">
        <f>VLOOKUP(A500,'Orders Dataset'!$A:$E,5,FALSE)</f>
        <v>Kolkata</v>
      </c>
    </row>
    <row r="501" spans="1:9" x14ac:dyDescent="0.25">
      <c r="A501" t="s">
        <v>389</v>
      </c>
      <c r="B501">
        <v>89</v>
      </c>
      <c r="C501">
        <v>17</v>
      </c>
      <c r="D501">
        <v>2</v>
      </c>
      <c r="E501" t="s">
        <v>899</v>
      </c>
      <c r="F501" t="s">
        <v>907</v>
      </c>
      <c r="G501" t="s">
        <v>902</v>
      </c>
      <c r="H501" s="3" t="str">
        <f>VLOOKUP(A501,'Orders Dataset'!$A:$D,4,FALSE)</f>
        <v>Rajasthan</v>
      </c>
      <c r="I501" s="5" t="str">
        <f>VLOOKUP(A501,'Orders Dataset'!$A:$E,5,FALSE)</f>
        <v>Udaipur</v>
      </c>
    </row>
    <row r="502" spans="1:9" x14ac:dyDescent="0.25">
      <c r="A502" t="s">
        <v>476</v>
      </c>
      <c r="B502">
        <v>228</v>
      </c>
      <c r="C502">
        <v>63</v>
      </c>
      <c r="D502">
        <v>3</v>
      </c>
      <c r="E502" t="s">
        <v>889</v>
      </c>
      <c r="F502" t="s">
        <v>890</v>
      </c>
      <c r="G502" t="s">
        <v>897</v>
      </c>
      <c r="H502" s="3" t="str">
        <f>VLOOKUP(A502,'Orders Dataset'!$A:$D,4,FALSE)</f>
        <v>Madhya Pradesh</v>
      </c>
      <c r="I502" s="5" t="str">
        <f>VLOOKUP(A502,'Orders Dataset'!$A:$E,5,FALSE)</f>
        <v>Bhopal</v>
      </c>
    </row>
    <row r="503" spans="1:9" x14ac:dyDescent="0.25">
      <c r="A503" t="s">
        <v>22</v>
      </c>
      <c r="B503">
        <v>119</v>
      </c>
      <c r="C503">
        <v>-24</v>
      </c>
      <c r="D503">
        <v>4</v>
      </c>
      <c r="E503" t="s">
        <v>892</v>
      </c>
      <c r="F503" t="s">
        <v>912</v>
      </c>
      <c r="G503" t="s">
        <v>891</v>
      </c>
      <c r="H503" s="3" t="str">
        <f>VLOOKUP(A503,'Orders Dataset'!$A:$D,4,FALSE)</f>
        <v>Uttar Pradesh</v>
      </c>
      <c r="I503" s="5" t="str">
        <f>VLOOKUP(A503,'Orders Dataset'!$A:$E,5,FALSE)</f>
        <v>Prayagraj</v>
      </c>
    </row>
    <row r="504" spans="1:9" x14ac:dyDescent="0.25">
      <c r="A504" t="s">
        <v>300</v>
      </c>
      <c r="B504">
        <v>75</v>
      </c>
      <c r="C504">
        <v>-25</v>
      </c>
      <c r="D504">
        <v>3</v>
      </c>
      <c r="E504" t="s">
        <v>899</v>
      </c>
      <c r="F504" t="s">
        <v>907</v>
      </c>
      <c r="G504" t="s">
        <v>902</v>
      </c>
      <c r="H504" s="3" t="str">
        <f>VLOOKUP(A504,'Orders Dataset'!$A:$D,4,FALSE)</f>
        <v>Maharashtra</v>
      </c>
      <c r="I504" s="5" t="str">
        <f>VLOOKUP(A504,'Orders Dataset'!$A:$E,5,FALSE)</f>
        <v>Mumbai</v>
      </c>
    </row>
    <row r="505" spans="1:9" x14ac:dyDescent="0.25">
      <c r="A505" t="s">
        <v>177</v>
      </c>
      <c r="B505">
        <v>67</v>
      </c>
      <c r="C505">
        <v>20</v>
      </c>
      <c r="D505">
        <v>4</v>
      </c>
      <c r="E505" t="s">
        <v>899</v>
      </c>
      <c r="F505" t="s">
        <v>910</v>
      </c>
      <c r="G505" t="s">
        <v>902</v>
      </c>
      <c r="H505" s="3" t="str">
        <f>VLOOKUP(A505,'Orders Dataset'!$A:$D,4,FALSE)</f>
        <v>Andhra Pradesh</v>
      </c>
      <c r="I505" s="5" t="str">
        <f>VLOOKUP(A505,'Orders Dataset'!$A:$E,5,FALSE)</f>
        <v>Hyderabad</v>
      </c>
    </row>
    <row r="506" spans="1:9" x14ac:dyDescent="0.25">
      <c r="A506" t="s">
        <v>260</v>
      </c>
      <c r="B506">
        <v>7</v>
      </c>
      <c r="C506">
        <v>0</v>
      </c>
      <c r="D506">
        <v>1</v>
      </c>
      <c r="E506" t="s">
        <v>899</v>
      </c>
      <c r="F506" t="s">
        <v>908</v>
      </c>
      <c r="G506" t="s">
        <v>891</v>
      </c>
      <c r="H506" s="3" t="str">
        <f>VLOOKUP(A506,'Orders Dataset'!$A:$D,4,FALSE)</f>
        <v>Madhya Pradesh</v>
      </c>
      <c r="I506" s="5" t="str">
        <f>VLOOKUP(A506,'Orders Dataset'!$A:$E,5,FALSE)</f>
        <v>Indore</v>
      </c>
    </row>
    <row r="507" spans="1:9" x14ac:dyDescent="0.25">
      <c r="A507" t="s">
        <v>371</v>
      </c>
      <c r="B507">
        <v>222</v>
      </c>
      <c r="C507">
        <v>35</v>
      </c>
      <c r="D507">
        <v>5</v>
      </c>
      <c r="E507" t="s">
        <v>899</v>
      </c>
      <c r="F507" t="s">
        <v>901</v>
      </c>
      <c r="G507" t="s">
        <v>897</v>
      </c>
      <c r="H507" s="3" t="str">
        <f>VLOOKUP(A507,'Orders Dataset'!$A:$D,4,FALSE)</f>
        <v>Punjab</v>
      </c>
      <c r="I507" s="5" t="str">
        <f>VLOOKUP(A507,'Orders Dataset'!$A:$E,5,FALSE)</f>
        <v>Chandigarh</v>
      </c>
    </row>
    <row r="508" spans="1:9" x14ac:dyDescent="0.25">
      <c r="A508" t="s">
        <v>809</v>
      </c>
      <c r="B508">
        <v>219</v>
      </c>
      <c r="C508">
        <v>-9</v>
      </c>
      <c r="D508">
        <v>4</v>
      </c>
      <c r="E508" t="s">
        <v>899</v>
      </c>
      <c r="F508" t="s">
        <v>901</v>
      </c>
      <c r="G508" t="s">
        <v>897</v>
      </c>
      <c r="H508" s="3" t="str">
        <f>VLOOKUP(A508,'Orders Dataset'!$A:$D,4,FALSE)</f>
        <v>Bihar</v>
      </c>
      <c r="I508" s="5" t="str">
        <f>VLOOKUP(A508,'Orders Dataset'!$A:$E,5,FALSE)</f>
        <v>Patna</v>
      </c>
    </row>
    <row r="509" spans="1:9" x14ac:dyDescent="0.25">
      <c r="A509" t="s">
        <v>539</v>
      </c>
      <c r="B509">
        <v>42</v>
      </c>
      <c r="C509">
        <v>-23</v>
      </c>
      <c r="D509">
        <v>2</v>
      </c>
      <c r="E509" t="s">
        <v>892</v>
      </c>
      <c r="F509" t="s">
        <v>912</v>
      </c>
      <c r="G509" t="s">
        <v>902</v>
      </c>
      <c r="H509" s="3" t="str">
        <f>VLOOKUP(A509,'Orders Dataset'!$A:$D,4,FALSE)</f>
        <v>Madhya Pradesh</v>
      </c>
      <c r="I509" s="5" t="str">
        <f>VLOOKUP(A509,'Orders Dataset'!$A:$E,5,FALSE)</f>
        <v>Indore</v>
      </c>
    </row>
    <row r="510" spans="1:9" x14ac:dyDescent="0.25">
      <c r="A510" t="s">
        <v>150</v>
      </c>
      <c r="B510">
        <v>216</v>
      </c>
      <c r="C510">
        <v>-135</v>
      </c>
      <c r="D510">
        <v>3</v>
      </c>
      <c r="E510" t="s">
        <v>892</v>
      </c>
      <c r="F510" t="s">
        <v>893</v>
      </c>
      <c r="G510" t="s">
        <v>897</v>
      </c>
      <c r="H510" s="3" t="str">
        <f>VLOOKUP(A510,'Orders Dataset'!$A:$D,4,FALSE)</f>
        <v>Kerala</v>
      </c>
      <c r="I510" s="5" t="str">
        <f>VLOOKUP(A510,'Orders Dataset'!$A:$E,5,FALSE)</f>
        <v>Thiruvananthapuram</v>
      </c>
    </row>
    <row r="511" spans="1:9" x14ac:dyDescent="0.25">
      <c r="A511" t="s">
        <v>543</v>
      </c>
      <c r="B511">
        <v>47</v>
      </c>
      <c r="C511">
        <v>-21</v>
      </c>
      <c r="D511">
        <v>2</v>
      </c>
      <c r="E511" t="s">
        <v>889</v>
      </c>
      <c r="F511" t="s">
        <v>890</v>
      </c>
      <c r="G511" t="s">
        <v>891</v>
      </c>
      <c r="H511" s="3" t="str">
        <f>VLOOKUP(A511,'Orders Dataset'!$A:$D,4,FALSE)</f>
        <v>Rajasthan</v>
      </c>
      <c r="I511" s="5" t="str">
        <f>VLOOKUP(A511,'Orders Dataset'!$A:$E,5,FALSE)</f>
        <v>Jaipur</v>
      </c>
    </row>
    <row r="512" spans="1:9" x14ac:dyDescent="0.25">
      <c r="A512" t="s">
        <v>199</v>
      </c>
      <c r="B512">
        <v>68</v>
      </c>
      <c r="C512">
        <v>-55</v>
      </c>
      <c r="D512">
        <v>5</v>
      </c>
      <c r="E512" t="s">
        <v>889</v>
      </c>
      <c r="F512" t="s">
        <v>909</v>
      </c>
      <c r="G512" t="s">
        <v>902</v>
      </c>
      <c r="H512" s="3" t="str">
        <f>VLOOKUP(A512,'Orders Dataset'!$A:$D,4,FALSE)</f>
        <v>Bihar</v>
      </c>
      <c r="I512" s="5" t="str">
        <f>VLOOKUP(A512,'Orders Dataset'!$A:$E,5,FALSE)</f>
        <v>Patna</v>
      </c>
    </row>
    <row r="513" spans="1:9" x14ac:dyDescent="0.25">
      <c r="A513" t="s">
        <v>413</v>
      </c>
      <c r="B513">
        <v>74</v>
      </c>
      <c r="C513">
        <v>33</v>
      </c>
      <c r="D513">
        <v>2</v>
      </c>
      <c r="E513" t="s">
        <v>899</v>
      </c>
      <c r="F513" t="s">
        <v>913</v>
      </c>
      <c r="G513" t="s">
        <v>911</v>
      </c>
      <c r="H513" s="3" t="str">
        <f>VLOOKUP(A513,'Orders Dataset'!$A:$D,4,FALSE)</f>
        <v>Madhya Pradesh</v>
      </c>
      <c r="I513" s="5" t="str">
        <f>VLOOKUP(A513,'Orders Dataset'!$A:$E,5,FALSE)</f>
        <v>Indore</v>
      </c>
    </row>
    <row r="514" spans="1:9" x14ac:dyDescent="0.25">
      <c r="A514" t="s">
        <v>290</v>
      </c>
      <c r="B514">
        <v>165</v>
      </c>
      <c r="C514">
        <v>46</v>
      </c>
      <c r="D514">
        <v>3</v>
      </c>
      <c r="E514" t="s">
        <v>892</v>
      </c>
      <c r="F514" t="s">
        <v>912</v>
      </c>
      <c r="G514" t="s">
        <v>891</v>
      </c>
      <c r="H514" s="3" t="str">
        <f>VLOOKUP(A514,'Orders Dataset'!$A:$D,4,FALSE)</f>
        <v>Maharashtra</v>
      </c>
      <c r="I514" s="5" t="str">
        <f>VLOOKUP(A514,'Orders Dataset'!$A:$E,5,FALSE)</f>
        <v>Mumbai</v>
      </c>
    </row>
    <row r="515" spans="1:9" x14ac:dyDescent="0.25">
      <c r="A515" t="s">
        <v>427</v>
      </c>
      <c r="B515">
        <v>101</v>
      </c>
      <c r="C515">
        <v>11</v>
      </c>
      <c r="D515">
        <v>2</v>
      </c>
      <c r="E515" t="s">
        <v>899</v>
      </c>
      <c r="F515" t="s">
        <v>903</v>
      </c>
      <c r="G515" t="s">
        <v>902</v>
      </c>
      <c r="H515" s="3" t="str">
        <f>VLOOKUP(A515,'Orders Dataset'!$A:$D,4,FALSE)</f>
        <v>Bihar</v>
      </c>
      <c r="I515" s="5" t="str">
        <f>VLOOKUP(A515,'Orders Dataset'!$A:$E,5,FALSE)</f>
        <v>Patna</v>
      </c>
    </row>
    <row r="516" spans="1:9" x14ac:dyDescent="0.25">
      <c r="A516" t="s">
        <v>603</v>
      </c>
      <c r="B516">
        <v>162</v>
      </c>
      <c r="C516">
        <v>73</v>
      </c>
      <c r="D516">
        <v>2</v>
      </c>
      <c r="E516" t="s">
        <v>889</v>
      </c>
      <c r="F516" t="s">
        <v>890</v>
      </c>
      <c r="G516" t="s">
        <v>891</v>
      </c>
      <c r="H516" s="3" t="str">
        <f>VLOOKUP(A516,'Orders Dataset'!$A:$D,4,FALSE)</f>
        <v>Rajasthan</v>
      </c>
      <c r="I516" s="5" t="str">
        <f>VLOOKUP(A516,'Orders Dataset'!$A:$E,5,FALSE)</f>
        <v>Jaipur</v>
      </c>
    </row>
    <row r="517" spans="1:9" x14ac:dyDescent="0.25">
      <c r="A517" t="s">
        <v>718</v>
      </c>
      <c r="B517">
        <v>20</v>
      </c>
      <c r="C517">
        <v>-22</v>
      </c>
      <c r="D517">
        <v>1</v>
      </c>
      <c r="E517" t="s">
        <v>892</v>
      </c>
      <c r="F517" t="s">
        <v>912</v>
      </c>
      <c r="G517" t="s">
        <v>902</v>
      </c>
      <c r="H517" s="3" t="str">
        <f>VLOOKUP(A517,'Orders Dataset'!$A:$D,4,FALSE)</f>
        <v>Uttar Pradesh</v>
      </c>
      <c r="I517" s="5" t="str">
        <f>VLOOKUP(A517,'Orders Dataset'!$A:$E,5,FALSE)</f>
        <v>Lucknow</v>
      </c>
    </row>
    <row r="518" spans="1:9" x14ac:dyDescent="0.25">
      <c r="A518" t="s">
        <v>352</v>
      </c>
      <c r="B518">
        <v>162</v>
      </c>
      <c r="C518">
        <v>55</v>
      </c>
      <c r="D518">
        <v>3</v>
      </c>
      <c r="E518" t="s">
        <v>899</v>
      </c>
      <c r="F518" t="s">
        <v>907</v>
      </c>
      <c r="G518" t="s">
        <v>891</v>
      </c>
      <c r="H518" s="3" t="str">
        <f>VLOOKUP(A518,'Orders Dataset'!$A:$D,4,FALSE)</f>
        <v>Jammu and Kashmir</v>
      </c>
      <c r="I518" s="5" t="str">
        <f>VLOOKUP(A518,'Orders Dataset'!$A:$E,5,FALSE)</f>
        <v>Kashmir</v>
      </c>
    </row>
    <row r="519" spans="1:9" x14ac:dyDescent="0.25">
      <c r="A519" t="s">
        <v>416</v>
      </c>
      <c r="B519">
        <v>229</v>
      </c>
      <c r="C519">
        <v>-23</v>
      </c>
      <c r="D519">
        <v>2</v>
      </c>
      <c r="E519" t="s">
        <v>899</v>
      </c>
      <c r="F519" t="s">
        <v>901</v>
      </c>
      <c r="G519" t="s">
        <v>902</v>
      </c>
      <c r="H519" s="3" t="str">
        <f>VLOOKUP(A519,'Orders Dataset'!$A:$D,4,FALSE)</f>
        <v>Maharashtra</v>
      </c>
      <c r="I519" s="5" t="str">
        <f>VLOOKUP(A519,'Orders Dataset'!$A:$E,5,FALSE)</f>
        <v>Mumbai</v>
      </c>
    </row>
    <row r="520" spans="1:9" x14ac:dyDescent="0.25">
      <c r="A520" t="s">
        <v>237</v>
      </c>
      <c r="B520">
        <v>27</v>
      </c>
      <c r="C520">
        <v>0</v>
      </c>
      <c r="D520">
        <v>2</v>
      </c>
      <c r="E520" t="s">
        <v>899</v>
      </c>
      <c r="F520" t="s">
        <v>908</v>
      </c>
      <c r="G520" t="s">
        <v>891</v>
      </c>
      <c r="H520" s="3" t="str">
        <f>VLOOKUP(A520,'Orders Dataset'!$A:$D,4,FALSE)</f>
        <v>Gujarat</v>
      </c>
      <c r="I520" s="5" t="str">
        <f>VLOOKUP(A520,'Orders Dataset'!$A:$E,5,FALSE)</f>
        <v>Ahmedabad</v>
      </c>
    </row>
    <row r="521" spans="1:9" x14ac:dyDescent="0.25">
      <c r="A521" t="s">
        <v>91</v>
      </c>
      <c r="B521">
        <v>685</v>
      </c>
      <c r="C521">
        <v>7</v>
      </c>
      <c r="D521">
        <v>7</v>
      </c>
      <c r="E521" t="s">
        <v>899</v>
      </c>
      <c r="F521" t="s">
        <v>900</v>
      </c>
      <c r="G521" t="s">
        <v>902</v>
      </c>
      <c r="H521" s="3" t="str">
        <f>VLOOKUP(A521,'Orders Dataset'!$A:$D,4,FALSE)</f>
        <v>Delhi</v>
      </c>
      <c r="I521" s="5" t="str">
        <f>VLOOKUP(A521,'Orders Dataset'!$A:$E,5,FALSE)</f>
        <v>Delhi</v>
      </c>
    </row>
    <row r="522" spans="1:9" x14ac:dyDescent="0.25">
      <c r="A522" t="s">
        <v>678</v>
      </c>
      <c r="B522">
        <v>75</v>
      </c>
      <c r="C522">
        <v>2</v>
      </c>
      <c r="D522">
        <v>5</v>
      </c>
      <c r="E522" t="s">
        <v>899</v>
      </c>
      <c r="F522" t="s">
        <v>908</v>
      </c>
      <c r="G522" t="s">
        <v>911</v>
      </c>
      <c r="H522" s="3" t="str">
        <f>VLOOKUP(A522,'Orders Dataset'!$A:$D,4,FALSE)</f>
        <v>Maharashtra</v>
      </c>
      <c r="I522" s="5" t="str">
        <f>VLOOKUP(A522,'Orders Dataset'!$A:$E,5,FALSE)</f>
        <v>Mumbai</v>
      </c>
    </row>
    <row r="523" spans="1:9" x14ac:dyDescent="0.25">
      <c r="A523" t="s">
        <v>356</v>
      </c>
      <c r="B523">
        <v>161</v>
      </c>
      <c r="C523">
        <v>-229</v>
      </c>
      <c r="D523">
        <v>8</v>
      </c>
      <c r="E523" t="s">
        <v>892</v>
      </c>
      <c r="F523" t="s">
        <v>912</v>
      </c>
      <c r="G523" t="s">
        <v>891</v>
      </c>
      <c r="H523" s="3" t="str">
        <f>VLOOKUP(A523,'Orders Dataset'!$A:$D,4,FALSE)</f>
        <v>Delhi</v>
      </c>
      <c r="I523" s="5" t="str">
        <f>VLOOKUP(A523,'Orders Dataset'!$A:$E,5,FALSE)</f>
        <v>Delhi</v>
      </c>
    </row>
    <row r="524" spans="1:9" x14ac:dyDescent="0.25">
      <c r="A524" t="s">
        <v>518</v>
      </c>
      <c r="B524">
        <v>71</v>
      </c>
      <c r="C524">
        <v>19</v>
      </c>
      <c r="D524">
        <v>3</v>
      </c>
      <c r="E524" t="s">
        <v>899</v>
      </c>
      <c r="F524" t="s">
        <v>910</v>
      </c>
      <c r="G524" t="s">
        <v>891</v>
      </c>
      <c r="H524" s="3" t="str">
        <f>VLOOKUP(A524,'Orders Dataset'!$A:$D,4,FALSE)</f>
        <v>Delhi</v>
      </c>
      <c r="I524" s="5" t="str">
        <f>VLOOKUP(A524,'Orders Dataset'!$A:$E,5,FALSE)</f>
        <v>Delhi</v>
      </c>
    </row>
    <row r="525" spans="1:9" x14ac:dyDescent="0.25">
      <c r="A525" t="s">
        <v>226</v>
      </c>
      <c r="B525">
        <v>211</v>
      </c>
      <c r="C525">
        <v>-105</v>
      </c>
      <c r="D525">
        <v>2</v>
      </c>
      <c r="E525" t="s">
        <v>899</v>
      </c>
      <c r="F525" t="s">
        <v>901</v>
      </c>
      <c r="G525" t="s">
        <v>897</v>
      </c>
      <c r="H525" s="3" t="str">
        <f>VLOOKUP(A525,'Orders Dataset'!$A:$D,4,FALSE)</f>
        <v>Maharashtra</v>
      </c>
      <c r="I525" s="5" t="str">
        <f>VLOOKUP(A525,'Orders Dataset'!$A:$E,5,FALSE)</f>
        <v>Mumbai</v>
      </c>
    </row>
    <row r="526" spans="1:9" x14ac:dyDescent="0.25">
      <c r="A526" t="s">
        <v>580</v>
      </c>
      <c r="B526">
        <v>79</v>
      </c>
      <c r="C526">
        <v>5</v>
      </c>
      <c r="D526">
        <v>6</v>
      </c>
      <c r="E526" t="s">
        <v>899</v>
      </c>
      <c r="F526" t="s">
        <v>903</v>
      </c>
      <c r="G526" t="s">
        <v>911</v>
      </c>
      <c r="H526" s="3" t="str">
        <f>VLOOKUP(A526,'Orders Dataset'!$A:$D,4,FALSE)</f>
        <v>Sikkim</v>
      </c>
      <c r="I526" s="5" t="str">
        <f>VLOOKUP(A526,'Orders Dataset'!$A:$E,5,FALSE)</f>
        <v>Gangtok</v>
      </c>
    </row>
    <row r="527" spans="1:9" x14ac:dyDescent="0.25">
      <c r="A527" t="s">
        <v>213</v>
      </c>
      <c r="B527">
        <v>32</v>
      </c>
      <c r="C527">
        <v>-22</v>
      </c>
      <c r="D527">
        <v>5</v>
      </c>
      <c r="E527" t="s">
        <v>899</v>
      </c>
      <c r="F527" t="s">
        <v>901</v>
      </c>
      <c r="G527" t="s">
        <v>902</v>
      </c>
      <c r="H527" s="3" t="str">
        <f>VLOOKUP(A527,'Orders Dataset'!$A:$D,4,FALSE)</f>
        <v>Madhya Pradesh</v>
      </c>
      <c r="I527" s="5" t="str">
        <f>VLOOKUP(A527,'Orders Dataset'!$A:$E,5,FALSE)</f>
        <v>Bhopal</v>
      </c>
    </row>
    <row r="528" spans="1:9" x14ac:dyDescent="0.25">
      <c r="A528" t="s">
        <v>218</v>
      </c>
      <c r="B528">
        <v>161</v>
      </c>
      <c r="C528">
        <v>40</v>
      </c>
      <c r="D528">
        <v>3</v>
      </c>
      <c r="E528" t="s">
        <v>899</v>
      </c>
      <c r="F528" t="s">
        <v>907</v>
      </c>
      <c r="G528" t="s">
        <v>891</v>
      </c>
      <c r="H528" s="3" t="str">
        <f>VLOOKUP(A528,'Orders Dataset'!$A:$D,4,FALSE)</f>
        <v>Madhya Pradesh</v>
      </c>
      <c r="I528" s="5" t="str">
        <f>VLOOKUP(A528,'Orders Dataset'!$A:$E,5,FALSE)</f>
        <v>Indore</v>
      </c>
    </row>
    <row r="529" spans="1:9" x14ac:dyDescent="0.25">
      <c r="A529" t="s">
        <v>260</v>
      </c>
      <c r="B529">
        <v>159</v>
      </c>
      <c r="C529">
        <v>4</v>
      </c>
      <c r="D529">
        <v>1</v>
      </c>
      <c r="E529" t="s">
        <v>899</v>
      </c>
      <c r="F529" t="s">
        <v>901</v>
      </c>
      <c r="G529" t="s">
        <v>891</v>
      </c>
      <c r="H529" s="3" t="str">
        <f>VLOOKUP(A529,'Orders Dataset'!$A:$D,4,FALSE)</f>
        <v>Madhya Pradesh</v>
      </c>
      <c r="I529" s="5" t="str">
        <f>VLOOKUP(A529,'Orders Dataset'!$A:$E,5,FALSE)</f>
        <v>Indore</v>
      </c>
    </row>
    <row r="530" spans="1:9" x14ac:dyDescent="0.25">
      <c r="A530" t="s">
        <v>550</v>
      </c>
      <c r="B530">
        <v>210</v>
      </c>
      <c r="C530">
        <v>-50</v>
      </c>
      <c r="D530">
        <v>4</v>
      </c>
      <c r="E530" t="s">
        <v>899</v>
      </c>
      <c r="F530" t="s">
        <v>903</v>
      </c>
      <c r="G530" t="s">
        <v>897</v>
      </c>
      <c r="H530" s="3" t="str">
        <f>VLOOKUP(A530,'Orders Dataset'!$A:$D,4,FALSE)</f>
        <v>Bihar</v>
      </c>
      <c r="I530" s="5" t="str">
        <f>VLOOKUP(A530,'Orders Dataset'!$A:$E,5,FALSE)</f>
        <v>Patna</v>
      </c>
    </row>
    <row r="531" spans="1:9" x14ac:dyDescent="0.25">
      <c r="A531" t="s">
        <v>12</v>
      </c>
      <c r="B531">
        <v>79</v>
      </c>
      <c r="C531">
        <v>39</v>
      </c>
      <c r="D531">
        <v>2</v>
      </c>
      <c r="E531" t="s">
        <v>899</v>
      </c>
      <c r="F531" t="s">
        <v>913</v>
      </c>
      <c r="G531" t="s">
        <v>911</v>
      </c>
      <c r="H531" s="3" t="str">
        <f>VLOOKUP(A531,'Orders Dataset'!$A:$D,4,FALSE)</f>
        <v>Uttar Pradesh</v>
      </c>
      <c r="I531" s="5" t="str">
        <f>VLOOKUP(A531,'Orders Dataset'!$A:$E,5,FALSE)</f>
        <v>Mathura</v>
      </c>
    </row>
    <row r="532" spans="1:9" x14ac:dyDescent="0.25">
      <c r="A532" t="s">
        <v>381</v>
      </c>
      <c r="B532">
        <v>207</v>
      </c>
      <c r="C532">
        <v>153</v>
      </c>
      <c r="D532">
        <v>3</v>
      </c>
      <c r="E532" t="s">
        <v>899</v>
      </c>
      <c r="F532" t="s">
        <v>901</v>
      </c>
      <c r="G532" t="s">
        <v>897</v>
      </c>
      <c r="H532" s="3" t="str">
        <f>VLOOKUP(A532,'Orders Dataset'!$A:$D,4,FALSE)</f>
        <v>Tamil Nadu</v>
      </c>
      <c r="I532" s="5" t="str">
        <f>VLOOKUP(A532,'Orders Dataset'!$A:$E,5,FALSE)</f>
        <v>Chennai</v>
      </c>
    </row>
    <row r="533" spans="1:9" x14ac:dyDescent="0.25">
      <c r="A533" t="s">
        <v>726</v>
      </c>
      <c r="B533">
        <v>36</v>
      </c>
      <c r="C533">
        <v>0</v>
      </c>
      <c r="D533">
        <v>4</v>
      </c>
      <c r="E533" t="s">
        <v>899</v>
      </c>
      <c r="F533" t="s">
        <v>904</v>
      </c>
      <c r="G533" t="s">
        <v>891</v>
      </c>
      <c r="H533" s="3" t="str">
        <f>VLOOKUP(A533,'Orders Dataset'!$A:$D,4,FALSE)</f>
        <v>Madhya Pradesh</v>
      </c>
      <c r="I533" s="5" t="str">
        <f>VLOOKUP(A533,'Orders Dataset'!$A:$E,5,FALSE)</f>
        <v>Indore</v>
      </c>
    </row>
    <row r="534" spans="1:9" x14ac:dyDescent="0.25">
      <c r="A534" t="s">
        <v>216</v>
      </c>
      <c r="B534">
        <v>206</v>
      </c>
      <c r="C534">
        <v>12</v>
      </c>
      <c r="D534">
        <v>1</v>
      </c>
      <c r="E534" t="s">
        <v>889</v>
      </c>
      <c r="F534" t="s">
        <v>896</v>
      </c>
      <c r="G534" t="s">
        <v>897</v>
      </c>
      <c r="H534" s="3" t="str">
        <f>VLOOKUP(A534,'Orders Dataset'!$A:$D,4,FALSE)</f>
        <v>Madhya Pradesh</v>
      </c>
      <c r="I534" s="5" t="str">
        <f>VLOOKUP(A534,'Orders Dataset'!$A:$E,5,FALSE)</f>
        <v>Indore</v>
      </c>
    </row>
    <row r="535" spans="1:9" x14ac:dyDescent="0.25">
      <c r="A535" t="s">
        <v>290</v>
      </c>
      <c r="B535">
        <v>46</v>
      </c>
      <c r="C535">
        <v>0</v>
      </c>
      <c r="D535">
        <v>4</v>
      </c>
      <c r="E535" t="s">
        <v>899</v>
      </c>
      <c r="F535" t="s">
        <v>908</v>
      </c>
      <c r="G535" t="s">
        <v>891</v>
      </c>
      <c r="H535" s="3" t="str">
        <f>VLOOKUP(A535,'Orders Dataset'!$A:$D,4,FALSE)</f>
        <v>Maharashtra</v>
      </c>
      <c r="I535" s="5" t="str">
        <f>VLOOKUP(A535,'Orders Dataset'!$A:$E,5,FALSE)</f>
        <v>Mumbai</v>
      </c>
    </row>
    <row r="536" spans="1:9" x14ac:dyDescent="0.25">
      <c r="A536" t="s">
        <v>360</v>
      </c>
      <c r="B536">
        <v>156</v>
      </c>
      <c r="C536">
        <v>23</v>
      </c>
      <c r="D536">
        <v>3</v>
      </c>
      <c r="E536" t="s">
        <v>899</v>
      </c>
      <c r="F536" t="s">
        <v>907</v>
      </c>
      <c r="G536" t="s">
        <v>891</v>
      </c>
      <c r="H536" s="3" t="str">
        <f>VLOOKUP(A536,'Orders Dataset'!$A:$D,4,FALSE)</f>
        <v>Maharashtra</v>
      </c>
      <c r="I536" s="5" t="str">
        <f>VLOOKUP(A536,'Orders Dataset'!$A:$E,5,FALSE)</f>
        <v>Mumbai</v>
      </c>
    </row>
    <row r="537" spans="1:9" x14ac:dyDescent="0.25">
      <c r="A537" t="s">
        <v>618</v>
      </c>
      <c r="B537">
        <v>154</v>
      </c>
      <c r="C537">
        <v>54</v>
      </c>
      <c r="D537">
        <v>3</v>
      </c>
      <c r="E537" t="s">
        <v>899</v>
      </c>
      <c r="F537" t="s">
        <v>903</v>
      </c>
      <c r="G537" t="s">
        <v>891</v>
      </c>
      <c r="H537" s="3" t="str">
        <f>VLOOKUP(A537,'Orders Dataset'!$A:$D,4,FALSE)</f>
        <v>Kerala</v>
      </c>
      <c r="I537" s="5" t="str">
        <f>VLOOKUP(A537,'Orders Dataset'!$A:$E,5,FALSE)</f>
        <v>Thiruvananthapuram</v>
      </c>
    </row>
    <row r="538" spans="1:9" x14ac:dyDescent="0.25">
      <c r="A538" t="s">
        <v>821</v>
      </c>
      <c r="B538">
        <v>36</v>
      </c>
      <c r="C538">
        <v>15</v>
      </c>
      <c r="D538">
        <v>3</v>
      </c>
      <c r="E538" t="s">
        <v>899</v>
      </c>
      <c r="F538" t="s">
        <v>907</v>
      </c>
      <c r="G538" t="s">
        <v>902</v>
      </c>
      <c r="H538" s="3" t="str">
        <f>VLOOKUP(A538,'Orders Dataset'!$A:$D,4,FALSE)</f>
        <v>Himachal Pradesh</v>
      </c>
      <c r="I538" s="5" t="str">
        <f>VLOOKUP(A538,'Orders Dataset'!$A:$E,5,FALSE)</f>
        <v>Simla</v>
      </c>
    </row>
    <row r="539" spans="1:9" x14ac:dyDescent="0.25">
      <c r="A539" t="s">
        <v>557</v>
      </c>
      <c r="B539">
        <v>206</v>
      </c>
      <c r="C539">
        <v>51</v>
      </c>
      <c r="D539">
        <v>4</v>
      </c>
      <c r="E539" t="s">
        <v>899</v>
      </c>
      <c r="F539" t="s">
        <v>903</v>
      </c>
      <c r="G539" t="s">
        <v>897</v>
      </c>
      <c r="H539" s="3" t="str">
        <f>VLOOKUP(A539,'Orders Dataset'!$A:$D,4,FALSE)</f>
        <v>Tamil Nadu</v>
      </c>
      <c r="I539" s="5" t="str">
        <f>VLOOKUP(A539,'Orders Dataset'!$A:$E,5,FALSE)</f>
        <v>Chennai</v>
      </c>
    </row>
    <row r="540" spans="1:9" x14ac:dyDescent="0.25">
      <c r="A540" t="s">
        <v>561</v>
      </c>
      <c r="B540">
        <v>200</v>
      </c>
      <c r="C540">
        <v>7</v>
      </c>
      <c r="D540">
        <v>4</v>
      </c>
      <c r="E540" t="s">
        <v>889</v>
      </c>
      <c r="F540" t="s">
        <v>890</v>
      </c>
      <c r="G540" t="s">
        <v>897</v>
      </c>
      <c r="H540" s="3" t="str">
        <f>VLOOKUP(A540,'Orders Dataset'!$A:$D,4,FALSE)</f>
        <v>Uttar Pradesh</v>
      </c>
      <c r="I540" s="5" t="str">
        <f>VLOOKUP(A540,'Orders Dataset'!$A:$E,5,FALSE)</f>
        <v>Lucknow</v>
      </c>
    </row>
    <row r="541" spans="1:9" x14ac:dyDescent="0.25">
      <c r="A541" t="s">
        <v>557</v>
      </c>
      <c r="B541">
        <v>199</v>
      </c>
      <c r="C541">
        <v>-1</v>
      </c>
      <c r="D541">
        <v>1</v>
      </c>
      <c r="E541" t="s">
        <v>899</v>
      </c>
      <c r="F541" t="s">
        <v>901</v>
      </c>
      <c r="G541" t="s">
        <v>897</v>
      </c>
      <c r="H541" s="3" t="str">
        <f>VLOOKUP(A541,'Orders Dataset'!$A:$D,4,FALSE)</f>
        <v>Tamil Nadu</v>
      </c>
      <c r="I541" s="5" t="str">
        <f>VLOOKUP(A541,'Orders Dataset'!$A:$E,5,FALSE)</f>
        <v>Chennai</v>
      </c>
    </row>
    <row r="542" spans="1:9" x14ac:dyDescent="0.25">
      <c r="A542" t="s">
        <v>214</v>
      </c>
      <c r="B542">
        <v>154</v>
      </c>
      <c r="C542">
        <v>22</v>
      </c>
      <c r="D542">
        <v>7</v>
      </c>
      <c r="E542" t="s">
        <v>899</v>
      </c>
      <c r="F542" t="s">
        <v>910</v>
      </c>
      <c r="G542" t="s">
        <v>891</v>
      </c>
      <c r="H542" s="3" t="str">
        <f>VLOOKUP(A542,'Orders Dataset'!$A:$D,4,FALSE)</f>
        <v>Uttar Pradesh</v>
      </c>
      <c r="I542" s="5" t="str">
        <f>VLOOKUP(A542,'Orders Dataset'!$A:$E,5,FALSE)</f>
        <v>Lucknow</v>
      </c>
    </row>
    <row r="543" spans="1:9" x14ac:dyDescent="0.25">
      <c r="A543" t="s">
        <v>622</v>
      </c>
      <c r="B543">
        <v>152</v>
      </c>
      <c r="C543">
        <v>23</v>
      </c>
      <c r="D543">
        <v>3</v>
      </c>
      <c r="E543" t="s">
        <v>892</v>
      </c>
      <c r="F543" t="s">
        <v>912</v>
      </c>
      <c r="G543" t="s">
        <v>891</v>
      </c>
      <c r="H543" s="3" t="str">
        <f>VLOOKUP(A543,'Orders Dataset'!$A:$D,4,FALSE)</f>
        <v>Maharashtra</v>
      </c>
      <c r="I543" s="5" t="str">
        <f>VLOOKUP(A543,'Orders Dataset'!$A:$E,5,FALSE)</f>
        <v>Pune</v>
      </c>
    </row>
    <row r="544" spans="1:9" x14ac:dyDescent="0.25">
      <c r="A544" t="s">
        <v>624</v>
      </c>
      <c r="B544">
        <v>152</v>
      </c>
      <c r="C544">
        <v>50</v>
      </c>
      <c r="D544">
        <v>6</v>
      </c>
      <c r="E544" t="s">
        <v>899</v>
      </c>
      <c r="F544" t="s">
        <v>907</v>
      </c>
      <c r="G544" t="s">
        <v>891</v>
      </c>
      <c r="H544" s="3" t="str">
        <f>VLOOKUP(A544,'Orders Dataset'!$A:$D,4,FALSE)</f>
        <v>Madhya Pradesh</v>
      </c>
      <c r="I544" s="5" t="str">
        <f>VLOOKUP(A544,'Orders Dataset'!$A:$E,5,FALSE)</f>
        <v>Bhopal</v>
      </c>
    </row>
    <row r="545" spans="1:9" x14ac:dyDescent="0.25">
      <c r="A545" t="s">
        <v>416</v>
      </c>
      <c r="B545">
        <v>122</v>
      </c>
      <c r="C545">
        <v>-21</v>
      </c>
      <c r="D545">
        <v>3</v>
      </c>
      <c r="E545" t="s">
        <v>892</v>
      </c>
      <c r="F545" t="s">
        <v>912</v>
      </c>
      <c r="G545" t="s">
        <v>902</v>
      </c>
      <c r="H545" s="3" t="str">
        <f>VLOOKUP(A545,'Orders Dataset'!$A:$D,4,FALSE)</f>
        <v>Maharashtra</v>
      </c>
      <c r="I545" s="5" t="str">
        <f>VLOOKUP(A545,'Orders Dataset'!$A:$E,5,FALSE)</f>
        <v>Mumbai</v>
      </c>
    </row>
    <row r="546" spans="1:9" x14ac:dyDescent="0.25">
      <c r="A546" t="s">
        <v>421</v>
      </c>
      <c r="B546">
        <v>149</v>
      </c>
      <c r="C546">
        <v>48</v>
      </c>
      <c r="D546">
        <v>6</v>
      </c>
      <c r="E546" t="s">
        <v>899</v>
      </c>
      <c r="F546" t="s">
        <v>907</v>
      </c>
      <c r="G546" t="s">
        <v>891</v>
      </c>
      <c r="H546" s="3" t="str">
        <f>VLOOKUP(A546,'Orders Dataset'!$A:$D,4,FALSE)</f>
        <v>Maharashtra</v>
      </c>
      <c r="I546" s="5" t="str">
        <f>VLOOKUP(A546,'Orders Dataset'!$A:$E,5,FALSE)</f>
        <v>Pune</v>
      </c>
    </row>
    <row r="547" spans="1:9" x14ac:dyDescent="0.25">
      <c r="A547" t="s">
        <v>608</v>
      </c>
      <c r="B547">
        <v>149</v>
      </c>
      <c r="C547">
        <v>-87</v>
      </c>
      <c r="D547">
        <v>4</v>
      </c>
      <c r="E547" t="s">
        <v>899</v>
      </c>
      <c r="F547" t="s">
        <v>901</v>
      </c>
      <c r="G547" t="s">
        <v>891</v>
      </c>
      <c r="H547" s="3" t="str">
        <f>VLOOKUP(A547,'Orders Dataset'!$A:$D,4,FALSE)</f>
        <v>West Bengal</v>
      </c>
      <c r="I547" s="5" t="str">
        <f>VLOOKUP(A547,'Orders Dataset'!$A:$E,5,FALSE)</f>
        <v>Kolkata</v>
      </c>
    </row>
    <row r="548" spans="1:9" x14ac:dyDescent="0.25">
      <c r="A548" t="s">
        <v>562</v>
      </c>
      <c r="B548">
        <v>197</v>
      </c>
      <c r="C548">
        <v>20</v>
      </c>
      <c r="D548">
        <v>4</v>
      </c>
      <c r="E548" t="s">
        <v>899</v>
      </c>
      <c r="F548" t="s">
        <v>904</v>
      </c>
      <c r="G548" t="s">
        <v>897</v>
      </c>
      <c r="H548" s="3" t="str">
        <f>VLOOKUP(A548,'Orders Dataset'!$A:$D,4,FALSE)</f>
        <v>Madhya Pradesh</v>
      </c>
      <c r="I548" s="5" t="str">
        <f>VLOOKUP(A548,'Orders Dataset'!$A:$E,5,FALSE)</f>
        <v>Indore</v>
      </c>
    </row>
    <row r="549" spans="1:9" x14ac:dyDescent="0.25">
      <c r="A549" t="s">
        <v>755</v>
      </c>
      <c r="B549">
        <v>76</v>
      </c>
      <c r="C549">
        <v>-54</v>
      </c>
      <c r="D549">
        <v>3</v>
      </c>
      <c r="E549" t="s">
        <v>889</v>
      </c>
      <c r="F549" t="s">
        <v>890</v>
      </c>
      <c r="G549" t="s">
        <v>891</v>
      </c>
      <c r="H549" s="3" t="str">
        <f>VLOOKUP(A549,'Orders Dataset'!$A:$D,4,FALSE)</f>
        <v>Maharashtra</v>
      </c>
      <c r="I549" s="5" t="str">
        <f>VLOOKUP(A549,'Orders Dataset'!$A:$E,5,FALSE)</f>
        <v>Mumbai</v>
      </c>
    </row>
    <row r="550" spans="1:9" x14ac:dyDescent="0.25">
      <c r="A550" t="s">
        <v>375</v>
      </c>
      <c r="B550">
        <v>221</v>
      </c>
      <c r="C550">
        <v>-15</v>
      </c>
      <c r="D550">
        <v>2</v>
      </c>
      <c r="E550" t="s">
        <v>889</v>
      </c>
      <c r="F550" t="s">
        <v>890</v>
      </c>
      <c r="G550" t="s">
        <v>891</v>
      </c>
      <c r="H550" s="3" t="str">
        <f>VLOOKUP(A550,'Orders Dataset'!$A:$D,4,FALSE)</f>
        <v>Maharashtra</v>
      </c>
      <c r="I550" s="5" t="str">
        <f>VLOOKUP(A550,'Orders Dataset'!$A:$E,5,FALSE)</f>
        <v>Mumbai</v>
      </c>
    </row>
    <row r="551" spans="1:9" x14ac:dyDescent="0.25">
      <c r="A551" t="s">
        <v>397</v>
      </c>
      <c r="B551">
        <v>79</v>
      </c>
      <c r="C551">
        <v>32</v>
      </c>
      <c r="D551">
        <v>3</v>
      </c>
      <c r="E551" t="s">
        <v>899</v>
      </c>
      <c r="F551" t="s">
        <v>901</v>
      </c>
      <c r="G551" t="s">
        <v>911</v>
      </c>
      <c r="H551" s="3" t="str">
        <f>VLOOKUP(A551,'Orders Dataset'!$A:$D,4,FALSE)</f>
        <v>Rajasthan</v>
      </c>
      <c r="I551" s="5" t="str">
        <f>VLOOKUP(A551,'Orders Dataset'!$A:$E,5,FALSE)</f>
        <v>Jaipur</v>
      </c>
    </row>
    <row r="552" spans="1:9" x14ac:dyDescent="0.25">
      <c r="A552" t="s">
        <v>673</v>
      </c>
      <c r="B552">
        <v>45</v>
      </c>
      <c r="C552">
        <v>12</v>
      </c>
      <c r="D552">
        <v>7</v>
      </c>
      <c r="E552" t="s">
        <v>899</v>
      </c>
      <c r="F552" t="s">
        <v>903</v>
      </c>
      <c r="G552" t="s">
        <v>902</v>
      </c>
      <c r="H552" s="3" t="str">
        <f>VLOOKUP(A552,'Orders Dataset'!$A:$D,4,FALSE)</f>
        <v>Maharashtra</v>
      </c>
      <c r="I552" s="5" t="str">
        <f>VLOOKUP(A552,'Orders Dataset'!$A:$E,5,FALSE)</f>
        <v>Pune</v>
      </c>
    </row>
    <row r="553" spans="1:9" x14ac:dyDescent="0.25">
      <c r="A553" t="s">
        <v>644</v>
      </c>
      <c r="B553">
        <v>149</v>
      </c>
      <c r="C553">
        <v>-1</v>
      </c>
      <c r="D553">
        <v>1</v>
      </c>
      <c r="E553" t="s">
        <v>899</v>
      </c>
      <c r="F553" t="s">
        <v>901</v>
      </c>
      <c r="G553" t="s">
        <v>891</v>
      </c>
      <c r="H553" s="3" t="str">
        <f>VLOOKUP(A553,'Orders Dataset'!$A:$D,4,FALSE)</f>
        <v>Gujarat</v>
      </c>
      <c r="I553" s="5" t="str">
        <f>VLOOKUP(A553,'Orders Dataset'!$A:$E,5,FALSE)</f>
        <v>Ahmedabad</v>
      </c>
    </row>
    <row r="554" spans="1:9" x14ac:dyDescent="0.25">
      <c r="A554" t="s">
        <v>518</v>
      </c>
      <c r="B554">
        <v>80</v>
      </c>
      <c r="C554">
        <v>22</v>
      </c>
      <c r="D554">
        <v>3</v>
      </c>
      <c r="E554" t="s">
        <v>899</v>
      </c>
      <c r="F554" t="s">
        <v>907</v>
      </c>
      <c r="G554" t="s">
        <v>911</v>
      </c>
      <c r="H554" s="3" t="str">
        <f>VLOOKUP(A554,'Orders Dataset'!$A:$D,4,FALSE)</f>
        <v>Delhi</v>
      </c>
      <c r="I554" s="5" t="str">
        <f>VLOOKUP(A554,'Orders Dataset'!$A:$E,5,FALSE)</f>
        <v>Delhi</v>
      </c>
    </row>
    <row r="555" spans="1:9" x14ac:dyDescent="0.25">
      <c r="A555" t="s">
        <v>510</v>
      </c>
      <c r="B555">
        <v>195</v>
      </c>
      <c r="C555">
        <v>12</v>
      </c>
      <c r="D555">
        <v>9</v>
      </c>
      <c r="E555" t="s">
        <v>899</v>
      </c>
      <c r="F555" t="s">
        <v>913</v>
      </c>
      <c r="G555" t="s">
        <v>897</v>
      </c>
      <c r="H555" s="3" t="str">
        <f>VLOOKUP(A555,'Orders Dataset'!$A:$D,4,FALSE)</f>
        <v>Uttar Pradesh</v>
      </c>
      <c r="I555" s="5" t="str">
        <f>VLOOKUP(A555,'Orders Dataset'!$A:$E,5,FALSE)</f>
        <v>Lucknow</v>
      </c>
    </row>
    <row r="556" spans="1:9" x14ac:dyDescent="0.25">
      <c r="A556" t="s">
        <v>488</v>
      </c>
      <c r="B556">
        <v>19</v>
      </c>
      <c r="C556">
        <v>0</v>
      </c>
      <c r="D556">
        <v>3</v>
      </c>
      <c r="E556" t="s">
        <v>899</v>
      </c>
      <c r="F556" t="s">
        <v>905</v>
      </c>
      <c r="G556" t="s">
        <v>902</v>
      </c>
      <c r="H556" s="3" t="str">
        <f>VLOOKUP(A556,'Orders Dataset'!$A:$D,4,FALSE)</f>
        <v>Bihar</v>
      </c>
      <c r="I556" s="5" t="str">
        <f>VLOOKUP(A556,'Orders Dataset'!$A:$E,5,FALSE)</f>
        <v>Patna</v>
      </c>
    </row>
    <row r="557" spans="1:9" x14ac:dyDescent="0.25">
      <c r="A557" t="s">
        <v>177</v>
      </c>
      <c r="B557">
        <v>81</v>
      </c>
      <c r="C557">
        <v>41</v>
      </c>
      <c r="D557">
        <v>3</v>
      </c>
      <c r="E557" t="s">
        <v>899</v>
      </c>
      <c r="F557" t="s">
        <v>907</v>
      </c>
      <c r="G557" t="s">
        <v>911</v>
      </c>
      <c r="H557" s="3" t="str">
        <f>VLOOKUP(A557,'Orders Dataset'!$A:$D,4,FALSE)</f>
        <v>Andhra Pradesh</v>
      </c>
      <c r="I557" s="5" t="str">
        <f>VLOOKUP(A557,'Orders Dataset'!$A:$E,5,FALSE)</f>
        <v>Hyderabad</v>
      </c>
    </row>
    <row r="558" spans="1:9" x14ac:dyDescent="0.25">
      <c r="A558" t="s">
        <v>743</v>
      </c>
      <c r="B558">
        <v>83</v>
      </c>
      <c r="C558">
        <v>34</v>
      </c>
      <c r="D558">
        <v>5</v>
      </c>
      <c r="E558" t="s">
        <v>899</v>
      </c>
      <c r="F558" t="s">
        <v>913</v>
      </c>
      <c r="G558" t="s">
        <v>911</v>
      </c>
      <c r="H558" s="3" t="str">
        <f>VLOOKUP(A558,'Orders Dataset'!$A:$D,4,FALSE)</f>
        <v>Kerala</v>
      </c>
      <c r="I558" s="5" t="str">
        <f>VLOOKUP(A558,'Orders Dataset'!$A:$E,5,FALSE)</f>
        <v>Thiruvananthapuram</v>
      </c>
    </row>
    <row r="559" spans="1:9" x14ac:dyDescent="0.25">
      <c r="A559" t="s">
        <v>627</v>
      </c>
      <c r="B559">
        <v>149</v>
      </c>
      <c r="C559">
        <v>17</v>
      </c>
      <c r="D559">
        <v>4</v>
      </c>
      <c r="E559" t="s">
        <v>892</v>
      </c>
      <c r="F559" t="s">
        <v>912</v>
      </c>
      <c r="G559" t="s">
        <v>891</v>
      </c>
      <c r="H559" s="3" t="str">
        <f>VLOOKUP(A559,'Orders Dataset'!$A:$D,4,FALSE)</f>
        <v>Delhi</v>
      </c>
      <c r="I559" s="5" t="str">
        <f>VLOOKUP(A559,'Orders Dataset'!$A:$E,5,FALSE)</f>
        <v>Delhi</v>
      </c>
    </row>
    <row r="560" spans="1:9" x14ac:dyDescent="0.25">
      <c r="A560" t="s">
        <v>566</v>
      </c>
      <c r="B560">
        <v>193</v>
      </c>
      <c r="C560">
        <v>46</v>
      </c>
      <c r="D560">
        <v>1</v>
      </c>
      <c r="E560" t="s">
        <v>889</v>
      </c>
      <c r="F560" t="s">
        <v>896</v>
      </c>
      <c r="G560" t="s">
        <v>897</v>
      </c>
      <c r="H560" s="3" t="str">
        <f>VLOOKUP(A560,'Orders Dataset'!$A:$D,4,FALSE)</f>
        <v>Maharashtra</v>
      </c>
      <c r="I560" s="5" t="str">
        <f>VLOOKUP(A560,'Orders Dataset'!$A:$E,5,FALSE)</f>
        <v>Pune</v>
      </c>
    </row>
    <row r="561" spans="1:9" x14ac:dyDescent="0.25">
      <c r="A561" t="s">
        <v>138</v>
      </c>
      <c r="B561">
        <v>85</v>
      </c>
      <c r="C561">
        <v>24</v>
      </c>
      <c r="D561">
        <v>10</v>
      </c>
      <c r="E561" t="s">
        <v>899</v>
      </c>
      <c r="F561" t="s">
        <v>903</v>
      </c>
      <c r="G561" t="s">
        <v>911</v>
      </c>
      <c r="H561" s="3" t="str">
        <f>VLOOKUP(A561,'Orders Dataset'!$A:$D,4,FALSE)</f>
        <v>West Bengal</v>
      </c>
      <c r="I561" s="5" t="str">
        <f>VLOOKUP(A561,'Orders Dataset'!$A:$E,5,FALSE)</f>
        <v>Kolkata</v>
      </c>
    </row>
    <row r="562" spans="1:9" x14ac:dyDescent="0.25">
      <c r="A562" t="s">
        <v>644</v>
      </c>
      <c r="B562">
        <v>44</v>
      </c>
      <c r="C562">
        <v>-17</v>
      </c>
      <c r="D562">
        <v>5</v>
      </c>
      <c r="E562" t="s">
        <v>899</v>
      </c>
      <c r="F562" t="s">
        <v>901</v>
      </c>
      <c r="G562" t="s">
        <v>902</v>
      </c>
      <c r="H562" s="3" t="str">
        <f>VLOOKUP(A562,'Orders Dataset'!$A:$D,4,FALSE)</f>
        <v>Gujarat</v>
      </c>
      <c r="I562" s="5" t="str">
        <f>VLOOKUP(A562,'Orders Dataset'!$A:$E,5,FALSE)</f>
        <v>Ahmedabad</v>
      </c>
    </row>
    <row r="563" spans="1:9" x14ac:dyDescent="0.25">
      <c r="A563" t="s">
        <v>573</v>
      </c>
      <c r="B563">
        <v>149</v>
      </c>
      <c r="C563">
        <v>-40</v>
      </c>
      <c r="D563">
        <v>2</v>
      </c>
      <c r="E563" t="s">
        <v>889</v>
      </c>
      <c r="F563" t="s">
        <v>898</v>
      </c>
      <c r="G563" t="s">
        <v>891</v>
      </c>
      <c r="H563" s="3" t="str">
        <f>VLOOKUP(A563,'Orders Dataset'!$A:$D,4,FALSE)</f>
        <v>Haryana</v>
      </c>
      <c r="I563" s="5" t="str">
        <f>VLOOKUP(A563,'Orders Dataset'!$A:$E,5,FALSE)</f>
        <v>Chandigarh</v>
      </c>
    </row>
    <row r="564" spans="1:9" x14ac:dyDescent="0.25">
      <c r="A564" t="s">
        <v>275</v>
      </c>
      <c r="B564">
        <v>26</v>
      </c>
      <c r="C564">
        <v>0</v>
      </c>
      <c r="D564">
        <v>2</v>
      </c>
      <c r="E564" t="s">
        <v>899</v>
      </c>
      <c r="F564" t="s">
        <v>904</v>
      </c>
      <c r="G564" t="s">
        <v>891</v>
      </c>
      <c r="H564" s="3" t="str">
        <f>VLOOKUP(A564,'Orders Dataset'!$A:$D,4,FALSE)</f>
        <v>Maharashtra</v>
      </c>
      <c r="I564" s="5" t="str">
        <f>VLOOKUP(A564,'Orders Dataset'!$A:$E,5,FALSE)</f>
        <v>Pune</v>
      </c>
    </row>
    <row r="565" spans="1:9" x14ac:dyDescent="0.25">
      <c r="A565" t="s">
        <v>519</v>
      </c>
      <c r="B565">
        <v>86</v>
      </c>
      <c r="C565">
        <v>0</v>
      </c>
      <c r="D565">
        <v>4</v>
      </c>
      <c r="E565" t="s">
        <v>899</v>
      </c>
      <c r="F565" t="s">
        <v>910</v>
      </c>
      <c r="G565" t="s">
        <v>911</v>
      </c>
      <c r="H565" s="3" t="str">
        <f>VLOOKUP(A565,'Orders Dataset'!$A:$D,4,FALSE)</f>
        <v>Madhya Pradesh</v>
      </c>
      <c r="I565" s="5" t="str">
        <f>VLOOKUP(A565,'Orders Dataset'!$A:$E,5,FALSE)</f>
        <v>Indore</v>
      </c>
    </row>
    <row r="566" spans="1:9" x14ac:dyDescent="0.25">
      <c r="A566" t="s">
        <v>740</v>
      </c>
      <c r="B566">
        <v>86</v>
      </c>
      <c r="C566">
        <v>22</v>
      </c>
      <c r="D566">
        <v>2</v>
      </c>
      <c r="E566" t="s">
        <v>899</v>
      </c>
      <c r="F566" t="s">
        <v>901</v>
      </c>
      <c r="G566" t="s">
        <v>911</v>
      </c>
      <c r="H566" s="3" t="str">
        <f>VLOOKUP(A566,'Orders Dataset'!$A:$D,4,FALSE)</f>
        <v>Maharashtra</v>
      </c>
      <c r="I566" s="5" t="str">
        <f>VLOOKUP(A566,'Orders Dataset'!$A:$E,5,FALSE)</f>
        <v>Pune</v>
      </c>
    </row>
    <row r="567" spans="1:9" x14ac:dyDescent="0.25">
      <c r="A567" t="s">
        <v>70</v>
      </c>
      <c r="B567">
        <v>79</v>
      </c>
      <c r="C567">
        <v>16</v>
      </c>
      <c r="D567">
        <v>3</v>
      </c>
      <c r="E567" t="s">
        <v>899</v>
      </c>
      <c r="F567" t="s">
        <v>910</v>
      </c>
      <c r="G567" t="s">
        <v>891</v>
      </c>
      <c r="H567" s="3" t="str">
        <f>VLOOKUP(A567,'Orders Dataset'!$A:$D,4,FALSE)</f>
        <v>Madhya Pradesh</v>
      </c>
      <c r="I567" s="5" t="str">
        <f>VLOOKUP(A567,'Orders Dataset'!$A:$E,5,FALSE)</f>
        <v>Bhopal</v>
      </c>
    </row>
    <row r="568" spans="1:9" x14ac:dyDescent="0.25">
      <c r="A568" t="s">
        <v>567</v>
      </c>
      <c r="B568">
        <v>193</v>
      </c>
      <c r="C568">
        <v>-275</v>
      </c>
      <c r="D568">
        <v>3</v>
      </c>
      <c r="E568" t="s">
        <v>889</v>
      </c>
      <c r="F568" t="s">
        <v>898</v>
      </c>
      <c r="G568" t="s">
        <v>897</v>
      </c>
      <c r="H568" s="3" t="str">
        <f>VLOOKUP(A568,'Orders Dataset'!$A:$D,4,FALSE)</f>
        <v>Rajasthan</v>
      </c>
      <c r="I568" s="5" t="str">
        <f>VLOOKUP(A568,'Orders Dataset'!$A:$E,5,FALSE)</f>
        <v>Jaipur</v>
      </c>
    </row>
    <row r="569" spans="1:9" x14ac:dyDescent="0.25">
      <c r="A569" t="s">
        <v>339</v>
      </c>
      <c r="B569">
        <v>148</v>
      </c>
      <c r="C569">
        <v>0</v>
      </c>
      <c r="D569">
        <v>3</v>
      </c>
      <c r="E569" t="s">
        <v>899</v>
      </c>
      <c r="F569" t="s">
        <v>901</v>
      </c>
      <c r="G569" t="s">
        <v>891</v>
      </c>
      <c r="H569" s="3" t="str">
        <f>VLOOKUP(A569,'Orders Dataset'!$A:$D,4,FALSE)</f>
        <v>Maharashtra</v>
      </c>
      <c r="I569" s="5" t="str">
        <f>VLOOKUP(A569,'Orders Dataset'!$A:$E,5,FALSE)</f>
        <v>Mumbai</v>
      </c>
    </row>
    <row r="570" spans="1:9" x14ac:dyDescent="0.25">
      <c r="A570" t="s">
        <v>202</v>
      </c>
      <c r="B570">
        <v>70</v>
      </c>
      <c r="C570">
        <v>-14</v>
      </c>
      <c r="D570">
        <v>2</v>
      </c>
      <c r="E570" t="s">
        <v>892</v>
      </c>
      <c r="F570" t="s">
        <v>912</v>
      </c>
      <c r="G570" t="s">
        <v>902</v>
      </c>
      <c r="H570" s="3" t="str">
        <f>VLOOKUP(A570,'Orders Dataset'!$A:$D,4,FALSE)</f>
        <v>Punjab</v>
      </c>
      <c r="I570" s="5" t="str">
        <f>VLOOKUP(A570,'Orders Dataset'!$A:$E,5,FALSE)</f>
        <v>Chandigarh</v>
      </c>
    </row>
    <row r="571" spans="1:9" x14ac:dyDescent="0.25">
      <c r="A571" t="s">
        <v>629</v>
      </c>
      <c r="B571">
        <v>148</v>
      </c>
      <c r="C571">
        <v>59</v>
      </c>
      <c r="D571">
        <v>3</v>
      </c>
      <c r="E571" t="s">
        <v>899</v>
      </c>
      <c r="F571" t="s">
        <v>903</v>
      </c>
      <c r="G571" t="s">
        <v>891</v>
      </c>
      <c r="H571" s="3" t="str">
        <f>VLOOKUP(A571,'Orders Dataset'!$A:$D,4,FALSE)</f>
        <v>Uttar Pradesh</v>
      </c>
      <c r="I571" s="5" t="str">
        <f>VLOOKUP(A571,'Orders Dataset'!$A:$E,5,FALSE)</f>
        <v>Lucknow</v>
      </c>
    </row>
    <row r="572" spans="1:9" x14ac:dyDescent="0.25">
      <c r="A572" t="s">
        <v>93</v>
      </c>
      <c r="B572">
        <v>190</v>
      </c>
      <c r="C572">
        <v>19</v>
      </c>
      <c r="D572">
        <v>9</v>
      </c>
      <c r="E572" t="s">
        <v>892</v>
      </c>
      <c r="F572" t="s">
        <v>912</v>
      </c>
      <c r="G572" t="s">
        <v>897</v>
      </c>
      <c r="H572" s="3" t="str">
        <f>VLOOKUP(A572,'Orders Dataset'!$A:$D,4,FALSE)</f>
        <v>Madhya Pradesh</v>
      </c>
      <c r="I572" s="5" t="str">
        <f>VLOOKUP(A572,'Orders Dataset'!$A:$E,5,FALSE)</f>
        <v>Indore</v>
      </c>
    </row>
    <row r="573" spans="1:9" x14ac:dyDescent="0.25">
      <c r="A573" t="s">
        <v>662</v>
      </c>
      <c r="B573">
        <v>52</v>
      </c>
      <c r="C573">
        <v>14</v>
      </c>
      <c r="D573">
        <v>2</v>
      </c>
      <c r="E573" t="s">
        <v>899</v>
      </c>
      <c r="F573" t="s">
        <v>907</v>
      </c>
      <c r="G573" t="s">
        <v>891</v>
      </c>
      <c r="H573" s="3" t="str">
        <f>VLOOKUP(A573,'Orders Dataset'!$A:$D,4,FALSE)</f>
        <v>Bihar</v>
      </c>
      <c r="I573" s="5" t="str">
        <f>VLOOKUP(A573,'Orders Dataset'!$A:$E,5,FALSE)</f>
        <v>Patna</v>
      </c>
    </row>
    <row r="574" spans="1:9" x14ac:dyDescent="0.25">
      <c r="A574" t="s">
        <v>603</v>
      </c>
      <c r="B574">
        <v>147</v>
      </c>
      <c r="C574">
        <v>44</v>
      </c>
      <c r="D574">
        <v>3</v>
      </c>
      <c r="E574" t="s">
        <v>899</v>
      </c>
      <c r="F574" t="s">
        <v>901</v>
      </c>
      <c r="G574" t="s">
        <v>891</v>
      </c>
      <c r="H574" s="3" t="str">
        <f>VLOOKUP(A574,'Orders Dataset'!$A:$D,4,FALSE)</f>
        <v>Rajasthan</v>
      </c>
      <c r="I574" s="5" t="str">
        <f>VLOOKUP(A574,'Orders Dataset'!$A:$E,5,FALSE)</f>
        <v>Jaipur</v>
      </c>
    </row>
    <row r="575" spans="1:9" x14ac:dyDescent="0.25">
      <c r="A575" t="s">
        <v>509</v>
      </c>
      <c r="B575">
        <v>190</v>
      </c>
      <c r="C575">
        <v>68</v>
      </c>
      <c r="D575">
        <v>8</v>
      </c>
      <c r="E575" t="s">
        <v>899</v>
      </c>
      <c r="F575" t="s">
        <v>910</v>
      </c>
      <c r="G575" t="s">
        <v>897</v>
      </c>
      <c r="H575" s="3" t="str">
        <f>VLOOKUP(A575,'Orders Dataset'!$A:$D,4,FALSE)</f>
        <v>Maharashtra</v>
      </c>
      <c r="I575" s="5" t="str">
        <f>VLOOKUP(A575,'Orders Dataset'!$A:$E,5,FALSE)</f>
        <v>Mumbai</v>
      </c>
    </row>
    <row r="576" spans="1:9" x14ac:dyDescent="0.25">
      <c r="A576" t="s">
        <v>160</v>
      </c>
      <c r="B576">
        <v>80</v>
      </c>
      <c r="C576">
        <v>-56</v>
      </c>
      <c r="D576">
        <v>4</v>
      </c>
      <c r="E576" t="s">
        <v>889</v>
      </c>
      <c r="F576" t="s">
        <v>890</v>
      </c>
      <c r="G576" t="s">
        <v>902</v>
      </c>
      <c r="H576" s="3" t="str">
        <f>VLOOKUP(A576,'Orders Dataset'!$A:$D,4,FALSE)</f>
        <v>Gujarat</v>
      </c>
      <c r="I576" s="5" t="str">
        <f>VLOOKUP(A576,'Orders Dataset'!$A:$E,5,FALSE)</f>
        <v>Ahmedabad</v>
      </c>
    </row>
    <row r="577" spans="1:9" x14ac:dyDescent="0.25">
      <c r="A577" t="s">
        <v>221</v>
      </c>
      <c r="B577">
        <v>147</v>
      </c>
      <c r="C577">
        <v>48</v>
      </c>
      <c r="D577">
        <v>3</v>
      </c>
      <c r="E577" t="s">
        <v>899</v>
      </c>
      <c r="F577" t="s">
        <v>901</v>
      </c>
      <c r="G577" t="s">
        <v>891</v>
      </c>
      <c r="H577" s="3" t="str">
        <f>VLOOKUP(A577,'Orders Dataset'!$A:$D,4,FALSE)</f>
        <v>Madhya Pradesh</v>
      </c>
      <c r="I577" s="5" t="str">
        <f>VLOOKUP(A577,'Orders Dataset'!$A:$E,5,FALSE)</f>
        <v>Indore</v>
      </c>
    </row>
    <row r="578" spans="1:9" x14ac:dyDescent="0.25">
      <c r="A578" t="s">
        <v>162</v>
      </c>
      <c r="B578">
        <v>66</v>
      </c>
      <c r="C578">
        <v>12</v>
      </c>
      <c r="D578">
        <v>3</v>
      </c>
      <c r="E578" t="s">
        <v>899</v>
      </c>
      <c r="F578" t="s">
        <v>907</v>
      </c>
      <c r="G578" t="s">
        <v>891</v>
      </c>
      <c r="H578" s="3" t="str">
        <f>VLOOKUP(A578,'Orders Dataset'!$A:$D,4,FALSE)</f>
        <v>Madhya Pradesh</v>
      </c>
      <c r="I578" s="5" t="str">
        <f>VLOOKUP(A578,'Orders Dataset'!$A:$E,5,FALSE)</f>
        <v>Indore</v>
      </c>
    </row>
    <row r="579" spans="1:9" x14ac:dyDescent="0.25">
      <c r="A579" t="s">
        <v>736</v>
      </c>
      <c r="B579">
        <v>86</v>
      </c>
      <c r="C579">
        <v>8</v>
      </c>
      <c r="D579">
        <v>2</v>
      </c>
      <c r="E579" t="s">
        <v>899</v>
      </c>
      <c r="F579" t="s">
        <v>901</v>
      </c>
      <c r="G579" t="s">
        <v>911</v>
      </c>
      <c r="H579" s="3" t="str">
        <f>VLOOKUP(A579,'Orders Dataset'!$A:$D,4,FALSE)</f>
        <v>Madhya Pradesh</v>
      </c>
      <c r="I579" s="5" t="str">
        <f>VLOOKUP(A579,'Orders Dataset'!$A:$E,5,FALSE)</f>
        <v>Indore</v>
      </c>
    </row>
    <row r="580" spans="1:9" x14ac:dyDescent="0.25">
      <c r="A580" t="s">
        <v>360</v>
      </c>
      <c r="B580">
        <v>88</v>
      </c>
      <c r="C580">
        <v>19</v>
      </c>
      <c r="D580">
        <v>2</v>
      </c>
      <c r="E580" t="s">
        <v>899</v>
      </c>
      <c r="F580" t="s">
        <v>913</v>
      </c>
      <c r="G580" t="s">
        <v>911</v>
      </c>
      <c r="H580" s="3" t="str">
        <f>VLOOKUP(A580,'Orders Dataset'!$A:$D,4,FALSE)</f>
        <v>Maharashtra</v>
      </c>
      <c r="I580" s="5" t="str">
        <f>VLOOKUP(A580,'Orders Dataset'!$A:$E,5,FALSE)</f>
        <v>Mumbai</v>
      </c>
    </row>
    <row r="581" spans="1:9" x14ac:dyDescent="0.25">
      <c r="A581" t="s">
        <v>177</v>
      </c>
      <c r="B581">
        <v>188</v>
      </c>
      <c r="C581">
        <v>-193</v>
      </c>
      <c r="D581">
        <v>2</v>
      </c>
      <c r="E581" t="s">
        <v>889</v>
      </c>
      <c r="F581" t="s">
        <v>890</v>
      </c>
      <c r="G581" t="s">
        <v>897</v>
      </c>
      <c r="H581" s="3" t="str">
        <f>VLOOKUP(A581,'Orders Dataset'!$A:$D,4,FALSE)</f>
        <v>Andhra Pradesh</v>
      </c>
      <c r="I581" s="5" t="str">
        <f>VLOOKUP(A581,'Orders Dataset'!$A:$E,5,FALSE)</f>
        <v>Hyderabad</v>
      </c>
    </row>
    <row r="582" spans="1:9" x14ac:dyDescent="0.25">
      <c r="A582" t="s">
        <v>286</v>
      </c>
      <c r="B582">
        <v>89</v>
      </c>
      <c r="C582">
        <v>29</v>
      </c>
      <c r="D582">
        <v>2</v>
      </c>
      <c r="E582" t="s">
        <v>899</v>
      </c>
      <c r="F582" t="s">
        <v>907</v>
      </c>
      <c r="G582" t="s">
        <v>902</v>
      </c>
      <c r="H582" s="3" t="str">
        <f>VLOOKUP(A582,'Orders Dataset'!$A:$D,4,FALSE)</f>
        <v>West Bengal</v>
      </c>
      <c r="I582" s="5" t="str">
        <f>VLOOKUP(A582,'Orders Dataset'!$A:$E,5,FALSE)</f>
        <v>Kolkata</v>
      </c>
    </row>
    <row r="583" spans="1:9" x14ac:dyDescent="0.25">
      <c r="A583" t="s">
        <v>639</v>
      </c>
      <c r="B583">
        <v>146</v>
      </c>
      <c r="C583">
        <v>19</v>
      </c>
      <c r="D583">
        <v>5</v>
      </c>
      <c r="E583" t="s">
        <v>899</v>
      </c>
      <c r="F583" t="s">
        <v>907</v>
      </c>
      <c r="G583" t="s">
        <v>891</v>
      </c>
      <c r="H583" s="3" t="str">
        <f>VLOOKUP(A583,'Orders Dataset'!$A:$D,4,FALSE)</f>
        <v>Madhya Pradesh</v>
      </c>
      <c r="I583" s="5" t="str">
        <f>VLOOKUP(A583,'Orders Dataset'!$A:$E,5,FALSE)</f>
        <v>Indore</v>
      </c>
    </row>
    <row r="584" spans="1:9" x14ac:dyDescent="0.25">
      <c r="A584" t="s">
        <v>267</v>
      </c>
      <c r="B584">
        <v>143</v>
      </c>
      <c r="C584">
        <v>32</v>
      </c>
      <c r="D584">
        <v>1</v>
      </c>
      <c r="E584" t="s">
        <v>892</v>
      </c>
      <c r="F584" t="s">
        <v>895</v>
      </c>
      <c r="G584" t="s">
        <v>891</v>
      </c>
      <c r="H584" s="3" t="str">
        <f>VLOOKUP(A584,'Orders Dataset'!$A:$D,4,FALSE)</f>
        <v>West Bengal</v>
      </c>
      <c r="I584" s="5" t="str">
        <f>VLOOKUP(A584,'Orders Dataset'!$A:$E,5,FALSE)</f>
        <v>Kolkata</v>
      </c>
    </row>
    <row r="585" spans="1:9" x14ac:dyDescent="0.25">
      <c r="A585" t="s">
        <v>273</v>
      </c>
      <c r="B585">
        <v>25</v>
      </c>
      <c r="C585">
        <v>-1</v>
      </c>
      <c r="D585">
        <v>4</v>
      </c>
      <c r="E585" t="s">
        <v>899</v>
      </c>
      <c r="F585" t="s">
        <v>904</v>
      </c>
      <c r="G585" t="s">
        <v>891</v>
      </c>
      <c r="H585" s="3" t="str">
        <f>VLOOKUP(A585,'Orders Dataset'!$A:$D,4,FALSE)</f>
        <v>Gujarat</v>
      </c>
      <c r="I585" s="5" t="str">
        <f>VLOOKUP(A585,'Orders Dataset'!$A:$E,5,FALSE)</f>
        <v>Ahmedabad</v>
      </c>
    </row>
    <row r="586" spans="1:9" x14ac:dyDescent="0.25">
      <c r="A586" t="s">
        <v>580</v>
      </c>
      <c r="B586">
        <v>30</v>
      </c>
      <c r="C586">
        <v>12</v>
      </c>
      <c r="D586">
        <v>3</v>
      </c>
      <c r="E586" t="s">
        <v>899</v>
      </c>
      <c r="F586" t="s">
        <v>905</v>
      </c>
      <c r="G586" t="s">
        <v>902</v>
      </c>
      <c r="H586" s="3" t="str">
        <f>VLOOKUP(A586,'Orders Dataset'!$A:$D,4,FALSE)</f>
        <v>Sikkim</v>
      </c>
      <c r="I586" s="5" t="str">
        <f>VLOOKUP(A586,'Orders Dataset'!$A:$E,5,FALSE)</f>
        <v>Gangtok</v>
      </c>
    </row>
    <row r="587" spans="1:9" x14ac:dyDescent="0.25">
      <c r="A587" t="s">
        <v>364</v>
      </c>
      <c r="B587">
        <v>140</v>
      </c>
      <c r="C587">
        <v>-58</v>
      </c>
      <c r="D587">
        <v>4</v>
      </c>
      <c r="E587" t="s">
        <v>892</v>
      </c>
      <c r="F587" t="s">
        <v>912</v>
      </c>
      <c r="G587" t="s">
        <v>891</v>
      </c>
      <c r="H587" s="3" t="str">
        <f>VLOOKUP(A587,'Orders Dataset'!$A:$D,4,FALSE)</f>
        <v>Jammu and Kashmir</v>
      </c>
      <c r="I587" s="5" t="str">
        <f>VLOOKUP(A587,'Orders Dataset'!$A:$E,5,FALSE)</f>
        <v>Kashmir</v>
      </c>
    </row>
    <row r="588" spans="1:9" x14ac:dyDescent="0.25">
      <c r="A588" t="s">
        <v>265</v>
      </c>
      <c r="B588">
        <v>83</v>
      </c>
      <c r="C588">
        <v>-48</v>
      </c>
      <c r="D588">
        <v>1</v>
      </c>
      <c r="E588" t="s">
        <v>892</v>
      </c>
      <c r="F588" t="s">
        <v>895</v>
      </c>
      <c r="G588" t="s">
        <v>902</v>
      </c>
      <c r="H588" s="3" t="str">
        <f>VLOOKUP(A588,'Orders Dataset'!$A:$D,4,FALSE)</f>
        <v>Bihar</v>
      </c>
      <c r="I588" s="5" t="str">
        <f>VLOOKUP(A588,'Orders Dataset'!$A:$E,5,FALSE)</f>
        <v>Patna</v>
      </c>
    </row>
    <row r="589" spans="1:9" x14ac:dyDescent="0.25">
      <c r="A589" t="s">
        <v>235</v>
      </c>
      <c r="B589">
        <v>140</v>
      </c>
      <c r="C589">
        <v>6</v>
      </c>
      <c r="D589">
        <v>5</v>
      </c>
      <c r="E589" t="s">
        <v>899</v>
      </c>
      <c r="F589" t="s">
        <v>901</v>
      </c>
      <c r="G589" t="s">
        <v>891</v>
      </c>
      <c r="H589" s="3" t="str">
        <f>VLOOKUP(A589,'Orders Dataset'!$A:$D,4,FALSE)</f>
        <v>Madhya Pradesh</v>
      </c>
      <c r="I589" s="5" t="str">
        <f>VLOOKUP(A589,'Orders Dataset'!$A:$E,5,FALSE)</f>
        <v>Indore</v>
      </c>
    </row>
    <row r="590" spans="1:9" x14ac:dyDescent="0.25">
      <c r="A590" t="s">
        <v>726</v>
      </c>
      <c r="B590">
        <v>28</v>
      </c>
      <c r="C590">
        <v>14</v>
      </c>
      <c r="D590">
        <v>4</v>
      </c>
      <c r="E590" t="s">
        <v>899</v>
      </c>
      <c r="F590" t="s">
        <v>903</v>
      </c>
      <c r="G590" t="s">
        <v>891</v>
      </c>
      <c r="H590" s="3" t="str">
        <f>VLOOKUP(A590,'Orders Dataset'!$A:$D,4,FALSE)</f>
        <v>Madhya Pradesh</v>
      </c>
      <c r="I590" s="5" t="str">
        <f>VLOOKUP(A590,'Orders Dataset'!$A:$E,5,FALSE)</f>
        <v>Indore</v>
      </c>
    </row>
    <row r="591" spans="1:9" x14ac:dyDescent="0.25">
      <c r="A591" t="s">
        <v>649</v>
      </c>
      <c r="B591">
        <v>139</v>
      </c>
      <c r="C591">
        <v>14</v>
      </c>
      <c r="D591">
        <v>3</v>
      </c>
      <c r="E591" t="s">
        <v>899</v>
      </c>
      <c r="F591" t="s">
        <v>907</v>
      </c>
      <c r="G591" t="s">
        <v>891</v>
      </c>
      <c r="H591" s="3" t="str">
        <f>VLOOKUP(A591,'Orders Dataset'!$A:$D,4,FALSE)</f>
        <v>Madhya Pradesh</v>
      </c>
      <c r="I591" s="5" t="str">
        <f>VLOOKUP(A591,'Orders Dataset'!$A:$E,5,FALSE)</f>
        <v>Bhopal</v>
      </c>
    </row>
    <row r="592" spans="1:9" x14ac:dyDescent="0.25">
      <c r="A592" t="s">
        <v>52</v>
      </c>
      <c r="B592">
        <v>30</v>
      </c>
      <c r="C592">
        <v>14</v>
      </c>
      <c r="D592">
        <v>3</v>
      </c>
      <c r="E592" t="s">
        <v>899</v>
      </c>
      <c r="F592" t="s">
        <v>903</v>
      </c>
      <c r="G592" t="s">
        <v>902</v>
      </c>
      <c r="H592" s="3" t="str">
        <f>VLOOKUP(A592,'Orders Dataset'!$A:$D,4,FALSE)</f>
        <v>Gujarat</v>
      </c>
      <c r="I592" s="5" t="str">
        <f>VLOOKUP(A592,'Orders Dataset'!$A:$E,5,FALSE)</f>
        <v>Ahmedabad</v>
      </c>
    </row>
    <row r="593" spans="1:9" x14ac:dyDescent="0.25">
      <c r="A593" t="s">
        <v>506</v>
      </c>
      <c r="B593">
        <v>89</v>
      </c>
      <c r="C593">
        <v>36</v>
      </c>
      <c r="D593">
        <v>3</v>
      </c>
      <c r="E593" t="s">
        <v>899</v>
      </c>
      <c r="F593" t="s">
        <v>913</v>
      </c>
      <c r="G593" t="s">
        <v>902</v>
      </c>
      <c r="H593" s="3" t="str">
        <f>VLOOKUP(A593,'Orders Dataset'!$A:$D,4,FALSE)</f>
        <v>Maharashtra</v>
      </c>
      <c r="I593" s="5" t="str">
        <f>VLOOKUP(A593,'Orders Dataset'!$A:$E,5,FALSE)</f>
        <v>Pune</v>
      </c>
    </row>
    <row r="594" spans="1:9" x14ac:dyDescent="0.25">
      <c r="A594" t="s">
        <v>183</v>
      </c>
      <c r="B594">
        <v>187</v>
      </c>
      <c r="C594">
        <v>30</v>
      </c>
      <c r="D594">
        <v>4</v>
      </c>
      <c r="E594" t="s">
        <v>889</v>
      </c>
      <c r="F594" t="s">
        <v>909</v>
      </c>
      <c r="G594" t="s">
        <v>897</v>
      </c>
      <c r="H594" s="3" t="str">
        <f>VLOOKUP(A594,'Orders Dataset'!$A:$D,4,FALSE)</f>
        <v>Rajasthan</v>
      </c>
      <c r="I594" s="5" t="str">
        <f>VLOOKUP(A594,'Orders Dataset'!$A:$E,5,FALSE)</f>
        <v>Jaipur</v>
      </c>
    </row>
    <row r="595" spans="1:9" x14ac:dyDescent="0.25">
      <c r="A595" t="s">
        <v>360</v>
      </c>
      <c r="B595">
        <v>139</v>
      </c>
      <c r="C595">
        <v>21</v>
      </c>
      <c r="D595">
        <v>3</v>
      </c>
      <c r="E595" t="s">
        <v>889</v>
      </c>
      <c r="F595" t="s">
        <v>909</v>
      </c>
      <c r="G595" t="s">
        <v>891</v>
      </c>
      <c r="H595" s="3" t="str">
        <f>VLOOKUP(A595,'Orders Dataset'!$A:$D,4,FALSE)</f>
        <v>Maharashtra</v>
      </c>
      <c r="I595" s="5" t="str">
        <f>VLOOKUP(A595,'Orders Dataset'!$A:$E,5,FALSE)</f>
        <v>Mumbai</v>
      </c>
    </row>
    <row r="596" spans="1:9" x14ac:dyDescent="0.25">
      <c r="A596" t="s">
        <v>530</v>
      </c>
      <c r="B596">
        <v>437</v>
      </c>
      <c r="C596">
        <v>-14</v>
      </c>
      <c r="D596">
        <v>2</v>
      </c>
      <c r="E596" t="s">
        <v>899</v>
      </c>
      <c r="F596" t="s">
        <v>901</v>
      </c>
      <c r="G596" t="s">
        <v>902</v>
      </c>
      <c r="H596" s="3" t="str">
        <f>VLOOKUP(A596,'Orders Dataset'!$A:$D,4,FALSE)</f>
        <v>Kerala</v>
      </c>
      <c r="I596" s="5" t="str">
        <f>VLOOKUP(A596,'Orders Dataset'!$A:$E,5,FALSE)</f>
        <v>Thiruvananthapuram</v>
      </c>
    </row>
    <row r="597" spans="1:9" x14ac:dyDescent="0.25">
      <c r="A597" t="s">
        <v>118</v>
      </c>
      <c r="B597">
        <v>138</v>
      </c>
      <c r="C597">
        <v>-3</v>
      </c>
      <c r="D597">
        <v>5</v>
      </c>
      <c r="E597" t="s">
        <v>899</v>
      </c>
      <c r="F597" t="s">
        <v>901</v>
      </c>
      <c r="G597" t="s">
        <v>891</v>
      </c>
      <c r="H597" s="3" t="str">
        <f>VLOOKUP(A597,'Orders Dataset'!$A:$D,4,FALSE)</f>
        <v>Uttar Pradesh</v>
      </c>
      <c r="I597" s="5" t="str">
        <f>VLOOKUP(A597,'Orders Dataset'!$A:$E,5,FALSE)</f>
        <v>Lucknow</v>
      </c>
    </row>
    <row r="598" spans="1:9" x14ac:dyDescent="0.25">
      <c r="A598" t="s">
        <v>378</v>
      </c>
      <c r="B598">
        <v>85</v>
      </c>
      <c r="C598">
        <v>13</v>
      </c>
      <c r="D598">
        <v>2</v>
      </c>
      <c r="E598" t="s">
        <v>899</v>
      </c>
      <c r="F598" t="s">
        <v>913</v>
      </c>
      <c r="G598" t="s">
        <v>902</v>
      </c>
      <c r="H598" s="3" t="str">
        <f>VLOOKUP(A598,'Orders Dataset'!$A:$D,4,FALSE)</f>
        <v>Bihar</v>
      </c>
      <c r="I598" s="5" t="str">
        <f>VLOOKUP(A598,'Orders Dataset'!$A:$E,5,FALSE)</f>
        <v>Patna</v>
      </c>
    </row>
    <row r="599" spans="1:9" x14ac:dyDescent="0.25">
      <c r="A599" t="s">
        <v>310</v>
      </c>
      <c r="B599">
        <v>83</v>
      </c>
      <c r="C599">
        <v>12</v>
      </c>
      <c r="D599">
        <v>3</v>
      </c>
      <c r="E599" t="s">
        <v>899</v>
      </c>
      <c r="F599" t="s">
        <v>907</v>
      </c>
      <c r="G599" t="s">
        <v>902</v>
      </c>
      <c r="H599" s="3" t="str">
        <f>VLOOKUP(A599,'Orders Dataset'!$A:$D,4,FALSE)</f>
        <v>Uttar Pradesh</v>
      </c>
      <c r="I599" s="5" t="str">
        <f>VLOOKUP(A599,'Orders Dataset'!$A:$E,5,FALSE)</f>
        <v>Mathura</v>
      </c>
    </row>
    <row r="600" spans="1:9" x14ac:dyDescent="0.25">
      <c r="A600" t="s">
        <v>418</v>
      </c>
      <c r="B600">
        <v>91</v>
      </c>
      <c r="C600">
        <v>22</v>
      </c>
      <c r="D600">
        <v>2</v>
      </c>
      <c r="E600" t="s">
        <v>899</v>
      </c>
      <c r="F600" t="s">
        <v>907</v>
      </c>
      <c r="G600" t="s">
        <v>902</v>
      </c>
      <c r="H600" s="3" t="str">
        <f>VLOOKUP(A600,'Orders Dataset'!$A:$D,4,FALSE)</f>
        <v>Madhya Pradesh</v>
      </c>
      <c r="I600" s="5" t="str">
        <f>VLOOKUP(A600,'Orders Dataset'!$A:$E,5,FALSE)</f>
        <v>Bhopal</v>
      </c>
    </row>
    <row r="601" spans="1:9" x14ac:dyDescent="0.25">
      <c r="A601" t="s">
        <v>277</v>
      </c>
      <c r="B601">
        <v>137</v>
      </c>
      <c r="C601">
        <v>5</v>
      </c>
      <c r="D601">
        <v>5</v>
      </c>
      <c r="E601" t="s">
        <v>899</v>
      </c>
      <c r="F601" t="s">
        <v>913</v>
      </c>
      <c r="G601" t="s">
        <v>891</v>
      </c>
      <c r="H601" s="3" t="str">
        <f>VLOOKUP(A601,'Orders Dataset'!$A:$D,4,FALSE)</f>
        <v>Madhya Pradesh</v>
      </c>
      <c r="I601" s="5" t="str">
        <f>VLOOKUP(A601,'Orders Dataset'!$A:$E,5,FALSE)</f>
        <v>Indore</v>
      </c>
    </row>
    <row r="602" spans="1:9" x14ac:dyDescent="0.25">
      <c r="A602" t="s">
        <v>815</v>
      </c>
      <c r="B602">
        <v>33</v>
      </c>
      <c r="C602">
        <v>-12</v>
      </c>
      <c r="D602">
        <v>7</v>
      </c>
      <c r="E602" t="s">
        <v>899</v>
      </c>
      <c r="F602" t="s">
        <v>901</v>
      </c>
      <c r="G602" t="s">
        <v>902</v>
      </c>
      <c r="H602" s="3" t="str">
        <f>VLOOKUP(A602,'Orders Dataset'!$A:$D,4,FALSE)</f>
        <v>Madhya Pradesh</v>
      </c>
      <c r="I602" s="5" t="str">
        <f>VLOOKUP(A602,'Orders Dataset'!$A:$E,5,FALSE)</f>
        <v>Indore</v>
      </c>
    </row>
    <row r="603" spans="1:9" x14ac:dyDescent="0.25">
      <c r="A603" t="s">
        <v>73</v>
      </c>
      <c r="B603">
        <v>134</v>
      </c>
      <c r="C603">
        <v>-34</v>
      </c>
      <c r="D603">
        <v>2</v>
      </c>
      <c r="E603" t="s">
        <v>892</v>
      </c>
      <c r="F603" t="s">
        <v>893</v>
      </c>
      <c r="G603" t="s">
        <v>891</v>
      </c>
      <c r="H603" s="3" t="str">
        <f>VLOOKUP(A603,'Orders Dataset'!$A:$D,4,FALSE)</f>
        <v>Kerala</v>
      </c>
      <c r="I603" s="5" t="str">
        <f>VLOOKUP(A603,'Orders Dataset'!$A:$E,5,FALSE)</f>
        <v>Thiruvananthapuram</v>
      </c>
    </row>
    <row r="604" spans="1:9" x14ac:dyDescent="0.25">
      <c r="A604" t="s">
        <v>655</v>
      </c>
      <c r="B604">
        <v>134</v>
      </c>
      <c r="C604">
        <v>42</v>
      </c>
      <c r="D604">
        <v>2</v>
      </c>
      <c r="E604" t="s">
        <v>892</v>
      </c>
      <c r="F604" t="s">
        <v>893</v>
      </c>
      <c r="G604" t="s">
        <v>891</v>
      </c>
      <c r="H604" s="3" t="str">
        <f>VLOOKUP(A604,'Orders Dataset'!$A:$D,4,FALSE)</f>
        <v>Maharashtra</v>
      </c>
      <c r="I604" s="5" t="str">
        <f>VLOOKUP(A604,'Orders Dataset'!$A:$E,5,FALSE)</f>
        <v>Mumbai</v>
      </c>
    </row>
    <row r="605" spans="1:9" x14ac:dyDescent="0.25">
      <c r="A605" t="s">
        <v>657</v>
      </c>
      <c r="B605">
        <v>133</v>
      </c>
      <c r="C605">
        <v>-56</v>
      </c>
      <c r="D605">
        <v>2</v>
      </c>
      <c r="E605" t="s">
        <v>892</v>
      </c>
      <c r="F605" t="s">
        <v>893</v>
      </c>
      <c r="G605" t="s">
        <v>891</v>
      </c>
      <c r="H605" s="3" t="str">
        <f>VLOOKUP(A605,'Orders Dataset'!$A:$D,4,FALSE)</f>
        <v>Haryana</v>
      </c>
      <c r="I605" s="5" t="str">
        <f>VLOOKUP(A605,'Orders Dataset'!$A:$E,5,FALSE)</f>
        <v>Chandigarh</v>
      </c>
    </row>
    <row r="606" spans="1:9" x14ac:dyDescent="0.25">
      <c r="A606" t="s">
        <v>332</v>
      </c>
      <c r="B606">
        <v>93</v>
      </c>
      <c r="C606">
        <v>-84</v>
      </c>
      <c r="D606">
        <v>3</v>
      </c>
      <c r="E606" t="s">
        <v>899</v>
      </c>
      <c r="F606" t="s">
        <v>901</v>
      </c>
      <c r="G606" t="s">
        <v>902</v>
      </c>
      <c r="H606" s="3" t="str">
        <f>VLOOKUP(A606,'Orders Dataset'!$A:$D,4,FALSE)</f>
        <v>Tamil Nadu</v>
      </c>
      <c r="I606" s="5" t="str">
        <f>VLOOKUP(A606,'Orders Dataset'!$A:$E,5,FALSE)</f>
        <v>Chennai</v>
      </c>
    </row>
    <row r="607" spans="1:9" x14ac:dyDescent="0.25">
      <c r="A607" t="s">
        <v>446</v>
      </c>
      <c r="B607">
        <v>86</v>
      </c>
      <c r="C607">
        <v>-21</v>
      </c>
      <c r="D607">
        <v>1</v>
      </c>
      <c r="E607" t="s">
        <v>889</v>
      </c>
      <c r="F607" t="s">
        <v>890</v>
      </c>
      <c r="G607" t="s">
        <v>902</v>
      </c>
      <c r="H607" s="3" t="str">
        <f>VLOOKUP(A607,'Orders Dataset'!$A:$D,4,FALSE)</f>
        <v>Maharashtra</v>
      </c>
      <c r="I607" s="5" t="str">
        <f>VLOOKUP(A607,'Orders Dataset'!$A:$E,5,FALSE)</f>
        <v>Mumbai</v>
      </c>
    </row>
    <row r="608" spans="1:9" x14ac:dyDescent="0.25">
      <c r="A608" t="s">
        <v>282</v>
      </c>
      <c r="B608">
        <v>132</v>
      </c>
      <c r="C608">
        <v>54</v>
      </c>
      <c r="D608">
        <v>5</v>
      </c>
      <c r="E608" t="s">
        <v>899</v>
      </c>
      <c r="F608" t="s">
        <v>907</v>
      </c>
      <c r="G608" t="s">
        <v>891</v>
      </c>
      <c r="H608" s="3" t="str">
        <f>VLOOKUP(A608,'Orders Dataset'!$A:$D,4,FALSE)</f>
        <v>Kerala</v>
      </c>
      <c r="I608" s="5" t="str">
        <f>VLOOKUP(A608,'Orders Dataset'!$A:$E,5,FALSE)</f>
        <v>Thiruvananthapuram</v>
      </c>
    </row>
    <row r="609" spans="1:9" x14ac:dyDescent="0.25">
      <c r="A609" t="s">
        <v>121</v>
      </c>
      <c r="B609">
        <v>132</v>
      </c>
      <c r="C609">
        <v>-10</v>
      </c>
      <c r="D609">
        <v>3</v>
      </c>
      <c r="E609" t="s">
        <v>899</v>
      </c>
      <c r="F609" t="s">
        <v>901</v>
      </c>
      <c r="G609" t="s">
        <v>891</v>
      </c>
      <c r="H609" s="3" t="str">
        <f>VLOOKUP(A609,'Orders Dataset'!$A:$D,4,FALSE)</f>
        <v>Punjab</v>
      </c>
      <c r="I609" s="5" t="str">
        <f>VLOOKUP(A609,'Orders Dataset'!$A:$E,5,FALSE)</f>
        <v>Chandigarh</v>
      </c>
    </row>
    <row r="610" spans="1:9" x14ac:dyDescent="0.25">
      <c r="A610" t="s">
        <v>317</v>
      </c>
      <c r="B610">
        <v>132</v>
      </c>
      <c r="C610">
        <v>-79</v>
      </c>
      <c r="D610">
        <v>5</v>
      </c>
      <c r="E610" t="s">
        <v>892</v>
      </c>
      <c r="F610" t="s">
        <v>912</v>
      </c>
      <c r="G610" t="s">
        <v>891</v>
      </c>
      <c r="H610" s="3" t="str">
        <f>VLOOKUP(A610,'Orders Dataset'!$A:$D,4,FALSE)</f>
        <v>Gujarat</v>
      </c>
      <c r="I610" s="5" t="str">
        <f>VLOOKUP(A610,'Orders Dataset'!$A:$E,5,FALSE)</f>
        <v>Ahmedabad</v>
      </c>
    </row>
    <row r="611" spans="1:9" x14ac:dyDescent="0.25">
      <c r="A611" t="s">
        <v>271</v>
      </c>
      <c r="B611">
        <v>93</v>
      </c>
      <c r="C611">
        <v>-65</v>
      </c>
      <c r="D611">
        <v>4</v>
      </c>
      <c r="E611" t="s">
        <v>899</v>
      </c>
      <c r="F611" t="s">
        <v>907</v>
      </c>
      <c r="G611" t="s">
        <v>902</v>
      </c>
      <c r="H611" s="3" t="str">
        <f>VLOOKUP(A611,'Orders Dataset'!$A:$D,4,FALSE)</f>
        <v>Delhi</v>
      </c>
      <c r="I611" s="5" t="str">
        <f>VLOOKUP(A611,'Orders Dataset'!$A:$E,5,FALSE)</f>
        <v>Delhi</v>
      </c>
    </row>
    <row r="612" spans="1:9" x14ac:dyDescent="0.25">
      <c r="A612" t="s">
        <v>725</v>
      </c>
      <c r="B612">
        <v>95</v>
      </c>
      <c r="C612">
        <v>5</v>
      </c>
      <c r="D612">
        <v>2</v>
      </c>
      <c r="E612" t="s">
        <v>899</v>
      </c>
      <c r="F612" t="s">
        <v>907</v>
      </c>
      <c r="G612" t="s">
        <v>902</v>
      </c>
      <c r="H612" s="3" t="str">
        <f>VLOOKUP(A612,'Orders Dataset'!$A:$D,4,FALSE)</f>
        <v>Uttar Pradesh</v>
      </c>
      <c r="I612" s="5" t="str">
        <f>VLOOKUP(A612,'Orders Dataset'!$A:$E,5,FALSE)</f>
        <v>Lucknow</v>
      </c>
    </row>
    <row r="613" spans="1:9" x14ac:dyDescent="0.25">
      <c r="A613" t="s">
        <v>315</v>
      </c>
      <c r="B613">
        <v>97</v>
      </c>
      <c r="C613">
        <v>12</v>
      </c>
      <c r="D613">
        <v>2</v>
      </c>
      <c r="E613" t="s">
        <v>899</v>
      </c>
      <c r="F613" t="s">
        <v>903</v>
      </c>
      <c r="G613" t="s">
        <v>902</v>
      </c>
      <c r="H613" s="3" t="str">
        <f>VLOOKUP(A613,'Orders Dataset'!$A:$D,4,FALSE)</f>
        <v>Karnataka</v>
      </c>
      <c r="I613" s="5" t="str">
        <f>VLOOKUP(A613,'Orders Dataset'!$A:$E,5,FALSE)</f>
        <v>Bangalore</v>
      </c>
    </row>
    <row r="614" spans="1:9" x14ac:dyDescent="0.25">
      <c r="A614" t="s">
        <v>659</v>
      </c>
      <c r="B614">
        <v>131</v>
      </c>
      <c r="C614">
        <v>-154</v>
      </c>
      <c r="D614">
        <v>8</v>
      </c>
      <c r="E614" t="s">
        <v>892</v>
      </c>
      <c r="F614" t="s">
        <v>912</v>
      </c>
      <c r="G614" t="s">
        <v>891</v>
      </c>
      <c r="H614" s="3" t="str">
        <f>VLOOKUP(A614,'Orders Dataset'!$A:$D,4,FALSE)</f>
        <v>West Bengal</v>
      </c>
      <c r="I614" s="5" t="str">
        <f>VLOOKUP(A614,'Orders Dataset'!$A:$E,5,FALSE)</f>
        <v>Kolkata</v>
      </c>
    </row>
    <row r="615" spans="1:9" x14ac:dyDescent="0.25">
      <c r="A615" t="s">
        <v>333</v>
      </c>
      <c r="B615">
        <v>97</v>
      </c>
      <c r="C615">
        <v>29</v>
      </c>
      <c r="D615">
        <v>2</v>
      </c>
      <c r="E615" t="s">
        <v>899</v>
      </c>
      <c r="F615" t="s">
        <v>903</v>
      </c>
      <c r="G615" t="s">
        <v>902</v>
      </c>
      <c r="H615" s="3" t="str">
        <f>VLOOKUP(A615,'Orders Dataset'!$A:$D,4,FALSE)</f>
        <v>Jammu and Kashmir</v>
      </c>
      <c r="I615" s="5" t="str">
        <f>VLOOKUP(A615,'Orders Dataset'!$A:$E,5,FALSE)</f>
        <v>Kashmir</v>
      </c>
    </row>
    <row r="616" spans="1:9" x14ac:dyDescent="0.25">
      <c r="A616" t="s">
        <v>52</v>
      </c>
      <c r="B616">
        <v>128</v>
      </c>
      <c r="C616">
        <v>4</v>
      </c>
      <c r="D616">
        <v>3</v>
      </c>
      <c r="E616" t="s">
        <v>899</v>
      </c>
      <c r="F616" t="s">
        <v>901</v>
      </c>
      <c r="G616" t="s">
        <v>891</v>
      </c>
      <c r="H616" s="3" t="str">
        <f>VLOOKUP(A616,'Orders Dataset'!$A:$D,4,FALSE)</f>
        <v>Gujarat</v>
      </c>
      <c r="I616" s="5" t="str">
        <f>VLOOKUP(A616,'Orders Dataset'!$A:$E,5,FALSE)</f>
        <v>Ahmedabad</v>
      </c>
    </row>
    <row r="617" spans="1:9" x14ac:dyDescent="0.25">
      <c r="A617" t="s">
        <v>539</v>
      </c>
      <c r="B617">
        <v>186</v>
      </c>
      <c r="C617">
        <v>241</v>
      </c>
      <c r="D617">
        <v>9</v>
      </c>
      <c r="E617" t="s">
        <v>899</v>
      </c>
      <c r="F617" t="s">
        <v>913</v>
      </c>
      <c r="G617" t="s">
        <v>897</v>
      </c>
      <c r="H617" s="3" t="str">
        <f>VLOOKUP(A617,'Orders Dataset'!$A:$D,4,FALSE)</f>
        <v>Madhya Pradesh</v>
      </c>
      <c r="I617" s="5" t="str">
        <f>VLOOKUP(A617,'Orders Dataset'!$A:$E,5,FALSE)</f>
        <v>Indore</v>
      </c>
    </row>
    <row r="618" spans="1:9" x14ac:dyDescent="0.25">
      <c r="A618" t="s">
        <v>70</v>
      </c>
      <c r="B618">
        <v>128</v>
      </c>
      <c r="C618">
        <v>47</v>
      </c>
      <c r="D618">
        <v>4</v>
      </c>
      <c r="E618" t="s">
        <v>899</v>
      </c>
      <c r="F618" t="s">
        <v>903</v>
      </c>
      <c r="G618" t="s">
        <v>891</v>
      </c>
      <c r="H618" s="3" t="str">
        <f>VLOOKUP(A618,'Orders Dataset'!$A:$D,4,FALSE)</f>
        <v>Madhya Pradesh</v>
      </c>
      <c r="I618" s="5" t="str">
        <f>VLOOKUP(A618,'Orders Dataset'!$A:$E,5,FALSE)</f>
        <v>Bhopal</v>
      </c>
    </row>
    <row r="619" spans="1:9" x14ac:dyDescent="0.25">
      <c r="A619" t="s">
        <v>277</v>
      </c>
      <c r="B619">
        <v>185</v>
      </c>
      <c r="C619">
        <v>48</v>
      </c>
      <c r="D619">
        <v>4</v>
      </c>
      <c r="E619" t="s">
        <v>899</v>
      </c>
      <c r="F619" t="s">
        <v>907</v>
      </c>
      <c r="G619" t="s">
        <v>897</v>
      </c>
      <c r="H619" s="3" t="str">
        <f>VLOOKUP(A619,'Orders Dataset'!$A:$D,4,FALSE)</f>
        <v>Madhya Pradesh</v>
      </c>
      <c r="I619" s="5" t="str">
        <f>VLOOKUP(A619,'Orders Dataset'!$A:$E,5,FALSE)</f>
        <v>Indore</v>
      </c>
    </row>
    <row r="620" spans="1:9" x14ac:dyDescent="0.25">
      <c r="A620" t="s">
        <v>840</v>
      </c>
      <c r="B620">
        <v>29</v>
      </c>
      <c r="C620">
        <v>10</v>
      </c>
      <c r="D620">
        <v>2</v>
      </c>
      <c r="E620" t="s">
        <v>899</v>
      </c>
      <c r="F620" t="s">
        <v>907</v>
      </c>
      <c r="G620" t="s">
        <v>891</v>
      </c>
      <c r="H620" s="3" t="str">
        <f>VLOOKUP(A620,'Orders Dataset'!$A:$D,4,FALSE)</f>
        <v>Madhya Pradesh</v>
      </c>
      <c r="I620" s="5" t="str">
        <f>VLOOKUP(A620,'Orders Dataset'!$A:$E,5,FALSE)</f>
        <v>Indore</v>
      </c>
    </row>
    <row r="621" spans="1:9" x14ac:dyDescent="0.25">
      <c r="A621" t="s">
        <v>635</v>
      </c>
      <c r="B621">
        <v>127</v>
      </c>
      <c r="C621">
        <v>29</v>
      </c>
      <c r="D621">
        <v>3</v>
      </c>
      <c r="E621" t="s">
        <v>892</v>
      </c>
      <c r="F621" t="s">
        <v>912</v>
      </c>
      <c r="G621" t="s">
        <v>891</v>
      </c>
      <c r="H621" s="3" t="str">
        <f>VLOOKUP(A621,'Orders Dataset'!$A:$D,4,FALSE)</f>
        <v>Gujarat</v>
      </c>
      <c r="I621" s="5" t="str">
        <f>VLOOKUP(A621,'Orders Dataset'!$A:$E,5,FALSE)</f>
        <v>Surat</v>
      </c>
    </row>
    <row r="622" spans="1:9" x14ac:dyDescent="0.25">
      <c r="A622" t="s">
        <v>682</v>
      </c>
      <c r="B622">
        <v>97</v>
      </c>
      <c r="C622">
        <v>36</v>
      </c>
      <c r="D622">
        <v>7</v>
      </c>
      <c r="E622" t="s">
        <v>899</v>
      </c>
      <c r="F622" t="s">
        <v>903</v>
      </c>
      <c r="G622" t="s">
        <v>902</v>
      </c>
      <c r="H622" s="3" t="str">
        <f>VLOOKUP(A622,'Orders Dataset'!$A:$D,4,FALSE)</f>
        <v>Madhya Pradesh</v>
      </c>
      <c r="I622" s="5" t="str">
        <f>VLOOKUP(A622,'Orders Dataset'!$A:$E,5,FALSE)</f>
        <v>Indore</v>
      </c>
    </row>
    <row r="623" spans="1:9" x14ac:dyDescent="0.25">
      <c r="A623" t="s">
        <v>670</v>
      </c>
      <c r="B623">
        <v>125</v>
      </c>
      <c r="C623">
        <v>0</v>
      </c>
      <c r="D623">
        <v>3</v>
      </c>
      <c r="E623" t="s">
        <v>889</v>
      </c>
      <c r="F623" t="s">
        <v>909</v>
      </c>
      <c r="G623" t="s">
        <v>891</v>
      </c>
      <c r="H623" s="3" t="str">
        <f>VLOOKUP(A623,'Orders Dataset'!$A:$D,4,FALSE)</f>
        <v>West Bengal</v>
      </c>
      <c r="I623" s="5" t="str">
        <f>VLOOKUP(A623,'Orders Dataset'!$A:$E,5,FALSE)</f>
        <v>Kolkata</v>
      </c>
    </row>
    <row r="624" spans="1:9" x14ac:dyDescent="0.25">
      <c r="A624" t="s">
        <v>858</v>
      </c>
      <c r="B624">
        <v>299</v>
      </c>
      <c r="C624">
        <v>-8</v>
      </c>
      <c r="D624">
        <v>2</v>
      </c>
      <c r="E624" t="s">
        <v>899</v>
      </c>
      <c r="F624" t="s">
        <v>901</v>
      </c>
      <c r="G624" t="s">
        <v>891</v>
      </c>
      <c r="H624" s="3" t="str">
        <f>VLOOKUP(A624,'Orders Dataset'!$A:$D,4,FALSE)</f>
        <v>Bihar</v>
      </c>
      <c r="I624" s="5" t="str">
        <f>VLOOKUP(A624,'Orders Dataset'!$A:$E,5,FALSE)</f>
        <v>Patna</v>
      </c>
    </row>
    <row r="625" spans="1:9" x14ac:dyDescent="0.25">
      <c r="A625" t="s">
        <v>671</v>
      </c>
      <c r="B625">
        <v>124</v>
      </c>
      <c r="C625">
        <v>54</v>
      </c>
      <c r="D625">
        <v>5</v>
      </c>
      <c r="E625" t="s">
        <v>899</v>
      </c>
      <c r="F625" t="s">
        <v>910</v>
      </c>
      <c r="G625" t="s">
        <v>891</v>
      </c>
      <c r="H625" s="3" t="str">
        <f>VLOOKUP(A625,'Orders Dataset'!$A:$D,4,FALSE)</f>
        <v>Rajasthan</v>
      </c>
      <c r="I625" s="5" t="str">
        <f>VLOOKUP(A625,'Orders Dataset'!$A:$E,5,FALSE)</f>
        <v>Udaipur</v>
      </c>
    </row>
    <row r="626" spans="1:9" x14ac:dyDescent="0.25">
      <c r="A626" t="s">
        <v>118</v>
      </c>
      <c r="B626">
        <v>90</v>
      </c>
      <c r="C626">
        <v>17</v>
      </c>
      <c r="D626">
        <v>3</v>
      </c>
      <c r="E626" t="s">
        <v>899</v>
      </c>
      <c r="F626" t="s">
        <v>913</v>
      </c>
      <c r="G626" t="s">
        <v>891</v>
      </c>
      <c r="H626" s="3" t="str">
        <f>VLOOKUP(A626,'Orders Dataset'!$A:$D,4,FALSE)</f>
        <v>Uttar Pradesh</v>
      </c>
      <c r="I626" s="5" t="str">
        <f>VLOOKUP(A626,'Orders Dataset'!$A:$E,5,FALSE)</f>
        <v>Lucknow</v>
      </c>
    </row>
    <row r="627" spans="1:9" x14ac:dyDescent="0.25">
      <c r="A627" t="s">
        <v>114</v>
      </c>
      <c r="B627">
        <v>122</v>
      </c>
      <c r="C627">
        <v>11</v>
      </c>
      <c r="D627">
        <v>4</v>
      </c>
      <c r="E627" t="s">
        <v>899</v>
      </c>
      <c r="F627" t="s">
        <v>903</v>
      </c>
      <c r="G627" t="s">
        <v>891</v>
      </c>
      <c r="H627" s="3" t="str">
        <f>VLOOKUP(A627,'Orders Dataset'!$A:$D,4,FALSE)</f>
        <v>Madhya Pradesh</v>
      </c>
      <c r="I627" s="5" t="str">
        <f>VLOOKUP(A627,'Orders Dataset'!$A:$E,5,FALSE)</f>
        <v>Indore</v>
      </c>
    </row>
    <row r="628" spans="1:9" x14ac:dyDescent="0.25">
      <c r="A628" t="s">
        <v>673</v>
      </c>
      <c r="B628">
        <v>122</v>
      </c>
      <c r="C628">
        <v>-66</v>
      </c>
      <c r="D628">
        <v>9</v>
      </c>
      <c r="E628" t="s">
        <v>889</v>
      </c>
      <c r="F628" t="s">
        <v>909</v>
      </c>
      <c r="G628" t="s">
        <v>891</v>
      </c>
      <c r="H628" s="3" t="str">
        <f>VLOOKUP(A628,'Orders Dataset'!$A:$D,4,FALSE)</f>
        <v>Maharashtra</v>
      </c>
      <c r="I628" s="5" t="str">
        <f>VLOOKUP(A628,'Orders Dataset'!$A:$E,5,FALSE)</f>
        <v>Pune</v>
      </c>
    </row>
    <row r="629" spans="1:9" x14ac:dyDescent="0.25">
      <c r="A629" t="s">
        <v>577</v>
      </c>
      <c r="B629">
        <v>90</v>
      </c>
      <c r="C629">
        <v>30</v>
      </c>
      <c r="D629">
        <v>2</v>
      </c>
      <c r="E629" t="s">
        <v>892</v>
      </c>
      <c r="F629" t="s">
        <v>893</v>
      </c>
      <c r="G629" t="s">
        <v>902</v>
      </c>
      <c r="H629" s="3" t="str">
        <f>VLOOKUP(A629,'Orders Dataset'!$A:$D,4,FALSE)</f>
        <v>Madhya Pradesh</v>
      </c>
      <c r="I629" s="5" t="str">
        <f>VLOOKUP(A629,'Orders Dataset'!$A:$E,5,FALSE)</f>
        <v>Indore</v>
      </c>
    </row>
    <row r="630" spans="1:9" x14ac:dyDescent="0.25">
      <c r="A630" t="s">
        <v>241</v>
      </c>
      <c r="B630">
        <v>182</v>
      </c>
      <c r="C630">
        <v>-11</v>
      </c>
      <c r="D630">
        <v>3</v>
      </c>
      <c r="E630" t="s">
        <v>892</v>
      </c>
      <c r="F630" t="s">
        <v>895</v>
      </c>
      <c r="G630" t="s">
        <v>897</v>
      </c>
      <c r="H630" s="3" t="str">
        <f>VLOOKUP(A630,'Orders Dataset'!$A:$D,4,FALSE)</f>
        <v>Maharashtra</v>
      </c>
      <c r="I630" s="5" t="str">
        <f>VLOOKUP(A630,'Orders Dataset'!$A:$E,5,FALSE)</f>
        <v>Pune</v>
      </c>
    </row>
    <row r="631" spans="1:9" x14ac:dyDescent="0.25">
      <c r="A631" t="s">
        <v>677</v>
      </c>
      <c r="B631">
        <v>122</v>
      </c>
      <c r="C631">
        <v>59</v>
      </c>
      <c r="D631">
        <v>7</v>
      </c>
      <c r="E631" t="s">
        <v>892</v>
      </c>
      <c r="F631" t="s">
        <v>912</v>
      </c>
      <c r="G631" t="s">
        <v>891</v>
      </c>
      <c r="H631" s="3" t="str">
        <f>VLOOKUP(A631,'Orders Dataset'!$A:$D,4,FALSE)</f>
        <v>Kerala</v>
      </c>
      <c r="I631" s="5" t="str">
        <f>VLOOKUP(A631,'Orders Dataset'!$A:$E,5,FALSE)</f>
        <v>Thiruvananthapuram</v>
      </c>
    </row>
    <row r="632" spans="1:9" x14ac:dyDescent="0.25">
      <c r="A632" t="s">
        <v>680</v>
      </c>
      <c r="B632">
        <v>121</v>
      </c>
      <c r="C632">
        <v>19</v>
      </c>
      <c r="D632">
        <v>4</v>
      </c>
      <c r="E632" t="s">
        <v>899</v>
      </c>
      <c r="F632" t="s">
        <v>907</v>
      </c>
      <c r="G632" t="s">
        <v>891</v>
      </c>
      <c r="H632" s="3" t="str">
        <f>VLOOKUP(A632,'Orders Dataset'!$A:$D,4,FALSE)</f>
        <v>Punjab</v>
      </c>
      <c r="I632" s="5" t="str">
        <f>VLOOKUP(A632,'Orders Dataset'!$A:$E,5,FALSE)</f>
        <v>Amritsar</v>
      </c>
    </row>
    <row r="633" spans="1:9" x14ac:dyDescent="0.25">
      <c r="A633" t="s">
        <v>352</v>
      </c>
      <c r="B633">
        <v>120</v>
      </c>
      <c r="C633">
        <v>1</v>
      </c>
      <c r="D633">
        <v>1</v>
      </c>
      <c r="E633" t="s">
        <v>892</v>
      </c>
      <c r="F633" t="s">
        <v>893</v>
      </c>
      <c r="G633" t="s">
        <v>891</v>
      </c>
      <c r="H633" s="3" t="str">
        <f>VLOOKUP(A633,'Orders Dataset'!$A:$D,4,FALSE)</f>
        <v>Jammu and Kashmir</v>
      </c>
      <c r="I633" s="5" t="str">
        <f>VLOOKUP(A633,'Orders Dataset'!$A:$E,5,FALSE)</f>
        <v>Kashmir</v>
      </c>
    </row>
    <row r="634" spans="1:9" x14ac:dyDescent="0.25">
      <c r="A634" t="s">
        <v>286</v>
      </c>
      <c r="B634">
        <v>120</v>
      </c>
      <c r="C634">
        <v>23</v>
      </c>
      <c r="D634">
        <v>5</v>
      </c>
      <c r="E634" t="s">
        <v>899</v>
      </c>
      <c r="F634" t="s">
        <v>907</v>
      </c>
      <c r="G634" t="s">
        <v>891</v>
      </c>
      <c r="H634" s="3" t="str">
        <f>VLOOKUP(A634,'Orders Dataset'!$A:$D,4,FALSE)</f>
        <v>West Bengal</v>
      </c>
      <c r="I634" s="5" t="str">
        <f>VLOOKUP(A634,'Orders Dataset'!$A:$E,5,FALSE)</f>
        <v>Kolkata</v>
      </c>
    </row>
    <row r="635" spans="1:9" x14ac:dyDescent="0.25">
      <c r="A635" t="s">
        <v>18</v>
      </c>
      <c r="B635">
        <v>34</v>
      </c>
      <c r="C635">
        <v>-11</v>
      </c>
      <c r="D635">
        <v>5</v>
      </c>
      <c r="E635" t="s">
        <v>899</v>
      </c>
      <c r="F635" t="s">
        <v>910</v>
      </c>
      <c r="G635" t="s">
        <v>891</v>
      </c>
      <c r="H635" s="3" t="str">
        <f>VLOOKUP(A635,'Orders Dataset'!$A:$D,4,FALSE)</f>
        <v>Madhya Pradesh</v>
      </c>
      <c r="I635" s="5" t="str">
        <f>VLOOKUP(A635,'Orders Dataset'!$A:$E,5,FALSE)</f>
        <v>Indore</v>
      </c>
    </row>
    <row r="636" spans="1:9" x14ac:dyDescent="0.25">
      <c r="A636" t="s">
        <v>200</v>
      </c>
      <c r="B636">
        <v>117</v>
      </c>
      <c r="C636">
        <v>17</v>
      </c>
      <c r="D636">
        <v>6</v>
      </c>
      <c r="E636" t="s">
        <v>899</v>
      </c>
      <c r="F636" t="s">
        <v>904</v>
      </c>
      <c r="G636" t="s">
        <v>891</v>
      </c>
      <c r="H636" s="3" t="str">
        <f>VLOOKUP(A636,'Orders Dataset'!$A:$D,4,FALSE)</f>
        <v>Madhya Pradesh</v>
      </c>
      <c r="I636" s="5" t="str">
        <f>VLOOKUP(A636,'Orders Dataset'!$A:$E,5,FALSE)</f>
        <v>Indore</v>
      </c>
    </row>
    <row r="637" spans="1:9" x14ac:dyDescent="0.25">
      <c r="A637" t="s">
        <v>254</v>
      </c>
      <c r="B637">
        <v>38</v>
      </c>
      <c r="C637">
        <v>9</v>
      </c>
      <c r="D637">
        <v>2</v>
      </c>
      <c r="E637" t="s">
        <v>899</v>
      </c>
      <c r="F637" t="s">
        <v>907</v>
      </c>
      <c r="G637" t="s">
        <v>891</v>
      </c>
      <c r="H637" s="3" t="str">
        <f>VLOOKUP(A637,'Orders Dataset'!$A:$D,4,FALSE)</f>
        <v>Punjab</v>
      </c>
      <c r="I637" s="5" t="str">
        <f>VLOOKUP(A637,'Orders Dataset'!$A:$E,5,FALSE)</f>
        <v>Chandigarh</v>
      </c>
    </row>
    <row r="638" spans="1:9" x14ac:dyDescent="0.25">
      <c r="A638" t="s">
        <v>239</v>
      </c>
      <c r="B638">
        <v>117</v>
      </c>
      <c r="C638">
        <v>-6</v>
      </c>
      <c r="D638">
        <v>3</v>
      </c>
      <c r="E638" t="s">
        <v>889</v>
      </c>
      <c r="F638" t="s">
        <v>898</v>
      </c>
      <c r="G638" t="s">
        <v>891</v>
      </c>
      <c r="H638" s="3" t="str">
        <f>VLOOKUP(A638,'Orders Dataset'!$A:$D,4,FALSE)</f>
        <v>Karnataka</v>
      </c>
      <c r="I638" s="5" t="str">
        <f>VLOOKUP(A638,'Orders Dataset'!$A:$E,5,FALSE)</f>
        <v>Bangalore</v>
      </c>
    </row>
    <row r="639" spans="1:9" x14ac:dyDescent="0.25">
      <c r="A639" t="s">
        <v>581</v>
      </c>
      <c r="B639">
        <v>180</v>
      </c>
      <c r="C639">
        <v>54</v>
      </c>
      <c r="D639">
        <v>4</v>
      </c>
      <c r="E639" t="s">
        <v>899</v>
      </c>
      <c r="F639" t="s">
        <v>910</v>
      </c>
      <c r="G639" t="s">
        <v>897</v>
      </c>
      <c r="H639" s="3" t="str">
        <f>VLOOKUP(A639,'Orders Dataset'!$A:$D,4,FALSE)</f>
        <v>Gujarat</v>
      </c>
      <c r="I639" s="5" t="str">
        <f>VLOOKUP(A639,'Orders Dataset'!$A:$E,5,FALSE)</f>
        <v>Surat</v>
      </c>
    </row>
    <row r="640" spans="1:9" x14ac:dyDescent="0.25">
      <c r="A640" t="s">
        <v>387</v>
      </c>
      <c r="B640">
        <v>99</v>
      </c>
      <c r="C640">
        <v>-5</v>
      </c>
      <c r="D640">
        <v>1</v>
      </c>
      <c r="E640" t="s">
        <v>899</v>
      </c>
      <c r="F640" t="s">
        <v>901</v>
      </c>
      <c r="G640" t="s">
        <v>902</v>
      </c>
      <c r="H640" s="3" t="str">
        <f>VLOOKUP(A640,'Orders Dataset'!$A:$D,4,FALSE)</f>
        <v>Nagaland</v>
      </c>
      <c r="I640" s="5" t="str">
        <f>VLOOKUP(A640,'Orders Dataset'!$A:$E,5,FALSE)</f>
        <v>Kohima</v>
      </c>
    </row>
    <row r="641" spans="1:9" x14ac:dyDescent="0.25">
      <c r="A641" t="s">
        <v>260</v>
      </c>
      <c r="B641">
        <v>172</v>
      </c>
      <c r="C641">
        <v>-103</v>
      </c>
      <c r="D641">
        <v>3</v>
      </c>
      <c r="E641" t="s">
        <v>892</v>
      </c>
      <c r="F641" t="s">
        <v>893</v>
      </c>
      <c r="G641" t="s">
        <v>894</v>
      </c>
      <c r="H641" s="3" t="str">
        <f>VLOOKUP(A641,'Orders Dataset'!$A:$D,4,FALSE)</f>
        <v>Madhya Pradesh</v>
      </c>
      <c r="I641" s="5" t="str">
        <f>VLOOKUP(A641,'Orders Dataset'!$A:$E,5,FALSE)</f>
        <v>Indore</v>
      </c>
    </row>
    <row r="642" spans="1:9" x14ac:dyDescent="0.25">
      <c r="A642" t="s">
        <v>136</v>
      </c>
      <c r="B642">
        <v>116</v>
      </c>
      <c r="C642">
        <v>16</v>
      </c>
      <c r="D642">
        <v>4</v>
      </c>
      <c r="E642" t="s">
        <v>899</v>
      </c>
      <c r="F642" t="s">
        <v>907</v>
      </c>
      <c r="G642" t="s">
        <v>891</v>
      </c>
      <c r="H642" s="3" t="str">
        <f>VLOOKUP(A642,'Orders Dataset'!$A:$D,4,FALSE)</f>
        <v>Madhya Pradesh</v>
      </c>
      <c r="I642" s="5" t="str">
        <f>VLOOKUP(A642,'Orders Dataset'!$A:$E,5,FALSE)</f>
        <v>Bhopal</v>
      </c>
    </row>
    <row r="643" spans="1:9" x14ac:dyDescent="0.25">
      <c r="A643" t="s">
        <v>239</v>
      </c>
      <c r="B643">
        <v>116</v>
      </c>
      <c r="C643">
        <v>-4</v>
      </c>
      <c r="D643">
        <v>1</v>
      </c>
      <c r="E643" t="s">
        <v>899</v>
      </c>
      <c r="F643" t="s">
        <v>901</v>
      </c>
      <c r="G643" t="s">
        <v>891</v>
      </c>
      <c r="H643" s="3" t="str">
        <f>VLOOKUP(A643,'Orders Dataset'!$A:$D,4,FALSE)</f>
        <v>Karnataka</v>
      </c>
      <c r="I643" s="5" t="str">
        <f>VLOOKUP(A643,'Orders Dataset'!$A:$E,5,FALSE)</f>
        <v>Bangalore</v>
      </c>
    </row>
    <row r="644" spans="1:9" x14ac:dyDescent="0.25">
      <c r="A644" t="s">
        <v>592</v>
      </c>
      <c r="B644">
        <v>171</v>
      </c>
      <c r="C644">
        <v>68</v>
      </c>
      <c r="D644">
        <v>7</v>
      </c>
      <c r="E644" t="s">
        <v>899</v>
      </c>
      <c r="F644" t="s">
        <v>907</v>
      </c>
      <c r="G644" t="s">
        <v>894</v>
      </c>
      <c r="H644" s="3" t="str">
        <f>VLOOKUP(A644,'Orders Dataset'!$A:$D,4,FALSE)</f>
        <v>Madhya Pradesh</v>
      </c>
      <c r="I644" s="5" t="str">
        <f>VLOOKUP(A644,'Orders Dataset'!$A:$E,5,FALSE)</f>
        <v>Indore</v>
      </c>
    </row>
    <row r="645" spans="1:9" x14ac:dyDescent="0.25">
      <c r="A645" t="s">
        <v>392</v>
      </c>
      <c r="B645">
        <v>46</v>
      </c>
      <c r="C645">
        <v>14</v>
      </c>
      <c r="D645">
        <v>5</v>
      </c>
      <c r="E645" t="s">
        <v>899</v>
      </c>
      <c r="F645" t="s">
        <v>905</v>
      </c>
      <c r="G645" t="s">
        <v>891</v>
      </c>
      <c r="H645" s="3" t="str">
        <f>VLOOKUP(A645,'Orders Dataset'!$A:$D,4,FALSE)</f>
        <v>Jammu and Kashmir</v>
      </c>
      <c r="I645" s="5" t="str">
        <f>VLOOKUP(A645,'Orders Dataset'!$A:$E,5,FALSE)</f>
        <v>Kashmir</v>
      </c>
    </row>
    <row r="646" spans="1:9" x14ac:dyDescent="0.25">
      <c r="A646" t="s">
        <v>154</v>
      </c>
      <c r="B646">
        <v>115</v>
      </c>
      <c r="C646">
        <v>-39</v>
      </c>
      <c r="D646">
        <v>3</v>
      </c>
      <c r="E646" t="s">
        <v>899</v>
      </c>
      <c r="F646" t="s">
        <v>900</v>
      </c>
      <c r="G646" t="s">
        <v>891</v>
      </c>
      <c r="H646" s="3" t="str">
        <f>VLOOKUP(A646,'Orders Dataset'!$A:$D,4,FALSE)</f>
        <v>Jammu and Kashmir</v>
      </c>
      <c r="I646" s="5" t="str">
        <f>VLOOKUP(A646,'Orders Dataset'!$A:$E,5,FALSE)</f>
        <v>Kashmir</v>
      </c>
    </row>
    <row r="647" spans="1:9" x14ac:dyDescent="0.25">
      <c r="A647" t="s">
        <v>716</v>
      </c>
      <c r="B647">
        <v>100</v>
      </c>
      <c r="C647">
        <v>7</v>
      </c>
      <c r="D647">
        <v>2</v>
      </c>
      <c r="E647" t="s">
        <v>899</v>
      </c>
      <c r="F647" t="s">
        <v>910</v>
      </c>
      <c r="G647" t="s">
        <v>902</v>
      </c>
      <c r="H647" s="3" t="str">
        <f>VLOOKUP(A647,'Orders Dataset'!$A:$D,4,FALSE)</f>
        <v>Uttar Pradesh</v>
      </c>
      <c r="I647" s="5" t="str">
        <f>VLOOKUP(A647,'Orders Dataset'!$A:$E,5,FALSE)</f>
        <v>Prayagraj</v>
      </c>
    </row>
    <row r="648" spans="1:9" x14ac:dyDescent="0.25">
      <c r="A648" t="s">
        <v>9</v>
      </c>
      <c r="B648">
        <v>44</v>
      </c>
      <c r="C648">
        <v>8</v>
      </c>
      <c r="D648">
        <v>2</v>
      </c>
      <c r="E648" t="s">
        <v>899</v>
      </c>
      <c r="F648" t="s">
        <v>907</v>
      </c>
      <c r="G648" t="s">
        <v>891</v>
      </c>
      <c r="H648" s="3" t="str">
        <f>VLOOKUP(A648,'Orders Dataset'!$A:$D,4,FALSE)</f>
        <v>Delhi</v>
      </c>
      <c r="I648" s="5" t="str">
        <f>VLOOKUP(A648,'Orders Dataset'!$A:$E,5,FALSE)</f>
        <v>Delhi</v>
      </c>
    </row>
    <row r="649" spans="1:9" x14ac:dyDescent="0.25">
      <c r="A649" t="s">
        <v>652</v>
      </c>
      <c r="B649">
        <v>139</v>
      </c>
      <c r="C649">
        <v>14</v>
      </c>
      <c r="D649">
        <v>3</v>
      </c>
      <c r="E649" t="s">
        <v>899</v>
      </c>
      <c r="F649" t="s">
        <v>904</v>
      </c>
      <c r="G649" t="s">
        <v>891</v>
      </c>
      <c r="H649" s="3" t="str">
        <f>VLOOKUP(A649,'Orders Dataset'!$A:$D,4,FALSE)</f>
        <v>Goa</v>
      </c>
      <c r="I649" s="5" t="str">
        <f>VLOOKUP(A649,'Orders Dataset'!$A:$E,5,FALSE)</f>
        <v>Goa</v>
      </c>
    </row>
    <row r="650" spans="1:9" x14ac:dyDescent="0.25">
      <c r="A650" t="s">
        <v>591</v>
      </c>
      <c r="B650">
        <v>171</v>
      </c>
      <c r="C650">
        <v>-140</v>
      </c>
      <c r="D650">
        <v>2</v>
      </c>
      <c r="E650" t="s">
        <v>892</v>
      </c>
      <c r="F650" t="s">
        <v>895</v>
      </c>
      <c r="G650" t="s">
        <v>894</v>
      </c>
      <c r="H650" s="3" t="str">
        <f>VLOOKUP(A650,'Orders Dataset'!$A:$D,4,FALSE)</f>
        <v>Andhra Pradesh</v>
      </c>
      <c r="I650" s="5" t="str">
        <f>VLOOKUP(A650,'Orders Dataset'!$A:$E,5,FALSE)</f>
        <v>Hyderabad</v>
      </c>
    </row>
    <row r="651" spans="1:9" x14ac:dyDescent="0.25">
      <c r="A651" t="s">
        <v>714</v>
      </c>
      <c r="B651">
        <v>100</v>
      </c>
      <c r="C651">
        <v>12</v>
      </c>
      <c r="D651">
        <v>2</v>
      </c>
      <c r="E651" t="s">
        <v>899</v>
      </c>
      <c r="F651" t="s">
        <v>910</v>
      </c>
      <c r="G651" t="s">
        <v>902</v>
      </c>
      <c r="H651" s="3" t="str">
        <f>VLOOKUP(A651,'Orders Dataset'!$A:$D,4,FALSE)</f>
        <v>Maharashtra</v>
      </c>
      <c r="I651" s="5" t="str">
        <f>VLOOKUP(A651,'Orders Dataset'!$A:$E,5,FALSE)</f>
        <v>Mumbai</v>
      </c>
    </row>
    <row r="652" spans="1:9" x14ac:dyDescent="0.25">
      <c r="A652" t="s">
        <v>235</v>
      </c>
      <c r="B652">
        <v>115</v>
      </c>
      <c r="C652">
        <v>25</v>
      </c>
      <c r="D652">
        <v>6</v>
      </c>
      <c r="E652" t="s">
        <v>899</v>
      </c>
      <c r="F652" t="s">
        <v>907</v>
      </c>
      <c r="G652" t="s">
        <v>891</v>
      </c>
      <c r="H652" s="3" t="str">
        <f>VLOOKUP(A652,'Orders Dataset'!$A:$D,4,FALSE)</f>
        <v>Madhya Pradesh</v>
      </c>
      <c r="I652" s="5" t="str">
        <f>VLOOKUP(A652,'Orders Dataset'!$A:$E,5,FALSE)</f>
        <v>Indore</v>
      </c>
    </row>
    <row r="653" spans="1:9" x14ac:dyDescent="0.25">
      <c r="A653" t="s">
        <v>239</v>
      </c>
      <c r="B653">
        <v>168</v>
      </c>
      <c r="C653">
        <v>-9</v>
      </c>
      <c r="D653">
        <v>3</v>
      </c>
      <c r="E653" t="s">
        <v>899</v>
      </c>
      <c r="F653" t="s">
        <v>901</v>
      </c>
      <c r="G653" t="s">
        <v>891</v>
      </c>
      <c r="H653" s="3" t="str">
        <f>VLOOKUP(A653,'Orders Dataset'!$A:$D,4,FALSE)</f>
        <v>Karnataka</v>
      </c>
      <c r="I653" s="5" t="str">
        <f>VLOOKUP(A653,'Orders Dataset'!$A:$E,5,FALSE)</f>
        <v>Bangalore</v>
      </c>
    </row>
    <row r="654" spans="1:9" x14ac:dyDescent="0.25">
      <c r="A654" t="s">
        <v>692</v>
      </c>
      <c r="B654">
        <v>115</v>
      </c>
      <c r="C654">
        <v>47</v>
      </c>
      <c r="D654">
        <v>2</v>
      </c>
      <c r="E654" t="s">
        <v>889</v>
      </c>
      <c r="F654" t="s">
        <v>909</v>
      </c>
      <c r="G654" t="s">
        <v>891</v>
      </c>
      <c r="H654" s="3" t="str">
        <f>VLOOKUP(A654,'Orders Dataset'!$A:$D,4,FALSE)</f>
        <v>Rajasthan</v>
      </c>
      <c r="I654" s="5" t="str">
        <f>VLOOKUP(A654,'Orders Dataset'!$A:$E,5,FALSE)</f>
        <v>Udaipur</v>
      </c>
    </row>
    <row r="655" spans="1:9" x14ac:dyDescent="0.25">
      <c r="A655" t="s">
        <v>34</v>
      </c>
      <c r="B655">
        <v>168</v>
      </c>
      <c r="C655">
        <v>-111</v>
      </c>
      <c r="D655">
        <v>2</v>
      </c>
      <c r="E655" t="s">
        <v>889</v>
      </c>
      <c r="F655" t="s">
        <v>898</v>
      </c>
      <c r="G655" t="s">
        <v>894</v>
      </c>
      <c r="H655" s="3" t="str">
        <f>VLOOKUP(A655,'Orders Dataset'!$A:$D,4,FALSE)</f>
        <v>Maharashtra</v>
      </c>
      <c r="I655" s="5" t="str">
        <f>VLOOKUP(A655,'Orders Dataset'!$A:$E,5,FALSE)</f>
        <v>Pune</v>
      </c>
    </row>
    <row r="656" spans="1:9" x14ac:dyDescent="0.25">
      <c r="A656" t="s">
        <v>834</v>
      </c>
      <c r="B656">
        <v>31</v>
      </c>
      <c r="C656">
        <v>-7</v>
      </c>
      <c r="D656">
        <v>5</v>
      </c>
      <c r="E656" t="s">
        <v>899</v>
      </c>
      <c r="F656" t="s">
        <v>905</v>
      </c>
      <c r="G656" t="s">
        <v>902</v>
      </c>
      <c r="H656" s="3" t="str">
        <f>VLOOKUP(A656,'Orders Dataset'!$A:$D,4,FALSE)</f>
        <v>Maharashtra</v>
      </c>
      <c r="I656" s="5" t="str">
        <f>VLOOKUP(A656,'Orders Dataset'!$A:$E,5,FALSE)</f>
        <v>Mumbai</v>
      </c>
    </row>
    <row r="657" spans="1:9" x14ac:dyDescent="0.25">
      <c r="A657" t="s">
        <v>70</v>
      </c>
      <c r="B657">
        <v>114</v>
      </c>
      <c r="C657">
        <v>41</v>
      </c>
      <c r="D657">
        <v>6</v>
      </c>
      <c r="E657" t="s">
        <v>892</v>
      </c>
      <c r="F657" t="s">
        <v>912</v>
      </c>
      <c r="G657" t="s">
        <v>891</v>
      </c>
      <c r="H657" s="3" t="str">
        <f>VLOOKUP(A657,'Orders Dataset'!$A:$D,4,FALSE)</f>
        <v>Madhya Pradesh</v>
      </c>
      <c r="I657" s="5" t="str">
        <f>VLOOKUP(A657,'Orders Dataset'!$A:$E,5,FALSE)</f>
        <v>Bhopal</v>
      </c>
    </row>
    <row r="658" spans="1:9" x14ac:dyDescent="0.25">
      <c r="A658" t="s">
        <v>288</v>
      </c>
      <c r="B658">
        <v>111</v>
      </c>
      <c r="C658">
        <v>9</v>
      </c>
      <c r="D658">
        <v>4</v>
      </c>
      <c r="E658" t="s">
        <v>899</v>
      </c>
      <c r="F658" t="s">
        <v>907</v>
      </c>
      <c r="G658" t="s">
        <v>891</v>
      </c>
      <c r="H658" s="3" t="str">
        <f>VLOOKUP(A658,'Orders Dataset'!$A:$D,4,FALSE)</f>
        <v>Maharashtra</v>
      </c>
      <c r="I658" s="5" t="str">
        <f>VLOOKUP(A658,'Orders Dataset'!$A:$E,5,FALSE)</f>
        <v>Mumbai</v>
      </c>
    </row>
    <row r="659" spans="1:9" x14ac:dyDescent="0.25">
      <c r="A659" t="s">
        <v>877</v>
      </c>
      <c r="B659">
        <v>11</v>
      </c>
      <c r="C659">
        <v>-8</v>
      </c>
      <c r="D659">
        <v>2</v>
      </c>
      <c r="E659" t="s">
        <v>899</v>
      </c>
      <c r="F659" t="s">
        <v>905</v>
      </c>
      <c r="G659" t="s">
        <v>902</v>
      </c>
      <c r="H659" s="3" t="str">
        <f>VLOOKUP(A659,'Orders Dataset'!$A:$D,4,FALSE)</f>
        <v>Goa</v>
      </c>
      <c r="I659" s="5" t="str">
        <f>VLOOKUP(A659,'Orders Dataset'!$A:$E,5,FALSE)</f>
        <v>Goa</v>
      </c>
    </row>
    <row r="660" spans="1:9" x14ac:dyDescent="0.25">
      <c r="A660" t="s">
        <v>452</v>
      </c>
      <c r="B660">
        <v>110</v>
      </c>
      <c r="C660">
        <v>35</v>
      </c>
      <c r="D660">
        <v>1</v>
      </c>
      <c r="E660" t="s">
        <v>892</v>
      </c>
      <c r="F660" t="s">
        <v>912</v>
      </c>
      <c r="G660" t="s">
        <v>891</v>
      </c>
      <c r="H660" s="3" t="str">
        <f>VLOOKUP(A660,'Orders Dataset'!$A:$D,4,FALSE)</f>
        <v>Madhya Pradesh</v>
      </c>
      <c r="I660" s="5" t="str">
        <f>VLOOKUP(A660,'Orders Dataset'!$A:$E,5,FALSE)</f>
        <v>Indore</v>
      </c>
    </row>
    <row r="661" spans="1:9" x14ac:dyDescent="0.25">
      <c r="A661" t="s">
        <v>392</v>
      </c>
      <c r="B661">
        <v>59</v>
      </c>
      <c r="C661">
        <v>15</v>
      </c>
      <c r="D661">
        <v>2</v>
      </c>
      <c r="E661" t="s">
        <v>899</v>
      </c>
      <c r="F661" t="s">
        <v>910</v>
      </c>
      <c r="G661" t="s">
        <v>902</v>
      </c>
      <c r="H661" s="3" t="str">
        <f>VLOOKUP(A661,'Orders Dataset'!$A:$D,4,FALSE)</f>
        <v>Jammu and Kashmir</v>
      </c>
      <c r="I661" s="5" t="str">
        <f>VLOOKUP(A661,'Orders Dataset'!$A:$E,5,FALSE)</f>
        <v>Kashmir</v>
      </c>
    </row>
    <row r="662" spans="1:9" x14ac:dyDescent="0.25">
      <c r="A662" t="s">
        <v>397</v>
      </c>
      <c r="B662">
        <v>166</v>
      </c>
      <c r="C662">
        <v>27</v>
      </c>
      <c r="D662">
        <v>2</v>
      </c>
      <c r="E662" t="s">
        <v>889</v>
      </c>
      <c r="F662" t="s">
        <v>909</v>
      </c>
      <c r="G662" t="s">
        <v>894</v>
      </c>
      <c r="H662" s="3" t="str">
        <f>VLOOKUP(A662,'Orders Dataset'!$A:$D,4,FALSE)</f>
        <v>Rajasthan</v>
      </c>
      <c r="I662" s="5" t="str">
        <f>VLOOKUP(A662,'Orders Dataset'!$A:$E,5,FALSE)</f>
        <v>Jaipur</v>
      </c>
    </row>
    <row r="663" spans="1:9" x14ac:dyDescent="0.25">
      <c r="A663" t="s">
        <v>116</v>
      </c>
      <c r="B663">
        <v>109</v>
      </c>
      <c r="C663">
        <v>-6</v>
      </c>
      <c r="D663">
        <v>6</v>
      </c>
      <c r="E663" t="s">
        <v>899</v>
      </c>
      <c r="F663" t="s">
        <v>901</v>
      </c>
      <c r="G663" t="s">
        <v>891</v>
      </c>
      <c r="H663" s="3" t="str">
        <f>VLOOKUP(A663,'Orders Dataset'!$A:$D,4,FALSE)</f>
        <v>Maharashtra</v>
      </c>
      <c r="I663" s="5" t="str">
        <f>VLOOKUP(A663,'Orders Dataset'!$A:$E,5,FALSE)</f>
        <v>Mumbai</v>
      </c>
    </row>
    <row r="664" spans="1:9" x14ac:dyDescent="0.25">
      <c r="A664" t="s">
        <v>555</v>
      </c>
      <c r="B664">
        <v>34</v>
      </c>
      <c r="C664">
        <v>-6</v>
      </c>
      <c r="D664">
        <v>4</v>
      </c>
      <c r="E664" t="s">
        <v>899</v>
      </c>
      <c r="F664" t="s">
        <v>908</v>
      </c>
      <c r="G664" t="s">
        <v>891</v>
      </c>
      <c r="H664" s="3" t="str">
        <f>VLOOKUP(A664,'Orders Dataset'!$A:$D,4,FALSE)</f>
        <v>Goa</v>
      </c>
      <c r="I664" s="5" t="str">
        <f>VLOOKUP(A664,'Orders Dataset'!$A:$E,5,FALSE)</f>
        <v>Goa</v>
      </c>
    </row>
    <row r="665" spans="1:9" x14ac:dyDescent="0.25">
      <c r="A665" t="s">
        <v>271</v>
      </c>
      <c r="B665">
        <v>109</v>
      </c>
      <c r="C665">
        <v>40</v>
      </c>
      <c r="D665">
        <v>1</v>
      </c>
      <c r="E665" t="s">
        <v>892</v>
      </c>
      <c r="F665" t="s">
        <v>912</v>
      </c>
      <c r="G665" t="s">
        <v>891</v>
      </c>
      <c r="H665" s="3" t="str">
        <f>VLOOKUP(A665,'Orders Dataset'!$A:$D,4,FALSE)</f>
        <v>Delhi</v>
      </c>
      <c r="I665" s="5" t="str">
        <f>VLOOKUP(A665,'Orders Dataset'!$A:$E,5,FALSE)</f>
        <v>Delhi</v>
      </c>
    </row>
    <row r="666" spans="1:9" x14ac:dyDescent="0.25">
      <c r="A666" t="s">
        <v>89</v>
      </c>
      <c r="B666">
        <v>108</v>
      </c>
      <c r="C666">
        <v>22</v>
      </c>
      <c r="D666">
        <v>3</v>
      </c>
      <c r="E666" t="s">
        <v>889</v>
      </c>
      <c r="F666" t="s">
        <v>909</v>
      </c>
      <c r="G666" t="s">
        <v>891</v>
      </c>
      <c r="H666" s="3" t="str">
        <f>VLOOKUP(A666,'Orders Dataset'!$A:$D,4,FALSE)</f>
        <v>Maharashtra</v>
      </c>
      <c r="I666" s="5" t="str">
        <f>VLOOKUP(A666,'Orders Dataset'!$A:$E,5,FALSE)</f>
        <v>Pune</v>
      </c>
    </row>
    <row r="667" spans="1:9" x14ac:dyDescent="0.25">
      <c r="A667" t="s">
        <v>50</v>
      </c>
      <c r="B667">
        <v>103</v>
      </c>
      <c r="C667">
        <v>50</v>
      </c>
      <c r="D667">
        <v>2</v>
      </c>
      <c r="E667" t="s">
        <v>892</v>
      </c>
      <c r="F667" t="s">
        <v>912</v>
      </c>
      <c r="G667" t="s">
        <v>902</v>
      </c>
      <c r="H667" s="3" t="str">
        <f>VLOOKUP(A667,'Orders Dataset'!$A:$D,4,FALSE)</f>
        <v>Maharashtra</v>
      </c>
      <c r="I667" s="5" t="str">
        <f>VLOOKUP(A667,'Orders Dataset'!$A:$E,5,FALSE)</f>
        <v>Mumbai</v>
      </c>
    </row>
    <row r="668" spans="1:9" x14ac:dyDescent="0.25">
      <c r="A668" t="s">
        <v>722</v>
      </c>
      <c r="B668">
        <v>10</v>
      </c>
      <c r="C668">
        <v>-8</v>
      </c>
      <c r="D668">
        <v>2</v>
      </c>
      <c r="E668" t="s">
        <v>899</v>
      </c>
      <c r="F668" t="s">
        <v>905</v>
      </c>
      <c r="G668" t="s">
        <v>891</v>
      </c>
      <c r="H668" s="3" t="str">
        <f>VLOOKUP(A668,'Orders Dataset'!$A:$D,4,FALSE)</f>
        <v>Madhya Pradesh</v>
      </c>
      <c r="I668" s="5" t="str">
        <f>VLOOKUP(A668,'Orders Dataset'!$A:$E,5,FALSE)</f>
        <v>Indore</v>
      </c>
    </row>
    <row r="669" spans="1:9" x14ac:dyDescent="0.25">
      <c r="A669" t="s">
        <v>144</v>
      </c>
      <c r="B669">
        <v>90</v>
      </c>
      <c r="C669">
        <v>17</v>
      </c>
      <c r="D669">
        <v>3</v>
      </c>
      <c r="E669" t="s">
        <v>899</v>
      </c>
      <c r="F669" t="s">
        <v>903</v>
      </c>
      <c r="G669" t="s">
        <v>891</v>
      </c>
      <c r="H669" s="3" t="str">
        <f>VLOOKUP(A669,'Orders Dataset'!$A:$D,4,FALSE)</f>
        <v>Madhya Pradesh</v>
      </c>
      <c r="I669" s="5" t="str">
        <f>VLOOKUP(A669,'Orders Dataset'!$A:$E,5,FALSE)</f>
        <v>Bhopal</v>
      </c>
    </row>
    <row r="670" spans="1:9" x14ac:dyDescent="0.25">
      <c r="A670" t="s">
        <v>416</v>
      </c>
      <c r="B670">
        <v>105</v>
      </c>
      <c r="C670">
        <v>46</v>
      </c>
      <c r="D670">
        <v>2</v>
      </c>
      <c r="E670" t="s">
        <v>899</v>
      </c>
      <c r="F670" t="s">
        <v>907</v>
      </c>
      <c r="G670" t="s">
        <v>902</v>
      </c>
      <c r="H670" s="3" t="str">
        <f>VLOOKUP(A670,'Orders Dataset'!$A:$D,4,FALSE)</f>
        <v>Maharashtra</v>
      </c>
      <c r="I670" s="5" t="str">
        <f>VLOOKUP(A670,'Orders Dataset'!$A:$E,5,FALSE)</f>
        <v>Mumbai</v>
      </c>
    </row>
    <row r="671" spans="1:9" x14ac:dyDescent="0.25">
      <c r="A671" t="s">
        <v>608</v>
      </c>
      <c r="B671">
        <v>105</v>
      </c>
      <c r="C671">
        <v>20</v>
      </c>
      <c r="D671">
        <v>2</v>
      </c>
      <c r="E671" t="s">
        <v>899</v>
      </c>
      <c r="F671" t="s">
        <v>907</v>
      </c>
      <c r="G671" t="s">
        <v>911</v>
      </c>
      <c r="H671" s="3" t="str">
        <f>VLOOKUP(A671,'Orders Dataset'!$A:$D,4,FALSE)</f>
        <v>West Bengal</v>
      </c>
      <c r="I671" s="5" t="str">
        <f>VLOOKUP(A671,'Orders Dataset'!$A:$E,5,FALSE)</f>
        <v>Kolkata</v>
      </c>
    </row>
    <row r="672" spans="1:9" x14ac:dyDescent="0.25">
      <c r="A672" t="s">
        <v>851</v>
      </c>
      <c r="B672">
        <v>22</v>
      </c>
      <c r="C672">
        <v>-6</v>
      </c>
      <c r="D672">
        <v>1</v>
      </c>
      <c r="E672" t="s">
        <v>892</v>
      </c>
      <c r="F672" t="s">
        <v>912</v>
      </c>
      <c r="G672" t="s">
        <v>891</v>
      </c>
      <c r="H672" s="3" t="str">
        <f>VLOOKUP(A672,'Orders Dataset'!$A:$D,4,FALSE)</f>
        <v>West Bengal</v>
      </c>
      <c r="I672" s="5" t="str">
        <f>VLOOKUP(A672,'Orders Dataset'!$A:$E,5,FALSE)</f>
        <v>Kolkata</v>
      </c>
    </row>
    <row r="673" spans="1:9" x14ac:dyDescent="0.25">
      <c r="A673" t="s">
        <v>246</v>
      </c>
      <c r="B673">
        <v>105</v>
      </c>
      <c r="C673">
        <v>-33</v>
      </c>
      <c r="D673">
        <v>5</v>
      </c>
      <c r="E673" t="s">
        <v>899</v>
      </c>
      <c r="F673" t="s">
        <v>904</v>
      </c>
      <c r="G673" t="s">
        <v>891</v>
      </c>
      <c r="H673" s="3" t="str">
        <f>VLOOKUP(A673,'Orders Dataset'!$A:$D,4,FALSE)</f>
        <v>Andhra Pradesh</v>
      </c>
      <c r="I673" s="5" t="str">
        <f>VLOOKUP(A673,'Orders Dataset'!$A:$E,5,FALSE)</f>
        <v>Hyderabad</v>
      </c>
    </row>
    <row r="674" spans="1:9" x14ac:dyDescent="0.25">
      <c r="A674" t="s">
        <v>457</v>
      </c>
      <c r="B674">
        <v>105</v>
      </c>
      <c r="C674">
        <v>25</v>
      </c>
      <c r="D674">
        <v>2</v>
      </c>
      <c r="E674" t="s">
        <v>899</v>
      </c>
      <c r="F674" t="s">
        <v>903</v>
      </c>
      <c r="G674" t="s">
        <v>894</v>
      </c>
      <c r="H674" s="3" t="str">
        <f>VLOOKUP(A674,'Orders Dataset'!$A:$D,4,FALSE)</f>
        <v>West Bengal</v>
      </c>
      <c r="I674" s="5" t="str">
        <f>VLOOKUP(A674,'Orders Dataset'!$A:$E,5,FALSE)</f>
        <v>Kolkata</v>
      </c>
    </row>
    <row r="675" spans="1:9" x14ac:dyDescent="0.25">
      <c r="A675" t="s">
        <v>335</v>
      </c>
      <c r="B675">
        <v>25</v>
      </c>
      <c r="C675">
        <v>-7</v>
      </c>
      <c r="D675">
        <v>5</v>
      </c>
      <c r="E675" t="s">
        <v>899</v>
      </c>
      <c r="F675" t="s">
        <v>901</v>
      </c>
      <c r="G675" t="s">
        <v>902</v>
      </c>
      <c r="H675" s="3" t="str">
        <f>VLOOKUP(A675,'Orders Dataset'!$A:$D,4,FALSE)</f>
        <v>Maharashtra</v>
      </c>
      <c r="I675" s="5" t="str">
        <f>VLOOKUP(A675,'Orders Dataset'!$A:$E,5,FALSE)</f>
        <v>Mumbai</v>
      </c>
    </row>
    <row r="676" spans="1:9" x14ac:dyDescent="0.25">
      <c r="A676" t="s">
        <v>50</v>
      </c>
      <c r="B676">
        <v>104</v>
      </c>
      <c r="C676">
        <v>2</v>
      </c>
      <c r="D676">
        <v>2</v>
      </c>
      <c r="E676" t="s">
        <v>892</v>
      </c>
      <c r="F676" t="s">
        <v>912</v>
      </c>
      <c r="G676" t="s">
        <v>891</v>
      </c>
      <c r="H676" s="3" t="str">
        <f>VLOOKUP(A676,'Orders Dataset'!$A:$D,4,FALSE)</f>
        <v>Maharashtra</v>
      </c>
      <c r="I676" s="5" t="str">
        <f>VLOOKUP(A676,'Orders Dataset'!$A:$E,5,FALSE)</f>
        <v>Mumbai</v>
      </c>
    </row>
    <row r="677" spans="1:9" x14ac:dyDescent="0.25">
      <c r="A677" t="s">
        <v>869</v>
      </c>
      <c r="B677">
        <v>16</v>
      </c>
      <c r="C677">
        <v>5</v>
      </c>
      <c r="D677">
        <v>1</v>
      </c>
      <c r="E677" t="s">
        <v>899</v>
      </c>
      <c r="F677" t="s">
        <v>907</v>
      </c>
      <c r="G677" t="s">
        <v>902</v>
      </c>
      <c r="H677" s="3" t="str">
        <f>VLOOKUP(A677,'Orders Dataset'!$A:$D,4,FALSE)</f>
        <v>Andhra Pradesh</v>
      </c>
      <c r="I677" s="5" t="str">
        <f>VLOOKUP(A677,'Orders Dataset'!$A:$E,5,FALSE)</f>
        <v>Hyderabad</v>
      </c>
    </row>
    <row r="678" spans="1:9" x14ac:dyDescent="0.25">
      <c r="A678" t="s">
        <v>480</v>
      </c>
      <c r="B678">
        <v>64</v>
      </c>
      <c r="C678">
        <v>-7</v>
      </c>
      <c r="D678">
        <v>3</v>
      </c>
      <c r="E678" t="s">
        <v>899</v>
      </c>
      <c r="F678" t="s">
        <v>901</v>
      </c>
      <c r="G678" t="s">
        <v>891</v>
      </c>
      <c r="H678" s="3" t="str">
        <f>VLOOKUP(A678,'Orders Dataset'!$A:$D,4,FALSE)</f>
        <v>Karnataka</v>
      </c>
      <c r="I678" s="5" t="str">
        <f>VLOOKUP(A678,'Orders Dataset'!$A:$E,5,FALSE)</f>
        <v>Bangalore</v>
      </c>
    </row>
    <row r="679" spans="1:9" x14ac:dyDescent="0.25">
      <c r="A679" t="s">
        <v>819</v>
      </c>
      <c r="B679">
        <v>38</v>
      </c>
      <c r="C679">
        <v>-6</v>
      </c>
      <c r="D679">
        <v>2</v>
      </c>
      <c r="E679" t="s">
        <v>892</v>
      </c>
      <c r="F679" t="s">
        <v>912</v>
      </c>
      <c r="G679" t="s">
        <v>902</v>
      </c>
      <c r="H679" s="3" t="str">
        <f>VLOOKUP(A679,'Orders Dataset'!$A:$D,4,FALSE)</f>
        <v>Punjab</v>
      </c>
      <c r="I679" s="5" t="str">
        <f>VLOOKUP(A679,'Orders Dataset'!$A:$E,5,FALSE)</f>
        <v>Chandigarh</v>
      </c>
    </row>
    <row r="680" spans="1:9" x14ac:dyDescent="0.25">
      <c r="A680" t="s">
        <v>244</v>
      </c>
      <c r="B680">
        <v>83</v>
      </c>
      <c r="C680">
        <v>12</v>
      </c>
      <c r="D680">
        <v>2</v>
      </c>
      <c r="E680" t="s">
        <v>892</v>
      </c>
      <c r="F680" t="s">
        <v>893</v>
      </c>
      <c r="G680" t="s">
        <v>891</v>
      </c>
      <c r="H680" s="3" t="str">
        <f>VLOOKUP(A680,'Orders Dataset'!$A:$D,4,FALSE)</f>
        <v>Delhi</v>
      </c>
      <c r="I680" s="5" t="str">
        <f>VLOOKUP(A680,'Orders Dataset'!$A:$E,5,FALSE)</f>
        <v>Delhi</v>
      </c>
    </row>
    <row r="681" spans="1:9" x14ac:dyDescent="0.25">
      <c r="A681" t="s">
        <v>509</v>
      </c>
      <c r="B681">
        <v>103</v>
      </c>
      <c r="C681">
        <v>36</v>
      </c>
      <c r="D681">
        <v>2</v>
      </c>
      <c r="E681" t="s">
        <v>899</v>
      </c>
      <c r="F681" t="s">
        <v>903</v>
      </c>
      <c r="G681" t="s">
        <v>891</v>
      </c>
      <c r="H681" s="3" t="str">
        <f>VLOOKUP(A681,'Orders Dataset'!$A:$D,4,FALSE)</f>
        <v>Maharashtra</v>
      </c>
      <c r="I681" s="5" t="str">
        <f>VLOOKUP(A681,'Orders Dataset'!$A:$E,5,FALSE)</f>
        <v>Mumbai</v>
      </c>
    </row>
    <row r="682" spans="1:9" x14ac:dyDescent="0.25">
      <c r="A682" t="s">
        <v>339</v>
      </c>
      <c r="B682">
        <v>37</v>
      </c>
      <c r="C682">
        <v>-6</v>
      </c>
      <c r="D682">
        <v>1</v>
      </c>
      <c r="E682" t="s">
        <v>899</v>
      </c>
      <c r="F682" t="s">
        <v>901</v>
      </c>
      <c r="G682" t="s">
        <v>902</v>
      </c>
      <c r="H682" s="3" t="str">
        <f>VLOOKUP(A682,'Orders Dataset'!$A:$D,4,FALSE)</f>
        <v>Maharashtra</v>
      </c>
      <c r="I682" s="5" t="str">
        <f>VLOOKUP(A682,'Orders Dataset'!$A:$E,5,FALSE)</f>
        <v>Mumbai</v>
      </c>
    </row>
    <row r="683" spans="1:9" x14ac:dyDescent="0.25">
      <c r="A683" t="s">
        <v>703</v>
      </c>
      <c r="B683">
        <v>105</v>
      </c>
      <c r="C683">
        <v>33</v>
      </c>
      <c r="D683">
        <v>6</v>
      </c>
      <c r="E683" t="s">
        <v>899</v>
      </c>
      <c r="F683" t="s">
        <v>901</v>
      </c>
      <c r="G683" t="s">
        <v>894</v>
      </c>
      <c r="H683" s="3" t="str">
        <f>VLOOKUP(A683,'Orders Dataset'!$A:$D,4,FALSE)</f>
        <v>Madhya Pradesh</v>
      </c>
      <c r="I683" s="5" t="str">
        <f>VLOOKUP(A683,'Orders Dataset'!$A:$E,5,FALSE)</f>
        <v>Indore</v>
      </c>
    </row>
    <row r="684" spans="1:9" x14ac:dyDescent="0.25">
      <c r="A684" t="s">
        <v>369</v>
      </c>
      <c r="B684">
        <v>78</v>
      </c>
      <c r="C684">
        <v>-6</v>
      </c>
      <c r="D684">
        <v>2</v>
      </c>
      <c r="E684" t="s">
        <v>892</v>
      </c>
      <c r="F684" t="s">
        <v>912</v>
      </c>
      <c r="G684" t="s">
        <v>902</v>
      </c>
      <c r="H684" s="3" t="str">
        <f>VLOOKUP(A684,'Orders Dataset'!$A:$D,4,FALSE)</f>
        <v>Madhya Pradesh</v>
      </c>
      <c r="I684" s="5" t="str">
        <f>VLOOKUP(A684,'Orders Dataset'!$A:$E,5,FALSE)</f>
        <v>Indore</v>
      </c>
    </row>
    <row r="685" spans="1:9" x14ac:dyDescent="0.25">
      <c r="A685" t="s">
        <v>48</v>
      </c>
      <c r="B685">
        <v>102</v>
      </c>
      <c r="C685">
        <v>-90</v>
      </c>
      <c r="D685">
        <v>1</v>
      </c>
      <c r="E685" t="s">
        <v>899</v>
      </c>
      <c r="F685" t="s">
        <v>901</v>
      </c>
      <c r="G685" t="s">
        <v>891</v>
      </c>
      <c r="H685" s="3" t="str">
        <f>VLOOKUP(A685,'Orders Dataset'!$A:$D,4,FALSE)</f>
        <v>Uttar Pradesh</v>
      </c>
      <c r="I685" s="5" t="str">
        <f>VLOOKUP(A685,'Orders Dataset'!$A:$E,5,FALSE)</f>
        <v>Mathura</v>
      </c>
    </row>
    <row r="686" spans="1:9" x14ac:dyDescent="0.25">
      <c r="A686" t="s">
        <v>707</v>
      </c>
      <c r="B686">
        <v>102</v>
      </c>
      <c r="C686">
        <v>11</v>
      </c>
      <c r="D686">
        <v>6</v>
      </c>
      <c r="E686" t="s">
        <v>899</v>
      </c>
      <c r="F686" t="s">
        <v>910</v>
      </c>
      <c r="G686" t="s">
        <v>891</v>
      </c>
      <c r="H686" s="3" t="str">
        <f>VLOOKUP(A686,'Orders Dataset'!$A:$D,4,FALSE)</f>
        <v>Delhi</v>
      </c>
      <c r="I686" s="5" t="str">
        <f>VLOOKUP(A686,'Orders Dataset'!$A:$E,5,FALSE)</f>
        <v>Delhi</v>
      </c>
    </row>
    <row r="687" spans="1:9" x14ac:dyDescent="0.25">
      <c r="A687" t="s">
        <v>375</v>
      </c>
      <c r="B687">
        <v>10</v>
      </c>
      <c r="C687">
        <v>-8</v>
      </c>
      <c r="D687">
        <v>1</v>
      </c>
      <c r="E687" t="s">
        <v>899</v>
      </c>
      <c r="F687" t="s">
        <v>904</v>
      </c>
      <c r="G687" t="s">
        <v>902</v>
      </c>
      <c r="H687" s="3" t="str">
        <f>VLOOKUP(A687,'Orders Dataset'!$A:$D,4,FALSE)</f>
        <v>Maharashtra</v>
      </c>
      <c r="I687" s="5" t="str">
        <f>VLOOKUP(A687,'Orders Dataset'!$A:$E,5,FALSE)</f>
        <v>Mumbai</v>
      </c>
    </row>
    <row r="688" spans="1:9" x14ac:dyDescent="0.25">
      <c r="A688" t="s">
        <v>126</v>
      </c>
      <c r="B688">
        <v>101</v>
      </c>
      <c r="C688">
        <v>18</v>
      </c>
      <c r="D688">
        <v>9</v>
      </c>
      <c r="E688" t="s">
        <v>899</v>
      </c>
      <c r="F688" t="s">
        <v>905</v>
      </c>
      <c r="G688" t="s">
        <v>891</v>
      </c>
      <c r="H688" s="3" t="str">
        <f>VLOOKUP(A688,'Orders Dataset'!$A:$D,4,FALSE)</f>
        <v>Maharashtra</v>
      </c>
      <c r="I688" s="5" t="str">
        <f>VLOOKUP(A688,'Orders Dataset'!$A:$E,5,FALSE)</f>
        <v>Pune</v>
      </c>
    </row>
    <row r="689" spans="1:9" x14ac:dyDescent="0.25">
      <c r="A689" t="s">
        <v>812</v>
      </c>
      <c r="B689">
        <v>42</v>
      </c>
      <c r="C689">
        <v>-6</v>
      </c>
      <c r="D689">
        <v>4</v>
      </c>
      <c r="E689" t="s">
        <v>899</v>
      </c>
      <c r="F689" t="s">
        <v>901</v>
      </c>
      <c r="G689" t="s">
        <v>902</v>
      </c>
      <c r="H689" s="3" t="str">
        <f>VLOOKUP(A689,'Orders Dataset'!$A:$D,4,FALSE)</f>
        <v>Kerala</v>
      </c>
      <c r="I689" s="5" t="str">
        <f>VLOOKUP(A689,'Orders Dataset'!$A:$E,5,FALSE)</f>
        <v>Thiruvananthapuram</v>
      </c>
    </row>
    <row r="690" spans="1:9" x14ac:dyDescent="0.25">
      <c r="A690" t="s">
        <v>546</v>
      </c>
      <c r="B690">
        <v>56</v>
      </c>
      <c r="C690">
        <v>18</v>
      </c>
      <c r="D690">
        <v>2</v>
      </c>
      <c r="E690" t="s">
        <v>899</v>
      </c>
      <c r="F690" t="s">
        <v>903</v>
      </c>
      <c r="G690" t="s">
        <v>902</v>
      </c>
      <c r="H690" s="3" t="str">
        <f>VLOOKUP(A690,'Orders Dataset'!$A:$D,4,FALSE)</f>
        <v>Uttar Pradesh</v>
      </c>
      <c r="I690" s="5" t="str">
        <f>VLOOKUP(A690,'Orders Dataset'!$A:$E,5,FALSE)</f>
        <v>Lucknow</v>
      </c>
    </row>
    <row r="691" spans="1:9" x14ac:dyDescent="0.25">
      <c r="A691" t="s">
        <v>335</v>
      </c>
      <c r="B691">
        <v>95</v>
      </c>
      <c r="C691">
        <v>5</v>
      </c>
      <c r="D691">
        <v>2</v>
      </c>
      <c r="E691" t="s">
        <v>899</v>
      </c>
      <c r="F691" t="s">
        <v>907</v>
      </c>
      <c r="G691" t="s">
        <v>891</v>
      </c>
      <c r="H691" s="3" t="str">
        <f>VLOOKUP(A691,'Orders Dataset'!$A:$D,4,FALSE)</f>
        <v>Maharashtra</v>
      </c>
      <c r="I691" s="5" t="str">
        <f>VLOOKUP(A691,'Orders Dataset'!$A:$E,5,FALSE)</f>
        <v>Mumbai</v>
      </c>
    </row>
    <row r="692" spans="1:9" x14ac:dyDescent="0.25">
      <c r="A692" t="s">
        <v>606</v>
      </c>
      <c r="B692">
        <v>159</v>
      </c>
      <c r="C692">
        <v>2</v>
      </c>
      <c r="D692">
        <v>3</v>
      </c>
      <c r="E692" t="s">
        <v>892</v>
      </c>
      <c r="F692" t="s">
        <v>912</v>
      </c>
      <c r="G692" t="s">
        <v>894</v>
      </c>
      <c r="H692" s="3" t="str">
        <f>VLOOKUP(A692,'Orders Dataset'!$A:$D,4,FALSE)</f>
        <v>Gujarat</v>
      </c>
      <c r="I692" s="5" t="str">
        <f>VLOOKUP(A692,'Orders Dataset'!$A:$E,5,FALSE)</f>
        <v>Surat</v>
      </c>
    </row>
    <row r="693" spans="1:9" x14ac:dyDescent="0.25">
      <c r="A693" t="s">
        <v>608</v>
      </c>
      <c r="B693">
        <v>158</v>
      </c>
      <c r="C693">
        <v>69</v>
      </c>
      <c r="D693">
        <v>3</v>
      </c>
      <c r="E693" t="s">
        <v>899</v>
      </c>
      <c r="F693" t="s">
        <v>907</v>
      </c>
      <c r="G693" t="s">
        <v>894</v>
      </c>
      <c r="H693" s="3" t="str">
        <f>VLOOKUP(A693,'Orders Dataset'!$A:$D,4,FALSE)</f>
        <v>West Bengal</v>
      </c>
      <c r="I693" s="5" t="str">
        <f>VLOOKUP(A693,'Orders Dataset'!$A:$E,5,FALSE)</f>
        <v>Kolkata</v>
      </c>
    </row>
    <row r="694" spans="1:9" x14ac:dyDescent="0.25">
      <c r="A694" t="s">
        <v>375</v>
      </c>
      <c r="B694">
        <v>106</v>
      </c>
      <c r="C694">
        <v>0</v>
      </c>
      <c r="D694">
        <v>2</v>
      </c>
      <c r="E694" t="s">
        <v>889</v>
      </c>
      <c r="F694" t="s">
        <v>898</v>
      </c>
      <c r="G694" t="s">
        <v>894</v>
      </c>
      <c r="H694" s="3" t="str">
        <f>VLOOKUP(A694,'Orders Dataset'!$A:$D,4,FALSE)</f>
        <v>Maharashtra</v>
      </c>
      <c r="I694" s="5" t="str">
        <f>VLOOKUP(A694,'Orders Dataset'!$A:$E,5,FALSE)</f>
        <v>Mumbai</v>
      </c>
    </row>
    <row r="695" spans="1:9" x14ac:dyDescent="0.25">
      <c r="A695" t="s">
        <v>269</v>
      </c>
      <c r="B695">
        <v>101</v>
      </c>
      <c r="C695">
        <v>16</v>
      </c>
      <c r="D695">
        <v>4</v>
      </c>
      <c r="E695" t="s">
        <v>899</v>
      </c>
      <c r="F695" t="s">
        <v>910</v>
      </c>
      <c r="G695" t="s">
        <v>891</v>
      </c>
      <c r="H695" s="3" t="str">
        <f>VLOOKUP(A695,'Orders Dataset'!$A:$D,4,FALSE)</f>
        <v>Karnataka</v>
      </c>
      <c r="I695" s="5" t="str">
        <f>VLOOKUP(A695,'Orders Dataset'!$A:$E,5,FALSE)</f>
        <v>Bangalore</v>
      </c>
    </row>
    <row r="696" spans="1:9" x14ac:dyDescent="0.25">
      <c r="A696" t="s">
        <v>389</v>
      </c>
      <c r="B696">
        <v>107</v>
      </c>
      <c r="C696">
        <v>37</v>
      </c>
      <c r="D696">
        <v>3</v>
      </c>
      <c r="E696" t="s">
        <v>899</v>
      </c>
      <c r="F696" t="s">
        <v>913</v>
      </c>
      <c r="G696" t="s">
        <v>891</v>
      </c>
      <c r="H696" s="3" t="str">
        <f>VLOOKUP(A696,'Orders Dataset'!$A:$D,4,FALSE)</f>
        <v>Rajasthan</v>
      </c>
      <c r="I696" s="5" t="str">
        <f>VLOOKUP(A696,'Orders Dataset'!$A:$E,5,FALSE)</f>
        <v>Udaipur</v>
      </c>
    </row>
    <row r="697" spans="1:9" x14ac:dyDescent="0.25">
      <c r="A697" t="s">
        <v>486</v>
      </c>
      <c r="B697">
        <v>156</v>
      </c>
      <c r="C697">
        <v>36</v>
      </c>
      <c r="D697">
        <v>5</v>
      </c>
      <c r="E697" t="s">
        <v>899</v>
      </c>
      <c r="F697" t="s">
        <v>910</v>
      </c>
      <c r="G697" t="s">
        <v>894</v>
      </c>
      <c r="H697" s="3" t="str">
        <f>VLOOKUP(A697,'Orders Dataset'!$A:$D,4,FALSE)</f>
        <v>Karnataka</v>
      </c>
      <c r="I697" s="5" t="str">
        <f>VLOOKUP(A697,'Orders Dataset'!$A:$E,5,FALSE)</f>
        <v>Bangalore</v>
      </c>
    </row>
    <row r="698" spans="1:9" x14ac:dyDescent="0.25">
      <c r="A698" t="s">
        <v>700</v>
      </c>
      <c r="B698">
        <v>108</v>
      </c>
      <c r="C698">
        <v>-19</v>
      </c>
      <c r="D698">
        <v>3</v>
      </c>
      <c r="E698" t="s">
        <v>889</v>
      </c>
      <c r="F698" t="s">
        <v>890</v>
      </c>
      <c r="G698" t="s">
        <v>902</v>
      </c>
      <c r="H698" s="3" t="str">
        <f>VLOOKUP(A698,'Orders Dataset'!$A:$D,4,FALSE)</f>
        <v>Madhya Pradesh</v>
      </c>
      <c r="I698" s="5" t="str">
        <f>VLOOKUP(A698,'Orders Dataset'!$A:$E,5,FALSE)</f>
        <v>Indore</v>
      </c>
    </row>
    <row r="699" spans="1:9" x14ac:dyDescent="0.25">
      <c r="A699" t="s">
        <v>199</v>
      </c>
      <c r="B699">
        <v>107</v>
      </c>
      <c r="C699">
        <v>-54</v>
      </c>
      <c r="D699">
        <v>4</v>
      </c>
      <c r="E699" t="s">
        <v>899</v>
      </c>
      <c r="F699" t="s">
        <v>907</v>
      </c>
      <c r="G699" t="s">
        <v>894</v>
      </c>
      <c r="H699" s="3" t="str">
        <f>VLOOKUP(A699,'Orders Dataset'!$A:$D,4,FALSE)</f>
        <v>Bihar</v>
      </c>
      <c r="I699" s="5" t="str">
        <f>VLOOKUP(A699,'Orders Dataset'!$A:$E,5,FALSE)</f>
        <v>Patna</v>
      </c>
    </row>
    <row r="700" spans="1:9" x14ac:dyDescent="0.25">
      <c r="A700" t="s">
        <v>711</v>
      </c>
      <c r="B700">
        <v>100</v>
      </c>
      <c r="C700">
        <v>-58</v>
      </c>
      <c r="D700">
        <v>4</v>
      </c>
      <c r="E700" t="s">
        <v>899</v>
      </c>
      <c r="F700" t="s">
        <v>903</v>
      </c>
      <c r="G700" t="s">
        <v>891</v>
      </c>
      <c r="H700" s="3" t="str">
        <f>VLOOKUP(A700,'Orders Dataset'!$A:$D,4,FALSE)</f>
        <v>Madhya Pradesh</v>
      </c>
      <c r="I700" s="5" t="str">
        <f>VLOOKUP(A700,'Orders Dataset'!$A:$E,5,FALSE)</f>
        <v>Bhopal</v>
      </c>
    </row>
    <row r="701" spans="1:9" x14ac:dyDescent="0.25">
      <c r="A701" t="s">
        <v>562</v>
      </c>
      <c r="B701">
        <v>108</v>
      </c>
      <c r="C701">
        <v>26</v>
      </c>
      <c r="D701">
        <v>4</v>
      </c>
      <c r="E701" t="s">
        <v>899</v>
      </c>
      <c r="F701" t="s">
        <v>913</v>
      </c>
      <c r="G701" t="s">
        <v>902</v>
      </c>
      <c r="H701" s="3" t="str">
        <f>VLOOKUP(A701,'Orders Dataset'!$A:$D,4,FALSE)</f>
        <v>Madhya Pradesh</v>
      </c>
      <c r="I701" s="5" t="str">
        <f>VLOOKUP(A701,'Orders Dataset'!$A:$E,5,FALSE)</f>
        <v>Indore</v>
      </c>
    </row>
    <row r="702" spans="1:9" x14ac:dyDescent="0.25">
      <c r="A702" t="s">
        <v>712</v>
      </c>
      <c r="B702">
        <v>100</v>
      </c>
      <c r="C702">
        <v>6</v>
      </c>
      <c r="D702">
        <v>4</v>
      </c>
      <c r="E702" t="s">
        <v>899</v>
      </c>
      <c r="F702" t="s">
        <v>907</v>
      </c>
      <c r="G702" t="s">
        <v>891</v>
      </c>
      <c r="H702" s="3" t="str">
        <f>VLOOKUP(A702,'Orders Dataset'!$A:$D,4,FALSE)</f>
        <v>Maharashtra</v>
      </c>
      <c r="I702" s="5" t="str">
        <f>VLOOKUP(A702,'Orders Dataset'!$A:$E,5,FALSE)</f>
        <v>Mumbai</v>
      </c>
    </row>
    <row r="703" spans="1:9" x14ac:dyDescent="0.25">
      <c r="A703" t="s">
        <v>661</v>
      </c>
      <c r="B703">
        <v>100</v>
      </c>
      <c r="C703">
        <v>-23</v>
      </c>
      <c r="D703">
        <v>1</v>
      </c>
      <c r="E703" t="s">
        <v>889</v>
      </c>
      <c r="F703" t="s">
        <v>898</v>
      </c>
      <c r="G703" t="s">
        <v>891</v>
      </c>
      <c r="H703" s="3" t="str">
        <f>VLOOKUP(A703,'Orders Dataset'!$A:$D,4,FALSE)</f>
        <v>Punjab</v>
      </c>
      <c r="I703" s="5" t="str">
        <f>VLOOKUP(A703,'Orders Dataset'!$A:$E,5,FALSE)</f>
        <v>Chandigarh</v>
      </c>
    </row>
    <row r="704" spans="1:9" x14ac:dyDescent="0.25">
      <c r="A704" t="s">
        <v>281</v>
      </c>
      <c r="B704">
        <v>43</v>
      </c>
      <c r="C704">
        <v>17</v>
      </c>
      <c r="D704">
        <v>2</v>
      </c>
      <c r="E704" t="s">
        <v>899</v>
      </c>
      <c r="F704" t="s">
        <v>910</v>
      </c>
      <c r="G704" t="s">
        <v>902</v>
      </c>
      <c r="H704" s="3" t="str">
        <f>VLOOKUP(A704,'Orders Dataset'!$A:$D,4,FALSE)</f>
        <v>Haryana</v>
      </c>
      <c r="I704" s="5" t="str">
        <f>VLOOKUP(A704,'Orders Dataset'!$A:$E,5,FALSE)</f>
        <v>Chandigarh</v>
      </c>
    </row>
    <row r="705" spans="1:9" x14ac:dyDescent="0.25">
      <c r="A705" t="s">
        <v>614</v>
      </c>
      <c r="B705">
        <v>155</v>
      </c>
      <c r="C705">
        <v>26</v>
      </c>
      <c r="D705">
        <v>3</v>
      </c>
      <c r="E705" t="s">
        <v>899</v>
      </c>
      <c r="F705" t="s">
        <v>907</v>
      </c>
      <c r="G705" t="s">
        <v>894</v>
      </c>
      <c r="H705" s="3" t="str">
        <f>VLOOKUP(A705,'Orders Dataset'!$A:$D,4,FALSE)</f>
        <v>Gujarat</v>
      </c>
      <c r="I705" s="5" t="str">
        <f>VLOOKUP(A705,'Orders Dataset'!$A:$E,5,FALSE)</f>
        <v>Ahmedabad</v>
      </c>
    </row>
    <row r="706" spans="1:9" x14ac:dyDescent="0.25">
      <c r="A706" t="s">
        <v>625</v>
      </c>
      <c r="B706">
        <v>151</v>
      </c>
      <c r="C706">
        <v>9</v>
      </c>
      <c r="D706">
        <v>3</v>
      </c>
      <c r="E706" t="s">
        <v>899</v>
      </c>
      <c r="F706" t="s">
        <v>903</v>
      </c>
      <c r="G706" t="s">
        <v>894</v>
      </c>
      <c r="H706" s="3" t="str">
        <f>VLOOKUP(A706,'Orders Dataset'!$A:$D,4,FALSE)</f>
        <v>Maharashtra</v>
      </c>
      <c r="I706" s="5" t="str">
        <f>VLOOKUP(A706,'Orders Dataset'!$A:$E,5,FALSE)</f>
        <v>Mumbai</v>
      </c>
    </row>
    <row r="707" spans="1:9" x14ac:dyDescent="0.25">
      <c r="A707" t="s">
        <v>350</v>
      </c>
      <c r="B707">
        <v>151</v>
      </c>
      <c r="C707">
        <v>29</v>
      </c>
      <c r="D707">
        <v>5</v>
      </c>
      <c r="E707" t="s">
        <v>899</v>
      </c>
      <c r="F707" t="s">
        <v>903</v>
      </c>
      <c r="G707" t="s">
        <v>894</v>
      </c>
      <c r="H707" s="3" t="str">
        <f>VLOOKUP(A707,'Orders Dataset'!$A:$D,4,FALSE)</f>
        <v>Punjab</v>
      </c>
      <c r="I707" s="5" t="str">
        <f>VLOOKUP(A707,'Orders Dataset'!$A:$E,5,FALSE)</f>
        <v>Chandigarh</v>
      </c>
    </row>
    <row r="708" spans="1:9" x14ac:dyDescent="0.25">
      <c r="A708" t="s">
        <v>436</v>
      </c>
      <c r="B708">
        <v>110</v>
      </c>
      <c r="C708">
        <v>-68</v>
      </c>
      <c r="D708">
        <v>4</v>
      </c>
      <c r="E708" t="s">
        <v>899</v>
      </c>
      <c r="F708" t="s">
        <v>901</v>
      </c>
      <c r="G708" t="s">
        <v>894</v>
      </c>
      <c r="H708" s="3" t="str">
        <f>VLOOKUP(A708,'Orders Dataset'!$A:$D,4,FALSE)</f>
        <v>Madhya Pradesh</v>
      </c>
      <c r="I708" s="5" t="str">
        <f>VLOOKUP(A708,'Orders Dataset'!$A:$E,5,FALSE)</f>
        <v>Indore</v>
      </c>
    </row>
    <row r="709" spans="1:9" x14ac:dyDescent="0.25">
      <c r="A709" t="s">
        <v>18</v>
      </c>
      <c r="B709">
        <v>98</v>
      </c>
      <c r="C709">
        <v>9</v>
      </c>
      <c r="D709">
        <v>2</v>
      </c>
      <c r="E709" t="s">
        <v>892</v>
      </c>
      <c r="F709" t="s">
        <v>912</v>
      </c>
      <c r="G709" t="s">
        <v>891</v>
      </c>
      <c r="H709" s="3" t="str">
        <f>VLOOKUP(A709,'Orders Dataset'!$A:$D,4,FALSE)</f>
        <v>Madhya Pradesh</v>
      </c>
      <c r="I709" s="5" t="str">
        <f>VLOOKUP(A709,'Orders Dataset'!$A:$E,5,FALSE)</f>
        <v>Indore</v>
      </c>
    </row>
    <row r="710" spans="1:9" x14ac:dyDescent="0.25">
      <c r="A710" t="s">
        <v>436</v>
      </c>
      <c r="B710">
        <v>97</v>
      </c>
      <c r="C710">
        <v>-62</v>
      </c>
      <c r="D710">
        <v>2</v>
      </c>
      <c r="E710" t="s">
        <v>899</v>
      </c>
      <c r="F710" t="s">
        <v>900</v>
      </c>
      <c r="G710" t="s">
        <v>891</v>
      </c>
      <c r="H710" s="3" t="str">
        <f>VLOOKUP(A710,'Orders Dataset'!$A:$D,4,FALSE)</f>
        <v>Madhya Pradesh</v>
      </c>
      <c r="I710" s="5" t="str">
        <f>VLOOKUP(A710,'Orders Dataset'!$A:$E,5,FALSE)</f>
        <v>Indore</v>
      </c>
    </row>
    <row r="711" spans="1:9" x14ac:dyDescent="0.25">
      <c r="A711" t="s">
        <v>267</v>
      </c>
      <c r="B711">
        <v>111</v>
      </c>
      <c r="C711">
        <v>35</v>
      </c>
      <c r="D711">
        <v>5</v>
      </c>
      <c r="E711" t="s">
        <v>899</v>
      </c>
      <c r="F711" t="s">
        <v>913</v>
      </c>
      <c r="G711" t="s">
        <v>891</v>
      </c>
      <c r="H711" s="3" t="str">
        <f>VLOOKUP(A711,'Orders Dataset'!$A:$D,4,FALSE)</f>
        <v>West Bengal</v>
      </c>
      <c r="I711" s="5" t="str">
        <f>VLOOKUP(A711,'Orders Dataset'!$A:$E,5,FALSE)</f>
        <v>Kolkata</v>
      </c>
    </row>
    <row r="712" spans="1:9" x14ac:dyDescent="0.25">
      <c r="A712" t="s">
        <v>640</v>
      </c>
      <c r="B712">
        <v>45</v>
      </c>
      <c r="C712">
        <v>17</v>
      </c>
      <c r="D712">
        <v>1</v>
      </c>
      <c r="E712" t="s">
        <v>889</v>
      </c>
      <c r="F712" t="s">
        <v>909</v>
      </c>
      <c r="G712" t="s">
        <v>891</v>
      </c>
      <c r="H712" s="3" t="str">
        <f>VLOOKUP(A712,'Orders Dataset'!$A:$D,4,FALSE)</f>
        <v>Bihar</v>
      </c>
      <c r="I712" s="5" t="str">
        <f>VLOOKUP(A712,'Orders Dataset'!$A:$E,5,FALSE)</f>
        <v>Patna</v>
      </c>
    </row>
    <row r="713" spans="1:9" x14ac:dyDescent="0.25">
      <c r="A713" t="s">
        <v>694</v>
      </c>
      <c r="B713">
        <v>112</v>
      </c>
      <c r="C713">
        <v>15</v>
      </c>
      <c r="D713">
        <v>2</v>
      </c>
      <c r="E713" t="s">
        <v>892</v>
      </c>
      <c r="F713" t="s">
        <v>893</v>
      </c>
      <c r="G713" t="s">
        <v>891</v>
      </c>
      <c r="H713" s="3" t="str">
        <f>VLOOKUP(A713,'Orders Dataset'!$A:$D,4,FALSE)</f>
        <v>Maharashtra</v>
      </c>
      <c r="I713" s="5" t="str">
        <f>VLOOKUP(A713,'Orders Dataset'!$A:$E,5,FALSE)</f>
        <v>Mumbai</v>
      </c>
    </row>
    <row r="714" spans="1:9" x14ac:dyDescent="0.25">
      <c r="A714" t="s">
        <v>25</v>
      </c>
      <c r="B714">
        <v>110</v>
      </c>
      <c r="C714">
        <v>20</v>
      </c>
      <c r="D714">
        <v>5</v>
      </c>
      <c r="E714" t="s">
        <v>899</v>
      </c>
      <c r="F714" t="s">
        <v>907</v>
      </c>
      <c r="G714" t="s">
        <v>911</v>
      </c>
      <c r="H714" s="3" t="str">
        <f>VLOOKUP(A714,'Orders Dataset'!$A:$D,4,FALSE)</f>
        <v>Maharashtra</v>
      </c>
      <c r="I714" s="5" t="str">
        <f>VLOOKUP(A714,'Orders Dataset'!$A:$E,5,FALSE)</f>
        <v>Pune</v>
      </c>
    </row>
    <row r="715" spans="1:9" x14ac:dyDescent="0.25">
      <c r="A715" t="s">
        <v>146</v>
      </c>
      <c r="B715">
        <v>98</v>
      </c>
      <c r="C715">
        <v>-5</v>
      </c>
      <c r="D715">
        <v>2</v>
      </c>
      <c r="E715" t="s">
        <v>899</v>
      </c>
      <c r="F715" t="s">
        <v>901</v>
      </c>
      <c r="G715" t="s">
        <v>902</v>
      </c>
      <c r="H715" s="3" t="str">
        <f>VLOOKUP(A715,'Orders Dataset'!$A:$D,4,FALSE)</f>
        <v>Madhya Pradesh</v>
      </c>
      <c r="I715" s="5" t="str">
        <f>VLOOKUP(A715,'Orders Dataset'!$A:$E,5,FALSE)</f>
        <v>Indore</v>
      </c>
    </row>
    <row r="716" spans="1:9" x14ac:dyDescent="0.25">
      <c r="A716" t="s">
        <v>98</v>
      </c>
      <c r="B716">
        <v>110</v>
      </c>
      <c r="C716">
        <v>12</v>
      </c>
      <c r="D716">
        <v>7</v>
      </c>
      <c r="E716" t="s">
        <v>899</v>
      </c>
      <c r="F716" t="s">
        <v>907</v>
      </c>
      <c r="G716" t="s">
        <v>911</v>
      </c>
      <c r="H716" s="3" t="str">
        <f>VLOOKUP(A716,'Orders Dataset'!$A:$D,4,FALSE)</f>
        <v>Rajasthan</v>
      </c>
      <c r="I716" s="5" t="str">
        <f>VLOOKUP(A716,'Orders Dataset'!$A:$E,5,FALSE)</f>
        <v>Udaipur</v>
      </c>
    </row>
    <row r="717" spans="1:9" x14ac:dyDescent="0.25">
      <c r="A717" t="s">
        <v>52</v>
      </c>
      <c r="B717">
        <v>95</v>
      </c>
      <c r="C717">
        <v>11</v>
      </c>
      <c r="D717">
        <v>4</v>
      </c>
      <c r="E717" t="s">
        <v>892</v>
      </c>
      <c r="F717" t="s">
        <v>912</v>
      </c>
      <c r="G717" t="s">
        <v>891</v>
      </c>
      <c r="H717" s="3" t="str">
        <f>VLOOKUP(A717,'Orders Dataset'!$A:$D,4,FALSE)</f>
        <v>Gujarat</v>
      </c>
      <c r="I717" s="5" t="str">
        <f>VLOOKUP(A717,'Orders Dataset'!$A:$E,5,FALSE)</f>
        <v>Ahmedabad</v>
      </c>
    </row>
    <row r="718" spans="1:9" x14ac:dyDescent="0.25">
      <c r="A718" t="s">
        <v>176</v>
      </c>
      <c r="B718">
        <v>1228</v>
      </c>
      <c r="C718">
        <v>14</v>
      </c>
      <c r="D718">
        <v>3</v>
      </c>
      <c r="E718" t="s">
        <v>892</v>
      </c>
      <c r="F718" t="s">
        <v>893</v>
      </c>
      <c r="G718" t="s">
        <v>902</v>
      </c>
      <c r="H718" s="3" t="str">
        <f>VLOOKUP(A718,'Orders Dataset'!$A:$D,4,FALSE)</f>
        <v>Maharashtra</v>
      </c>
      <c r="I718" s="5" t="str">
        <f>VLOOKUP(A718,'Orders Dataset'!$A:$E,5,FALSE)</f>
        <v>Mumbai</v>
      </c>
    </row>
    <row r="719" spans="1:9" x14ac:dyDescent="0.25">
      <c r="A719" t="s">
        <v>194</v>
      </c>
      <c r="B719">
        <v>29</v>
      </c>
      <c r="C719">
        <v>0</v>
      </c>
      <c r="D719">
        <v>3</v>
      </c>
      <c r="E719" t="s">
        <v>892</v>
      </c>
      <c r="F719" t="s">
        <v>912</v>
      </c>
      <c r="G719" t="s">
        <v>891</v>
      </c>
      <c r="H719" s="3" t="str">
        <f>VLOOKUP(A719,'Orders Dataset'!$A:$D,4,FALSE)</f>
        <v>Haryana</v>
      </c>
      <c r="I719" s="5" t="str">
        <f>VLOOKUP(A719,'Orders Dataset'!$A:$E,5,FALSE)</f>
        <v>Chandigarh</v>
      </c>
    </row>
    <row r="720" spans="1:9" x14ac:dyDescent="0.25">
      <c r="A720" t="s">
        <v>5</v>
      </c>
      <c r="B720">
        <v>94</v>
      </c>
      <c r="C720">
        <v>27</v>
      </c>
      <c r="D720">
        <v>2</v>
      </c>
      <c r="E720" t="s">
        <v>899</v>
      </c>
      <c r="F720" t="s">
        <v>910</v>
      </c>
      <c r="G720" t="s">
        <v>891</v>
      </c>
      <c r="H720" s="3" t="str">
        <f>VLOOKUP(A720,'Orders Dataset'!$A:$D,4,FALSE)</f>
        <v>Uttar Pradesh</v>
      </c>
      <c r="I720" s="5" t="str">
        <f>VLOOKUP(A720,'Orders Dataset'!$A:$E,5,FALSE)</f>
        <v>Mathura</v>
      </c>
    </row>
    <row r="721" spans="1:9" x14ac:dyDescent="0.25">
      <c r="A721" t="s">
        <v>142</v>
      </c>
      <c r="B721">
        <v>115</v>
      </c>
      <c r="C721">
        <v>25</v>
      </c>
      <c r="D721">
        <v>1</v>
      </c>
      <c r="E721" t="s">
        <v>889</v>
      </c>
      <c r="F721" t="s">
        <v>909</v>
      </c>
      <c r="G721" t="s">
        <v>891</v>
      </c>
      <c r="H721" s="3" t="str">
        <f>VLOOKUP(A721,'Orders Dataset'!$A:$D,4,FALSE)</f>
        <v>Nagaland</v>
      </c>
      <c r="I721" s="5" t="str">
        <f>VLOOKUP(A721,'Orders Dataset'!$A:$E,5,FALSE)</f>
        <v>Kohima</v>
      </c>
    </row>
    <row r="722" spans="1:9" x14ac:dyDescent="0.25">
      <c r="A722" t="s">
        <v>310</v>
      </c>
      <c r="B722">
        <v>149</v>
      </c>
      <c r="C722">
        <v>15</v>
      </c>
      <c r="D722">
        <v>3</v>
      </c>
      <c r="E722" t="s">
        <v>899</v>
      </c>
      <c r="F722" t="s">
        <v>901</v>
      </c>
      <c r="G722" t="s">
        <v>894</v>
      </c>
      <c r="H722" s="3" t="str">
        <f>VLOOKUP(A722,'Orders Dataset'!$A:$D,4,FALSE)</f>
        <v>Uttar Pradesh</v>
      </c>
      <c r="I722" s="5" t="str">
        <f>VLOOKUP(A722,'Orders Dataset'!$A:$E,5,FALSE)</f>
        <v>Mathura</v>
      </c>
    </row>
    <row r="723" spans="1:9" x14ac:dyDescent="0.25">
      <c r="A723" t="s">
        <v>269</v>
      </c>
      <c r="B723">
        <v>148</v>
      </c>
      <c r="C723">
        <v>23</v>
      </c>
      <c r="D723">
        <v>4</v>
      </c>
      <c r="E723" t="s">
        <v>899</v>
      </c>
      <c r="F723" t="s">
        <v>904</v>
      </c>
      <c r="G723" t="s">
        <v>894</v>
      </c>
      <c r="H723" s="3" t="str">
        <f>VLOOKUP(A723,'Orders Dataset'!$A:$D,4,FALSE)</f>
        <v>Karnataka</v>
      </c>
      <c r="I723" s="5" t="str">
        <f>VLOOKUP(A723,'Orders Dataset'!$A:$E,5,FALSE)</f>
        <v>Bangalore</v>
      </c>
    </row>
    <row r="724" spans="1:9" x14ac:dyDescent="0.25">
      <c r="A724" t="s">
        <v>59</v>
      </c>
      <c r="B724">
        <v>93</v>
      </c>
      <c r="C724">
        <v>15</v>
      </c>
      <c r="D724">
        <v>2</v>
      </c>
      <c r="E724" t="s">
        <v>889</v>
      </c>
      <c r="F724" t="s">
        <v>909</v>
      </c>
      <c r="G724" t="s">
        <v>891</v>
      </c>
      <c r="H724" s="3" t="str">
        <f>VLOOKUP(A724,'Orders Dataset'!$A:$D,4,FALSE)</f>
        <v>Himachal Pradesh</v>
      </c>
      <c r="I724" s="5" t="str">
        <f>VLOOKUP(A724,'Orders Dataset'!$A:$E,5,FALSE)</f>
        <v>Simla</v>
      </c>
    </row>
    <row r="725" spans="1:9" x14ac:dyDescent="0.25">
      <c r="A725" t="s">
        <v>254</v>
      </c>
      <c r="B725">
        <v>113</v>
      </c>
      <c r="C725">
        <v>24</v>
      </c>
      <c r="D725">
        <v>4</v>
      </c>
      <c r="E725" t="s">
        <v>899</v>
      </c>
      <c r="F725" t="s">
        <v>903</v>
      </c>
      <c r="G725" t="s">
        <v>911</v>
      </c>
      <c r="H725" s="3" t="str">
        <f>VLOOKUP(A725,'Orders Dataset'!$A:$D,4,FALSE)</f>
        <v>Punjab</v>
      </c>
      <c r="I725" s="5" t="str">
        <f>VLOOKUP(A725,'Orders Dataset'!$A:$E,5,FALSE)</f>
        <v>Chandigarh</v>
      </c>
    </row>
    <row r="726" spans="1:9" x14ac:dyDescent="0.25">
      <c r="A726" t="s">
        <v>248</v>
      </c>
      <c r="B726">
        <v>48</v>
      </c>
      <c r="C726">
        <v>2</v>
      </c>
      <c r="D726">
        <v>3</v>
      </c>
      <c r="E726" t="s">
        <v>899</v>
      </c>
      <c r="F726" t="s">
        <v>907</v>
      </c>
      <c r="G726" t="s">
        <v>891</v>
      </c>
      <c r="H726" s="3" t="str">
        <f>VLOOKUP(A726,'Orders Dataset'!$A:$D,4,FALSE)</f>
        <v>Delhi</v>
      </c>
      <c r="I726" s="5" t="str">
        <f>VLOOKUP(A726,'Orders Dataset'!$A:$E,5,FALSE)</f>
        <v>Delhi</v>
      </c>
    </row>
    <row r="727" spans="1:9" x14ac:dyDescent="0.25">
      <c r="A727" t="s">
        <v>237</v>
      </c>
      <c r="B727">
        <v>148</v>
      </c>
      <c r="C727">
        <v>9</v>
      </c>
      <c r="D727">
        <v>1</v>
      </c>
      <c r="E727" t="s">
        <v>889</v>
      </c>
      <c r="F727" t="s">
        <v>890</v>
      </c>
      <c r="G727" t="s">
        <v>902</v>
      </c>
      <c r="H727" s="3" t="str">
        <f>VLOOKUP(A727,'Orders Dataset'!$A:$D,4,FALSE)</f>
        <v>Gujarat</v>
      </c>
      <c r="I727" s="5" t="str">
        <f>VLOOKUP(A727,'Orders Dataset'!$A:$E,5,FALSE)</f>
        <v>Ahmedabad</v>
      </c>
    </row>
    <row r="728" spans="1:9" x14ac:dyDescent="0.25">
      <c r="A728" t="s">
        <v>686</v>
      </c>
      <c r="B728">
        <v>114</v>
      </c>
      <c r="C728">
        <v>11</v>
      </c>
      <c r="D728">
        <v>4</v>
      </c>
      <c r="E728" t="s">
        <v>899</v>
      </c>
      <c r="F728" t="s">
        <v>910</v>
      </c>
      <c r="G728" t="s">
        <v>911</v>
      </c>
      <c r="H728" s="3" t="str">
        <f>VLOOKUP(A728,'Orders Dataset'!$A:$D,4,FALSE)</f>
        <v>Gujarat</v>
      </c>
      <c r="I728" s="5" t="str">
        <f>VLOOKUP(A728,'Orders Dataset'!$A:$E,5,FALSE)</f>
        <v>Surat</v>
      </c>
    </row>
    <row r="729" spans="1:9" x14ac:dyDescent="0.25">
      <c r="A729" t="s">
        <v>189</v>
      </c>
      <c r="B729">
        <v>92</v>
      </c>
      <c r="C729">
        <v>42</v>
      </c>
      <c r="D729">
        <v>2</v>
      </c>
      <c r="E729" t="s">
        <v>899</v>
      </c>
      <c r="F729" t="s">
        <v>907</v>
      </c>
      <c r="G729" t="s">
        <v>891</v>
      </c>
      <c r="H729" s="3" t="str">
        <f>VLOOKUP(A729,'Orders Dataset'!$A:$D,4,FALSE)</f>
        <v>Punjab</v>
      </c>
      <c r="I729" s="5" t="str">
        <f>VLOOKUP(A729,'Orders Dataset'!$A:$E,5,FALSE)</f>
        <v>Chandigarh</v>
      </c>
    </row>
    <row r="730" spans="1:9" x14ac:dyDescent="0.25">
      <c r="A730" t="s">
        <v>689</v>
      </c>
      <c r="B730">
        <v>117</v>
      </c>
      <c r="C730">
        <v>14</v>
      </c>
      <c r="D730">
        <v>3</v>
      </c>
      <c r="E730" t="s">
        <v>899</v>
      </c>
      <c r="F730" t="s">
        <v>913</v>
      </c>
      <c r="G730" t="s">
        <v>902</v>
      </c>
      <c r="H730" s="3" t="str">
        <f>VLOOKUP(A730,'Orders Dataset'!$A:$D,4,FALSE)</f>
        <v>Madhya Pradesh</v>
      </c>
      <c r="I730" s="5" t="str">
        <f>VLOOKUP(A730,'Orders Dataset'!$A:$E,5,FALSE)</f>
        <v>Indore</v>
      </c>
    </row>
    <row r="731" spans="1:9" x14ac:dyDescent="0.25">
      <c r="A731" t="s">
        <v>768</v>
      </c>
      <c r="B731">
        <v>21</v>
      </c>
      <c r="C731">
        <v>-10</v>
      </c>
      <c r="D731">
        <v>4</v>
      </c>
      <c r="E731" t="s">
        <v>899</v>
      </c>
      <c r="F731" t="s">
        <v>908</v>
      </c>
      <c r="G731" t="s">
        <v>891</v>
      </c>
      <c r="H731" s="3" t="str">
        <f>VLOOKUP(A731,'Orders Dataset'!$A:$D,4,FALSE)</f>
        <v>Madhya Pradesh</v>
      </c>
      <c r="I731" s="5" t="str">
        <f>VLOOKUP(A731,'Orders Dataset'!$A:$E,5,FALSE)</f>
        <v>Bhopal</v>
      </c>
    </row>
    <row r="732" spans="1:9" x14ac:dyDescent="0.25">
      <c r="A732" t="s">
        <v>828</v>
      </c>
      <c r="B732">
        <v>33</v>
      </c>
      <c r="C732">
        <v>-10</v>
      </c>
      <c r="D732">
        <v>6</v>
      </c>
      <c r="E732" t="s">
        <v>899</v>
      </c>
      <c r="F732" t="s">
        <v>908</v>
      </c>
      <c r="G732" t="s">
        <v>902</v>
      </c>
      <c r="H732" s="3" t="str">
        <f>VLOOKUP(A732,'Orders Dataset'!$A:$D,4,FALSE)</f>
        <v>Madhya Pradesh</v>
      </c>
      <c r="I732" s="5" t="str">
        <f>VLOOKUP(A732,'Orders Dataset'!$A:$E,5,FALSE)</f>
        <v>Indore</v>
      </c>
    </row>
    <row r="733" spans="1:9" x14ac:dyDescent="0.25">
      <c r="A733" t="s">
        <v>154</v>
      </c>
      <c r="B733">
        <v>114</v>
      </c>
      <c r="C733">
        <v>8</v>
      </c>
      <c r="D733">
        <v>3</v>
      </c>
      <c r="E733" t="s">
        <v>889</v>
      </c>
      <c r="F733" t="s">
        <v>909</v>
      </c>
      <c r="G733" t="s">
        <v>911</v>
      </c>
      <c r="H733" s="3" t="str">
        <f>VLOOKUP(A733,'Orders Dataset'!$A:$D,4,FALSE)</f>
        <v>Jammu and Kashmir</v>
      </c>
      <c r="I733" s="5" t="str">
        <f>VLOOKUP(A733,'Orders Dataset'!$A:$E,5,FALSE)</f>
        <v>Kashmir</v>
      </c>
    </row>
    <row r="734" spans="1:9" x14ac:dyDescent="0.25">
      <c r="A734" t="s">
        <v>164</v>
      </c>
      <c r="B734">
        <v>115</v>
      </c>
      <c r="C734">
        <v>0</v>
      </c>
      <c r="D734">
        <v>1</v>
      </c>
      <c r="E734" t="s">
        <v>889</v>
      </c>
      <c r="F734" t="s">
        <v>909</v>
      </c>
      <c r="G734" t="s">
        <v>911</v>
      </c>
      <c r="H734" s="3" t="str">
        <f>VLOOKUP(A734,'Orders Dataset'!$A:$D,4,FALSE)</f>
        <v>Andhra Pradesh</v>
      </c>
      <c r="I734" s="5" t="str">
        <f>VLOOKUP(A734,'Orders Dataset'!$A:$E,5,FALSE)</f>
        <v>Hyderabad</v>
      </c>
    </row>
    <row r="735" spans="1:9" x14ac:dyDescent="0.25">
      <c r="A735" t="s">
        <v>472</v>
      </c>
      <c r="B735">
        <v>90</v>
      </c>
      <c r="C735">
        <v>29</v>
      </c>
      <c r="D735">
        <v>5</v>
      </c>
      <c r="E735" t="s">
        <v>899</v>
      </c>
      <c r="F735" t="s">
        <v>910</v>
      </c>
      <c r="G735" t="s">
        <v>891</v>
      </c>
      <c r="H735" s="3" t="str">
        <f>VLOOKUP(A735,'Orders Dataset'!$A:$D,4,FALSE)</f>
        <v>Nagaland</v>
      </c>
      <c r="I735" s="5" t="str">
        <f>VLOOKUP(A735,'Orders Dataset'!$A:$E,5,FALSE)</f>
        <v>Kohima</v>
      </c>
    </row>
    <row r="736" spans="1:9" x14ac:dyDescent="0.25">
      <c r="A736" t="s">
        <v>775</v>
      </c>
      <c r="B736">
        <v>61</v>
      </c>
      <c r="C736">
        <v>1</v>
      </c>
      <c r="D736">
        <v>2</v>
      </c>
      <c r="E736" t="s">
        <v>892</v>
      </c>
      <c r="F736" t="s">
        <v>912</v>
      </c>
      <c r="G736" t="s">
        <v>891</v>
      </c>
      <c r="H736" s="3" t="str">
        <f>VLOOKUP(A736,'Orders Dataset'!$A:$D,4,FALSE)</f>
        <v>Himachal Pradesh</v>
      </c>
      <c r="I736" s="5" t="str">
        <f>VLOOKUP(A736,'Orders Dataset'!$A:$E,5,FALSE)</f>
        <v>Simla</v>
      </c>
    </row>
    <row r="737" spans="1:9" x14ac:dyDescent="0.25">
      <c r="A737" t="s">
        <v>684</v>
      </c>
      <c r="B737">
        <v>119</v>
      </c>
      <c r="C737">
        <v>1</v>
      </c>
      <c r="D737">
        <v>1</v>
      </c>
      <c r="E737" t="s">
        <v>892</v>
      </c>
      <c r="F737" t="s">
        <v>893</v>
      </c>
      <c r="G737" t="s">
        <v>891</v>
      </c>
      <c r="H737" s="3" t="str">
        <f>VLOOKUP(A737,'Orders Dataset'!$A:$D,4,FALSE)</f>
        <v>Rajasthan</v>
      </c>
      <c r="I737" s="5" t="str">
        <f>VLOOKUP(A737,'Orders Dataset'!$A:$E,5,FALSE)</f>
        <v>Jaipur</v>
      </c>
    </row>
    <row r="738" spans="1:9" x14ac:dyDescent="0.25">
      <c r="A738" t="s">
        <v>230</v>
      </c>
      <c r="B738">
        <v>117</v>
      </c>
      <c r="C738">
        <v>36</v>
      </c>
      <c r="D738">
        <v>2</v>
      </c>
      <c r="E738" t="s">
        <v>899</v>
      </c>
      <c r="F738" t="s">
        <v>900</v>
      </c>
      <c r="G738" t="s">
        <v>911</v>
      </c>
      <c r="H738" s="3" t="str">
        <f>VLOOKUP(A738,'Orders Dataset'!$A:$D,4,FALSE)</f>
        <v>Goa</v>
      </c>
      <c r="I738" s="5" t="str">
        <f>VLOOKUP(A738,'Orders Dataset'!$A:$E,5,FALSE)</f>
        <v>Goa</v>
      </c>
    </row>
    <row r="739" spans="1:9" x14ac:dyDescent="0.25">
      <c r="A739" t="s">
        <v>633</v>
      </c>
      <c r="B739">
        <v>148</v>
      </c>
      <c r="C739">
        <v>54</v>
      </c>
      <c r="D739">
        <v>2</v>
      </c>
      <c r="E739" t="s">
        <v>892</v>
      </c>
      <c r="F739" t="s">
        <v>893</v>
      </c>
      <c r="G739" t="s">
        <v>902</v>
      </c>
      <c r="H739" s="3" t="str">
        <f>VLOOKUP(A739,'Orders Dataset'!$A:$D,4,FALSE)</f>
        <v>Karnataka</v>
      </c>
      <c r="I739" s="5" t="str">
        <f>VLOOKUP(A739,'Orders Dataset'!$A:$E,5,FALSE)</f>
        <v>Bangalore</v>
      </c>
    </row>
    <row r="740" spans="1:9" x14ac:dyDescent="0.25">
      <c r="A740" t="s">
        <v>399</v>
      </c>
      <c r="B740">
        <v>249</v>
      </c>
      <c r="C740">
        <v>-5</v>
      </c>
      <c r="D740">
        <v>4</v>
      </c>
      <c r="E740" t="s">
        <v>899</v>
      </c>
      <c r="F740" t="s">
        <v>901</v>
      </c>
      <c r="G740" t="s">
        <v>891</v>
      </c>
      <c r="H740" s="3" t="str">
        <f>VLOOKUP(A740,'Orders Dataset'!$A:$D,4,FALSE)</f>
        <v>Uttar Pradesh</v>
      </c>
      <c r="I740" s="5" t="str">
        <f>VLOOKUP(A740,'Orders Dataset'!$A:$E,5,FALSE)</f>
        <v>Lucknow</v>
      </c>
    </row>
    <row r="741" spans="1:9" x14ac:dyDescent="0.25">
      <c r="A741" t="s">
        <v>232</v>
      </c>
      <c r="B741">
        <v>147</v>
      </c>
      <c r="C741">
        <v>73</v>
      </c>
      <c r="D741">
        <v>3</v>
      </c>
      <c r="E741" t="s">
        <v>899</v>
      </c>
      <c r="F741" t="s">
        <v>907</v>
      </c>
      <c r="G741" t="s">
        <v>902</v>
      </c>
      <c r="H741" s="3" t="str">
        <f>VLOOKUP(A741,'Orders Dataset'!$A:$D,4,FALSE)</f>
        <v>Rajasthan</v>
      </c>
      <c r="I741" s="5" t="str">
        <f>VLOOKUP(A741,'Orders Dataset'!$A:$E,5,FALSE)</f>
        <v>Udaipur</v>
      </c>
    </row>
    <row r="742" spans="1:9" x14ac:dyDescent="0.25">
      <c r="A742" t="s">
        <v>409</v>
      </c>
      <c r="B742">
        <v>118</v>
      </c>
      <c r="C742">
        <v>35</v>
      </c>
      <c r="D742">
        <v>7</v>
      </c>
      <c r="E742" t="s">
        <v>899</v>
      </c>
      <c r="F742" t="s">
        <v>910</v>
      </c>
      <c r="G742" t="s">
        <v>894</v>
      </c>
      <c r="H742" s="3" t="str">
        <f>VLOOKUP(A742,'Orders Dataset'!$A:$D,4,FALSE)</f>
        <v>Madhya Pradesh</v>
      </c>
      <c r="I742" s="5" t="str">
        <f>VLOOKUP(A742,'Orders Dataset'!$A:$E,5,FALSE)</f>
        <v>Indore</v>
      </c>
    </row>
    <row r="743" spans="1:9" x14ac:dyDescent="0.25">
      <c r="A743" t="s">
        <v>495</v>
      </c>
      <c r="B743">
        <v>119</v>
      </c>
      <c r="C743">
        <v>56</v>
      </c>
      <c r="D743">
        <v>7</v>
      </c>
      <c r="E743" t="s">
        <v>899</v>
      </c>
      <c r="F743" t="s">
        <v>901</v>
      </c>
      <c r="G743" t="s">
        <v>894</v>
      </c>
      <c r="H743" s="3" t="str">
        <f>VLOOKUP(A743,'Orders Dataset'!$A:$D,4,FALSE)</f>
        <v>Himachal Pradesh</v>
      </c>
      <c r="I743" s="5" t="str">
        <f>VLOOKUP(A743,'Orders Dataset'!$A:$E,5,FALSE)</f>
        <v>Simla</v>
      </c>
    </row>
    <row r="744" spans="1:9" x14ac:dyDescent="0.25">
      <c r="A744" t="s">
        <v>606</v>
      </c>
      <c r="B744">
        <v>90</v>
      </c>
      <c r="C744">
        <v>27</v>
      </c>
      <c r="D744">
        <v>2</v>
      </c>
      <c r="E744" t="s">
        <v>899</v>
      </c>
      <c r="F744" t="s">
        <v>910</v>
      </c>
      <c r="G744" t="s">
        <v>891</v>
      </c>
      <c r="H744" s="3" t="str">
        <f>VLOOKUP(A744,'Orders Dataset'!$A:$D,4,FALSE)</f>
        <v>Gujarat</v>
      </c>
      <c r="I744" s="5" t="str">
        <f>VLOOKUP(A744,'Orders Dataset'!$A:$E,5,FALSE)</f>
        <v>Surat</v>
      </c>
    </row>
    <row r="745" spans="1:9" x14ac:dyDescent="0.25">
      <c r="A745" t="s">
        <v>616</v>
      </c>
      <c r="B745">
        <v>32</v>
      </c>
      <c r="C745">
        <v>1</v>
      </c>
      <c r="D745">
        <v>2</v>
      </c>
      <c r="E745" t="s">
        <v>899</v>
      </c>
      <c r="F745" t="s">
        <v>907</v>
      </c>
      <c r="G745" t="s">
        <v>891</v>
      </c>
      <c r="H745" s="3" t="str">
        <f>VLOOKUP(A745,'Orders Dataset'!$A:$D,4,FALSE)</f>
        <v>Sikkim</v>
      </c>
      <c r="I745" s="5" t="str">
        <f>VLOOKUP(A745,'Orders Dataset'!$A:$E,5,FALSE)</f>
        <v>Gangtok</v>
      </c>
    </row>
    <row r="746" spans="1:9" x14ac:dyDescent="0.25">
      <c r="A746" t="s">
        <v>731</v>
      </c>
      <c r="B746">
        <v>89</v>
      </c>
      <c r="C746">
        <v>-89</v>
      </c>
      <c r="D746">
        <v>2</v>
      </c>
      <c r="E746" t="s">
        <v>892</v>
      </c>
      <c r="F746" t="s">
        <v>912</v>
      </c>
      <c r="G746" t="s">
        <v>891</v>
      </c>
      <c r="H746" s="3" t="str">
        <f>VLOOKUP(A746,'Orders Dataset'!$A:$D,4,FALSE)</f>
        <v>Haryana</v>
      </c>
      <c r="I746" s="5" t="str">
        <f>VLOOKUP(A746,'Orders Dataset'!$A:$E,5,FALSE)</f>
        <v>Chandigarh</v>
      </c>
    </row>
    <row r="747" spans="1:9" x14ac:dyDescent="0.25">
      <c r="A747" t="s">
        <v>237</v>
      </c>
      <c r="B747">
        <v>146</v>
      </c>
      <c r="C747">
        <v>66</v>
      </c>
      <c r="D747">
        <v>1</v>
      </c>
      <c r="E747" t="s">
        <v>889</v>
      </c>
      <c r="F747" t="s">
        <v>898</v>
      </c>
      <c r="G747" t="s">
        <v>902</v>
      </c>
      <c r="H747" s="3" t="str">
        <f>VLOOKUP(A747,'Orders Dataset'!$A:$D,4,FALSE)</f>
        <v>Gujarat</v>
      </c>
      <c r="I747" s="5" t="str">
        <f>VLOOKUP(A747,'Orders Dataset'!$A:$E,5,FALSE)</f>
        <v>Ahmedabad</v>
      </c>
    </row>
    <row r="748" spans="1:9" x14ac:dyDescent="0.25">
      <c r="A748" t="s">
        <v>402</v>
      </c>
      <c r="B748">
        <v>89</v>
      </c>
      <c r="C748">
        <v>-37</v>
      </c>
      <c r="D748">
        <v>4</v>
      </c>
      <c r="E748" t="s">
        <v>899</v>
      </c>
      <c r="F748" t="s">
        <v>913</v>
      </c>
      <c r="G748" t="s">
        <v>891</v>
      </c>
      <c r="H748" s="3" t="str">
        <f>VLOOKUP(A748,'Orders Dataset'!$A:$D,4,FALSE)</f>
        <v>Maharashtra</v>
      </c>
      <c r="I748" s="5" t="str">
        <f>VLOOKUP(A748,'Orders Dataset'!$A:$E,5,FALSE)</f>
        <v>Mumbai</v>
      </c>
    </row>
    <row r="749" spans="1:9" x14ac:dyDescent="0.25">
      <c r="A749" t="s">
        <v>415</v>
      </c>
      <c r="B749">
        <v>88</v>
      </c>
      <c r="C749">
        <v>11</v>
      </c>
      <c r="D749">
        <v>3</v>
      </c>
      <c r="E749" t="s">
        <v>889</v>
      </c>
      <c r="F749" t="s">
        <v>909</v>
      </c>
      <c r="G749" t="s">
        <v>891</v>
      </c>
      <c r="H749" s="3" t="str">
        <f>VLOOKUP(A749,'Orders Dataset'!$A:$D,4,FALSE)</f>
        <v>West Bengal</v>
      </c>
      <c r="I749" s="5" t="str">
        <f>VLOOKUP(A749,'Orders Dataset'!$A:$E,5,FALSE)</f>
        <v>Kolkata</v>
      </c>
    </row>
    <row r="750" spans="1:9" x14ac:dyDescent="0.25">
      <c r="A750" t="s">
        <v>55</v>
      </c>
      <c r="B750">
        <v>121</v>
      </c>
      <c r="C750">
        <v>41</v>
      </c>
      <c r="D750">
        <v>4</v>
      </c>
      <c r="E750" t="s">
        <v>899</v>
      </c>
      <c r="F750" t="s">
        <v>907</v>
      </c>
      <c r="G750" t="s">
        <v>894</v>
      </c>
      <c r="H750" s="3" t="str">
        <f>VLOOKUP(A750,'Orders Dataset'!$A:$D,4,FALSE)</f>
        <v>Bihar</v>
      </c>
      <c r="I750" s="5" t="str">
        <f>VLOOKUP(A750,'Orders Dataset'!$A:$E,5,FALSE)</f>
        <v>Patna</v>
      </c>
    </row>
    <row r="751" spans="1:9" x14ac:dyDescent="0.25">
      <c r="A751" t="s">
        <v>360</v>
      </c>
      <c r="B751">
        <v>88</v>
      </c>
      <c r="C751">
        <v>20</v>
      </c>
      <c r="D751">
        <v>2</v>
      </c>
      <c r="E751" t="s">
        <v>899</v>
      </c>
      <c r="F751" t="s">
        <v>901</v>
      </c>
      <c r="G751" t="s">
        <v>891</v>
      </c>
      <c r="H751" s="3" t="str">
        <f>VLOOKUP(A751,'Orders Dataset'!$A:$D,4,FALSE)</f>
        <v>Maharashtra</v>
      </c>
      <c r="I751" s="5" t="str">
        <f>VLOOKUP(A751,'Orders Dataset'!$A:$E,5,FALSE)</f>
        <v>Mumbai</v>
      </c>
    </row>
    <row r="752" spans="1:9" x14ac:dyDescent="0.25">
      <c r="A752" t="s">
        <v>381</v>
      </c>
      <c r="B752">
        <v>87</v>
      </c>
      <c r="C752">
        <v>-83</v>
      </c>
      <c r="D752">
        <v>5</v>
      </c>
      <c r="E752" t="s">
        <v>899</v>
      </c>
      <c r="F752" t="s">
        <v>904</v>
      </c>
      <c r="G752" t="s">
        <v>891</v>
      </c>
      <c r="H752" s="3" t="str">
        <f>VLOOKUP(A752,'Orders Dataset'!$A:$D,4,FALSE)</f>
        <v>Tamil Nadu</v>
      </c>
      <c r="I752" s="5" t="str">
        <f>VLOOKUP(A752,'Orders Dataset'!$A:$E,5,FALSE)</f>
        <v>Chennai</v>
      </c>
    </row>
    <row r="753" spans="1:9" x14ac:dyDescent="0.25">
      <c r="A753" t="s">
        <v>732</v>
      </c>
      <c r="B753">
        <v>87</v>
      </c>
      <c r="C753">
        <v>4</v>
      </c>
      <c r="D753">
        <v>2</v>
      </c>
      <c r="E753" t="s">
        <v>899</v>
      </c>
      <c r="F753" t="s">
        <v>913</v>
      </c>
      <c r="G753" t="s">
        <v>891</v>
      </c>
      <c r="H753" s="3" t="str">
        <f>VLOOKUP(A753,'Orders Dataset'!$A:$D,4,FALSE)</f>
        <v>Karnataka</v>
      </c>
      <c r="I753" s="5" t="str">
        <f>VLOOKUP(A753,'Orders Dataset'!$A:$E,5,FALSE)</f>
        <v>Bangalore</v>
      </c>
    </row>
    <row r="754" spans="1:9" x14ac:dyDescent="0.25">
      <c r="A754" t="s">
        <v>675</v>
      </c>
      <c r="B754">
        <v>122</v>
      </c>
      <c r="C754">
        <v>15</v>
      </c>
      <c r="D754">
        <v>3</v>
      </c>
      <c r="E754" t="s">
        <v>889</v>
      </c>
      <c r="F754" t="s">
        <v>909</v>
      </c>
      <c r="G754" t="s">
        <v>894</v>
      </c>
      <c r="H754" s="3" t="str">
        <f>VLOOKUP(A754,'Orders Dataset'!$A:$D,4,FALSE)</f>
        <v>Bihar</v>
      </c>
      <c r="I754" s="5" t="str">
        <f>VLOOKUP(A754,'Orders Dataset'!$A:$E,5,FALSE)</f>
        <v>Patna</v>
      </c>
    </row>
    <row r="755" spans="1:9" x14ac:dyDescent="0.25">
      <c r="A755" t="s">
        <v>734</v>
      </c>
      <c r="B755">
        <v>87</v>
      </c>
      <c r="C755">
        <v>10</v>
      </c>
      <c r="D755">
        <v>3</v>
      </c>
      <c r="E755" t="s">
        <v>899</v>
      </c>
      <c r="F755" t="s">
        <v>907</v>
      </c>
      <c r="G755" t="s">
        <v>891</v>
      </c>
      <c r="H755" s="3" t="str">
        <f>VLOOKUP(A755,'Orders Dataset'!$A:$D,4,FALSE)</f>
        <v>West Bengal</v>
      </c>
      <c r="I755" s="5" t="str">
        <f>VLOOKUP(A755,'Orders Dataset'!$A:$E,5,FALSE)</f>
        <v>Kolkata</v>
      </c>
    </row>
    <row r="756" spans="1:9" x14ac:dyDescent="0.25">
      <c r="A756" t="s">
        <v>792</v>
      </c>
      <c r="B756">
        <v>53</v>
      </c>
      <c r="C756">
        <v>8</v>
      </c>
      <c r="D756">
        <v>3</v>
      </c>
      <c r="E756" t="s">
        <v>892</v>
      </c>
      <c r="F756" t="s">
        <v>912</v>
      </c>
      <c r="G756" t="s">
        <v>902</v>
      </c>
      <c r="H756" s="3" t="str">
        <f>VLOOKUP(A756,'Orders Dataset'!$A:$D,4,FALSE)</f>
        <v>Maharashtra</v>
      </c>
      <c r="I756" s="5" t="str">
        <f>VLOOKUP(A756,'Orders Dataset'!$A:$E,5,FALSE)</f>
        <v>Mumbai</v>
      </c>
    </row>
    <row r="757" spans="1:9" x14ac:dyDescent="0.25">
      <c r="A757" t="s">
        <v>221</v>
      </c>
      <c r="B757">
        <v>87</v>
      </c>
      <c r="C757">
        <v>-32</v>
      </c>
      <c r="D757">
        <v>9</v>
      </c>
      <c r="E757" t="s">
        <v>899</v>
      </c>
      <c r="F757" t="s">
        <v>905</v>
      </c>
      <c r="G757" t="s">
        <v>891</v>
      </c>
      <c r="H757" s="3" t="str">
        <f>VLOOKUP(A757,'Orders Dataset'!$A:$D,4,FALSE)</f>
        <v>Madhya Pradesh</v>
      </c>
      <c r="I757" s="5" t="str">
        <f>VLOOKUP(A757,'Orders Dataset'!$A:$E,5,FALSE)</f>
        <v>Indore</v>
      </c>
    </row>
    <row r="758" spans="1:9" x14ac:dyDescent="0.25">
      <c r="A758" t="s">
        <v>423</v>
      </c>
      <c r="B758">
        <v>86</v>
      </c>
      <c r="C758">
        <v>-55</v>
      </c>
      <c r="D758">
        <v>6</v>
      </c>
      <c r="E758" t="s">
        <v>899</v>
      </c>
      <c r="F758" t="s">
        <v>901</v>
      </c>
      <c r="G758" t="s">
        <v>891</v>
      </c>
      <c r="H758" s="3" t="str">
        <f>VLOOKUP(A758,'Orders Dataset'!$A:$D,4,FALSE)</f>
        <v>Kerala</v>
      </c>
      <c r="I758" s="5" t="str">
        <f>VLOOKUP(A758,'Orders Dataset'!$A:$E,5,FALSE)</f>
        <v>Thiruvananthapuram</v>
      </c>
    </row>
    <row r="759" spans="1:9" x14ac:dyDescent="0.25">
      <c r="A759" t="s">
        <v>411</v>
      </c>
      <c r="B759">
        <v>125</v>
      </c>
      <c r="C759">
        <v>22</v>
      </c>
      <c r="D759">
        <v>3</v>
      </c>
      <c r="E759" t="s">
        <v>899</v>
      </c>
      <c r="F759" t="s">
        <v>907</v>
      </c>
      <c r="G759" t="s">
        <v>894</v>
      </c>
      <c r="H759" s="3" t="str">
        <f>VLOOKUP(A759,'Orders Dataset'!$A:$D,4,FALSE)</f>
        <v>Delhi</v>
      </c>
      <c r="I759" s="5" t="str">
        <f>VLOOKUP(A759,'Orders Dataset'!$A:$E,5,FALSE)</f>
        <v>Delhi</v>
      </c>
    </row>
    <row r="760" spans="1:9" x14ac:dyDescent="0.25">
      <c r="A760" t="s">
        <v>371</v>
      </c>
      <c r="B760">
        <v>128</v>
      </c>
      <c r="C760">
        <v>-3</v>
      </c>
      <c r="D760">
        <v>3</v>
      </c>
      <c r="E760" t="s">
        <v>899</v>
      </c>
      <c r="F760" t="s">
        <v>901</v>
      </c>
      <c r="G760" t="s">
        <v>911</v>
      </c>
      <c r="H760" s="3" t="str">
        <f>VLOOKUP(A760,'Orders Dataset'!$A:$D,4,FALSE)</f>
        <v>Punjab</v>
      </c>
      <c r="I760" s="5" t="str">
        <f>VLOOKUP(A760,'Orders Dataset'!$A:$E,5,FALSE)</f>
        <v>Chandigarh</v>
      </c>
    </row>
    <row r="761" spans="1:9" x14ac:dyDescent="0.25">
      <c r="A761" t="s">
        <v>387</v>
      </c>
      <c r="B761">
        <v>143</v>
      </c>
      <c r="C761">
        <v>-124</v>
      </c>
      <c r="D761">
        <v>5</v>
      </c>
      <c r="E761" t="s">
        <v>899</v>
      </c>
      <c r="F761" t="s">
        <v>901</v>
      </c>
      <c r="G761" t="s">
        <v>902</v>
      </c>
      <c r="H761" s="3" t="str">
        <f>VLOOKUP(A761,'Orders Dataset'!$A:$D,4,FALSE)</f>
        <v>Nagaland</v>
      </c>
      <c r="I761" s="5" t="str">
        <f>VLOOKUP(A761,'Orders Dataset'!$A:$E,5,FALSE)</f>
        <v>Kohima</v>
      </c>
    </row>
    <row r="762" spans="1:9" x14ac:dyDescent="0.25">
      <c r="A762" t="s">
        <v>121</v>
      </c>
      <c r="B762">
        <v>86</v>
      </c>
      <c r="C762">
        <v>22</v>
      </c>
      <c r="D762">
        <v>2</v>
      </c>
      <c r="E762" t="s">
        <v>899</v>
      </c>
      <c r="F762" t="s">
        <v>901</v>
      </c>
      <c r="G762" t="s">
        <v>891</v>
      </c>
      <c r="H762" s="3" t="str">
        <f>VLOOKUP(A762,'Orders Dataset'!$A:$D,4,FALSE)</f>
        <v>Punjab</v>
      </c>
      <c r="I762" s="5" t="str">
        <f>VLOOKUP(A762,'Orders Dataset'!$A:$E,5,FALSE)</f>
        <v>Chandigarh</v>
      </c>
    </row>
    <row r="763" spans="1:9" x14ac:dyDescent="0.25">
      <c r="A763" t="s">
        <v>738</v>
      </c>
      <c r="B763">
        <v>86</v>
      </c>
      <c r="C763">
        <v>9</v>
      </c>
      <c r="D763">
        <v>3</v>
      </c>
      <c r="E763" t="s">
        <v>899</v>
      </c>
      <c r="F763" t="s">
        <v>901</v>
      </c>
      <c r="G763" t="s">
        <v>891</v>
      </c>
      <c r="H763" s="3" t="str">
        <f>VLOOKUP(A763,'Orders Dataset'!$A:$D,4,FALSE)</f>
        <v>Nagaland</v>
      </c>
      <c r="I763" s="5" t="str">
        <f>VLOOKUP(A763,'Orders Dataset'!$A:$E,5,FALSE)</f>
        <v>Kohima</v>
      </c>
    </row>
    <row r="764" spans="1:9" x14ac:dyDescent="0.25">
      <c r="A764" t="s">
        <v>530</v>
      </c>
      <c r="B764">
        <v>85</v>
      </c>
      <c r="C764">
        <v>-9</v>
      </c>
      <c r="D764">
        <v>4</v>
      </c>
      <c r="E764" t="s">
        <v>899</v>
      </c>
      <c r="F764" t="s">
        <v>901</v>
      </c>
      <c r="G764" t="s">
        <v>891</v>
      </c>
      <c r="H764" s="3" t="str">
        <f>VLOOKUP(A764,'Orders Dataset'!$A:$D,4,FALSE)</f>
        <v>Kerala</v>
      </c>
      <c r="I764" s="5" t="str">
        <f>VLOOKUP(A764,'Orders Dataset'!$A:$E,5,FALSE)</f>
        <v>Thiruvananthapuram</v>
      </c>
    </row>
    <row r="765" spans="1:9" x14ac:dyDescent="0.25">
      <c r="A765" t="s">
        <v>663</v>
      </c>
      <c r="B765">
        <v>129</v>
      </c>
      <c r="C765">
        <v>-75</v>
      </c>
      <c r="D765">
        <v>5</v>
      </c>
      <c r="E765" t="s">
        <v>899</v>
      </c>
      <c r="F765" t="s">
        <v>913</v>
      </c>
      <c r="G765" t="s">
        <v>911</v>
      </c>
      <c r="H765" s="3" t="str">
        <f>VLOOKUP(A765,'Orders Dataset'!$A:$D,4,FALSE)</f>
        <v>Maharashtra</v>
      </c>
      <c r="I765" s="5" t="str">
        <f>VLOOKUP(A765,'Orders Dataset'!$A:$E,5,FALSE)</f>
        <v>Mumbai</v>
      </c>
    </row>
    <row r="766" spans="1:9" x14ac:dyDescent="0.25">
      <c r="A766" t="s">
        <v>593</v>
      </c>
      <c r="B766">
        <v>84</v>
      </c>
      <c r="C766">
        <v>-42</v>
      </c>
      <c r="D766">
        <v>2</v>
      </c>
      <c r="E766" t="s">
        <v>889</v>
      </c>
      <c r="F766" t="s">
        <v>909</v>
      </c>
      <c r="G766" t="s">
        <v>891</v>
      </c>
      <c r="H766" s="3" t="str">
        <f>VLOOKUP(A766,'Orders Dataset'!$A:$D,4,FALSE)</f>
        <v>Punjab</v>
      </c>
      <c r="I766" s="5" t="str">
        <f>VLOOKUP(A766,'Orders Dataset'!$A:$E,5,FALSE)</f>
        <v>Amritsar</v>
      </c>
    </row>
    <row r="767" spans="1:9" x14ac:dyDescent="0.25">
      <c r="A767" t="s">
        <v>183</v>
      </c>
      <c r="B767">
        <v>83</v>
      </c>
      <c r="C767">
        <v>-81</v>
      </c>
      <c r="D767">
        <v>3</v>
      </c>
      <c r="E767" t="s">
        <v>892</v>
      </c>
      <c r="F767" t="s">
        <v>893</v>
      </c>
      <c r="G767" t="s">
        <v>891</v>
      </c>
      <c r="H767" s="3" t="str">
        <f>VLOOKUP(A767,'Orders Dataset'!$A:$D,4,FALSE)</f>
        <v>Rajasthan</v>
      </c>
      <c r="I767" s="5" t="str">
        <f>VLOOKUP(A767,'Orders Dataset'!$A:$E,5,FALSE)</f>
        <v>Jaipur</v>
      </c>
    </row>
    <row r="768" spans="1:9" x14ac:dyDescent="0.25">
      <c r="A768" t="s">
        <v>640</v>
      </c>
      <c r="B768">
        <v>143</v>
      </c>
      <c r="C768">
        <v>6</v>
      </c>
      <c r="D768">
        <v>2</v>
      </c>
      <c r="E768" t="s">
        <v>889</v>
      </c>
      <c r="F768" t="s">
        <v>909</v>
      </c>
      <c r="G768" t="s">
        <v>902</v>
      </c>
      <c r="H768" s="3" t="str">
        <f>VLOOKUP(A768,'Orders Dataset'!$A:$D,4,FALSE)</f>
        <v>Bihar</v>
      </c>
      <c r="I768" s="5" t="str">
        <f>VLOOKUP(A768,'Orders Dataset'!$A:$E,5,FALSE)</f>
        <v>Patna</v>
      </c>
    </row>
    <row r="769" spans="1:9" x14ac:dyDescent="0.25">
      <c r="A769" t="s">
        <v>470</v>
      </c>
      <c r="B769">
        <v>336</v>
      </c>
      <c r="C769">
        <v>123</v>
      </c>
      <c r="D769">
        <v>3</v>
      </c>
      <c r="E769" t="s">
        <v>889</v>
      </c>
      <c r="F769" t="s">
        <v>898</v>
      </c>
      <c r="G769" t="s">
        <v>902</v>
      </c>
      <c r="H769" s="3" t="str">
        <f>VLOOKUP(A769,'Orders Dataset'!$A:$D,4,FALSE)</f>
        <v>Sikkim</v>
      </c>
      <c r="I769" s="5" t="str">
        <f>VLOOKUP(A769,'Orders Dataset'!$A:$E,5,FALSE)</f>
        <v>Gangtok</v>
      </c>
    </row>
    <row r="770" spans="1:9" x14ac:dyDescent="0.25">
      <c r="A770" t="s">
        <v>89</v>
      </c>
      <c r="B770">
        <v>323</v>
      </c>
      <c r="C770">
        <v>122</v>
      </c>
      <c r="D770">
        <v>5</v>
      </c>
      <c r="E770" t="s">
        <v>889</v>
      </c>
      <c r="F770" t="s">
        <v>898</v>
      </c>
      <c r="G770" t="s">
        <v>902</v>
      </c>
      <c r="H770" s="3" t="str">
        <f>VLOOKUP(A770,'Orders Dataset'!$A:$D,4,FALSE)</f>
        <v>Maharashtra</v>
      </c>
      <c r="I770" s="5" t="str">
        <f>VLOOKUP(A770,'Orders Dataset'!$A:$E,5,FALSE)</f>
        <v>Pune</v>
      </c>
    </row>
    <row r="771" spans="1:9" x14ac:dyDescent="0.25">
      <c r="A771" t="s">
        <v>662</v>
      </c>
      <c r="B771">
        <v>130</v>
      </c>
      <c r="C771">
        <v>61</v>
      </c>
      <c r="D771">
        <v>3</v>
      </c>
      <c r="E771" t="s">
        <v>899</v>
      </c>
      <c r="F771" t="s">
        <v>913</v>
      </c>
      <c r="G771" t="s">
        <v>911</v>
      </c>
      <c r="H771" s="3" t="str">
        <f>VLOOKUP(A771,'Orders Dataset'!$A:$D,4,FALSE)</f>
        <v>Bihar</v>
      </c>
      <c r="I771" s="5" t="str">
        <f>VLOOKUP(A771,'Orders Dataset'!$A:$E,5,FALSE)</f>
        <v>Patna</v>
      </c>
    </row>
    <row r="772" spans="1:9" x14ac:dyDescent="0.25">
      <c r="A772" t="s">
        <v>271</v>
      </c>
      <c r="B772">
        <v>152</v>
      </c>
      <c r="C772">
        <v>-3</v>
      </c>
      <c r="D772">
        <v>5</v>
      </c>
      <c r="E772" t="s">
        <v>899</v>
      </c>
      <c r="F772" t="s">
        <v>901</v>
      </c>
      <c r="G772" t="s">
        <v>891</v>
      </c>
      <c r="H772" s="3" t="str">
        <f>VLOOKUP(A772,'Orders Dataset'!$A:$D,4,FALSE)</f>
        <v>Delhi</v>
      </c>
      <c r="I772" s="5" t="str">
        <f>VLOOKUP(A772,'Orders Dataset'!$A:$E,5,FALSE)</f>
        <v>Delhi</v>
      </c>
    </row>
    <row r="773" spans="1:9" x14ac:dyDescent="0.25">
      <c r="A773" t="s">
        <v>675</v>
      </c>
      <c r="B773">
        <v>25</v>
      </c>
      <c r="C773">
        <v>10</v>
      </c>
      <c r="D773">
        <v>1</v>
      </c>
      <c r="E773" t="s">
        <v>892</v>
      </c>
      <c r="F773" t="s">
        <v>912</v>
      </c>
      <c r="G773" t="s">
        <v>902</v>
      </c>
      <c r="H773" s="3" t="str">
        <f>VLOOKUP(A773,'Orders Dataset'!$A:$D,4,FALSE)</f>
        <v>Bihar</v>
      </c>
      <c r="I773" s="5" t="str">
        <f>VLOOKUP(A773,'Orders Dataset'!$A:$E,5,FALSE)</f>
        <v>Patna</v>
      </c>
    </row>
    <row r="774" spans="1:9" x14ac:dyDescent="0.25">
      <c r="A774" t="s">
        <v>290</v>
      </c>
      <c r="B774">
        <v>140</v>
      </c>
      <c r="C774">
        <v>15</v>
      </c>
      <c r="D774">
        <v>5</v>
      </c>
      <c r="E774" t="s">
        <v>899</v>
      </c>
      <c r="F774" t="s">
        <v>907</v>
      </c>
      <c r="G774" t="s">
        <v>902</v>
      </c>
      <c r="H774" s="3" t="str">
        <f>VLOOKUP(A774,'Orders Dataset'!$A:$D,4,FALSE)</f>
        <v>Maharashtra</v>
      </c>
      <c r="I774" s="5" t="str">
        <f>VLOOKUP(A774,'Orders Dataset'!$A:$E,5,FALSE)</f>
        <v>Mumbai</v>
      </c>
    </row>
    <row r="775" spans="1:9" x14ac:dyDescent="0.25">
      <c r="A775" t="s">
        <v>526</v>
      </c>
      <c r="B775">
        <v>45</v>
      </c>
      <c r="C775">
        <v>0</v>
      </c>
      <c r="D775">
        <v>2</v>
      </c>
      <c r="E775" t="s">
        <v>899</v>
      </c>
      <c r="F775" t="s">
        <v>907</v>
      </c>
      <c r="G775" t="s">
        <v>902</v>
      </c>
      <c r="H775" s="3" t="str">
        <f>VLOOKUP(A775,'Orders Dataset'!$A:$D,4,FALSE)</f>
        <v>Maharashtra</v>
      </c>
      <c r="I775" s="5" t="str">
        <f>VLOOKUP(A775,'Orders Dataset'!$A:$E,5,FALSE)</f>
        <v>Mumbai</v>
      </c>
    </row>
    <row r="776" spans="1:9" x14ac:dyDescent="0.25">
      <c r="A776" t="s">
        <v>311</v>
      </c>
      <c r="B776">
        <v>132</v>
      </c>
      <c r="C776">
        <v>49</v>
      </c>
      <c r="D776">
        <v>3</v>
      </c>
      <c r="E776" t="s">
        <v>899</v>
      </c>
      <c r="F776" t="s">
        <v>913</v>
      </c>
      <c r="G776" t="s">
        <v>891</v>
      </c>
      <c r="H776" s="3" t="str">
        <f>VLOOKUP(A776,'Orders Dataset'!$A:$D,4,FALSE)</f>
        <v>Madhya Pradesh</v>
      </c>
      <c r="I776" s="5" t="str">
        <f>VLOOKUP(A776,'Orders Dataset'!$A:$E,5,FALSE)</f>
        <v>Indore</v>
      </c>
    </row>
    <row r="777" spans="1:9" x14ac:dyDescent="0.25">
      <c r="A777" t="s">
        <v>643</v>
      </c>
      <c r="B777">
        <v>133</v>
      </c>
      <c r="C777">
        <v>12</v>
      </c>
      <c r="D777">
        <v>5</v>
      </c>
      <c r="E777" t="s">
        <v>899</v>
      </c>
      <c r="F777" t="s">
        <v>907</v>
      </c>
      <c r="G777" t="s">
        <v>911</v>
      </c>
      <c r="H777" s="3" t="str">
        <f>VLOOKUP(A777,'Orders Dataset'!$A:$D,4,FALSE)</f>
        <v>Punjab</v>
      </c>
      <c r="I777" s="5" t="str">
        <f>VLOOKUP(A777,'Orders Dataset'!$A:$E,5,FALSE)</f>
        <v>Chandigarh</v>
      </c>
    </row>
    <row r="778" spans="1:9" x14ac:dyDescent="0.25">
      <c r="A778" t="s">
        <v>36</v>
      </c>
      <c r="B778">
        <v>82</v>
      </c>
      <c r="C778">
        <v>13</v>
      </c>
      <c r="D778">
        <v>2</v>
      </c>
      <c r="E778" t="s">
        <v>899</v>
      </c>
      <c r="F778" t="s">
        <v>913</v>
      </c>
      <c r="G778" t="s">
        <v>891</v>
      </c>
      <c r="H778" s="3" t="str">
        <f>VLOOKUP(A778,'Orders Dataset'!$A:$D,4,FALSE)</f>
        <v>Maharashtra</v>
      </c>
      <c r="I778" s="5" t="str">
        <f>VLOOKUP(A778,'Orders Dataset'!$A:$E,5,FALSE)</f>
        <v>Mumbai</v>
      </c>
    </row>
    <row r="779" spans="1:9" x14ac:dyDescent="0.25">
      <c r="A779" t="s">
        <v>415</v>
      </c>
      <c r="B779">
        <v>140</v>
      </c>
      <c r="C779">
        <v>56</v>
      </c>
      <c r="D779">
        <v>4</v>
      </c>
      <c r="E779" t="s">
        <v>899</v>
      </c>
      <c r="F779" t="s">
        <v>913</v>
      </c>
      <c r="G779" t="s">
        <v>902</v>
      </c>
      <c r="H779" s="3" t="str">
        <f>VLOOKUP(A779,'Orders Dataset'!$A:$D,4,FALSE)</f>
        <v>West Bengal</v>
      </c>
      <c r="I779" s="5" t="str">
        <f>VLOOKUP(A779,'Orders Dataset'!$A:$E,5,FALSE)</f>
        <v>Kolkata</v>
      </c>
    </row>
    <row r="780" spans="1:9" x14ac:dyDescent="0.25">
      <c r="A780" t="s">
        <v>218</v>
      </c>
      <c r="B780">
        <v>81</v>
      </c>
      <c r="C780">
        <v>19</v>
      </c>
      <c r="D780">
        <v>7</v>
      </c>
      <c r="E780" t="s">
        <v>899</v>
      </c>
      <c r="F780" t="s">
        <v>903</v>
      </c>
      <c r="G780" t="s">
        <v>891</v>
      </c>
      <c r="H780" s="3" t="str">
        <f>VLOOKUP(A780,'Orders Dataset'!$A:$D,4,FALSE)</f>
        <v>Madhya Pradesh</v>
      </c>
      <c r="I780" s="5" t="str">
        <f>VLOOKUP(A780,'Orders Dataset'!$A:$E,5,FALSE)</f>
        <v>Indore</v>
      </c>
    </row>
    <row r="781" spans="1:9" x14ac:dyDescent="0.25">
      <c r="A781" t="s">
        <v>110</v>
      </c>
      <c r="B781">
        <v>137</v>
      </c>
      <c r="C781">
        <v>38</v>
      </c>
      <c r="D781">
        <v>5</v>
      </c>
      <c r="E781" t="s">
        <v>899</v>
      </c>
      <c r="F781" t="s">
        <v>903</v>
      </c>
      <c r="G781" t="s">
        <v>911</v>
      </c>
      <c r="H781" s="3" t="str">
        <f>VLOOKUP(A781,'Orders Dataset'!$A:$D,4,FALSE)</f>
        <v>Gujarat</v>
      </c>
      <c r="I781" s="5" t="str">
        <f>VLOOKUP(A781,'Orders Dataset'!$A:$E,5,FALSE)</f>
        <v>Ahmedabad</v>
      </c>
    </row>
    <row r="782" spans="1:9" x14ac:dyDescent="0.25">
      <c r="A782" t="s">
        <v>653</v>
      </c>
      <c r="B782">
        <v>137</v>
      </c>
      <c r="C782">
        <v>-41</v>
      </c>
      <c r="D782">
        <v>3</v>
      </c>
      <c r="E782" t="s">
        <v>889</v>
      </c>
      <c r="F782" t="s">
        <v>898</v>
      </c>
      <c r="G782" t="s">
        <v>911</v>
      </c>
      <c r="H782" s="3" t="str">
        <f>VLOOKUP(A782,'Orders Dataset'!$A:$D,4,FALSE)</f>
        <v>Andhra Pradesh</v>
      </c>
      <c r="I782" s="5" t="str">
        <f>VLOOKUP(A782,'Orders Dataset'!$A:$E,5,FALSE)</f>
        <v>Hyderabad</v>
      </c>
    </row>
    <row r="783" spans="1:9" x14ac:dyDescent="0.25">
      <c r="A783" t="s">
        <v>625</v>
      </c>
      <c r="B783">
        <v>140</v>
      </c>
      <c r="C783">
        <v>57</v>
      </c>
      <c r="D783">
        <v>2</v>
      </c>
      <c r="E783" t="s">
        <v>899</v>
      </c>
      <c r="F783" t="s">
        <v>900</v>
      </c>
      <c r="G783" t="s">
        <v>911</v>
      </c>
      <c r="H783" s="3" t="str">
        <f>VLOOKUP(A783,'Orders Dataset'!$A:$D,4,FALSE)</f>
        <v>Maharashtra</v>
      </c>
      <c r="I783" s="5" t="str">
        <f>VLOOKUP(A783,'Orders Dataset'!$A:$E,5,FALSE)</f>
        <v>Mumbai</v>
      </c>
    </row>
    <row r="784" spans="1:9" x14ac:dyDescent="0.25">
      <c r="A784" t="s">
        <v>651</v>
      </c>
      <c r="B784">
        <v>139</v>
      </c>
      <c r="C784">
        <v>30</v>
      </c>
      <c r="D784">
        <v>3</v>
      </c>
      <c r="E784" t="s">
        <v>899</v>
      </c>
      <c r="F784" t="s">
        <v>913</v>
      </c>
      <c r="G784" t="s">
        <v>902</v>
      </c>
      <c r="H784" s="3" t="str">
        <f>VLOOKUP(A784,'Orders Dataset'!$A:$D,4,FALSE)</f>
        <v>Rajasthan</v>
      </c>
      <c r="I784" s="5" t="str">
        <f>VLOOKUP(A784,'Orders Dataset'!$A:$E,5,FALSE)</f>
        <v>Udaipur</v>
      </c>
    </row>
    <row r="785" spans="1:9" x14ac:dyDescent="0.25">
      <c r="A785" t="s">
        <v>360</v>
      </c>
      <c r="B785">
        <v>138</v>
      </c>
      <c r="C785">
        <v>11</v>
      </c>
      <c r="D785">
        <v>5</v>
      </c>
      <c r="E785" t="s">
        <v>899</v>
      </c>
      <c r="F785" t="s">
        <v>907</v>
      </c>
      <c r="G785" t="s">
        <v>902</v>
      </c>
      <c r="H785" s="3" t="str">
        <f>VLOOKUP(A785,'Orders Dataset'!$A:$D,4,FALSE)</f>
        <v>Maharashtra</v>
      </c>
      <c r="I785" s="5" t="str">
        <f>VLOOKUP(A785,'Orders Dataset'!$A:$E,5,FALSE)</f>
        <v>Mumbai</v>
      </c>
    </row>
    <row r="786" spans="1:9" x14ac:dyDescent="0.25">
      <c r="A786" t="s">
        <v>747</v>
      </c>
      <c r="B786">
        <v>79</v>
      </c>
      <c r="C786">
        <v>-124</v>
      </c>
      <c r="D786">
        <v>9</v>
      </c>
      <c r="E786" t="s">
        <v>899</v>
      </c>
      <c r="F786" t="s">
        <v>905</v>
      </c>
      <c r="G786" t="s">
        <v>891</v>
      </c>
      <c r="H786" s="3" t="str">
        <f>VLOOKUP(A786,'Orders Dataset'!$A:$D,4,FALSE)</f>
        <v>Delhi</v>
      </c>
      <c r="I786" s="5" t="str">
        <f>VLOOKUP(A786,'Orders Dataset'!$A:$E,5,FALSE)</f>
        <v>Delhi</v>
      </c>
    </row>
    <row r="787" spans="1:9" x14ac:dyDescent="0.25">
      <c r="A787" t="s">
        <v>405</v>
      </c>
      <c r="B787">
        <v>136</v>
      </c>
      <c r="C787">
        <v>41</v>
      </c>
      <c r="D787">
        <v>3</v>
      </c>
      <c r="E787" t="s">
        <v>889</v>
      </c>
      <c r="F787" t="s">
        <v>909</v>
      </c>
      <c r="G787" t="s">
        <v>902</v>
      </c>
      <c r="H787" s="3" t="str">
        <f>VLOOKUP(A787,'Orders Dataset'!$A:$D,4,FALSE)</f>
        <v>Sikkim</v>
      </c>
      <c r="I787" s="5" t="str">
        <f>VLOOKUP(A787,'Orders Dataset'!$A:$E,5,FALSE)</f>
        <v>Gangtok</v>
      </c>
    </row>
    <row r="788" spans="1:9" x14ac:dyDescent="0.25">
      <c r="A788" t="s">
        <v>640</v>
      </c>
      <c r="B788">
        <v>145</v>
      </c>
      <c r="C788">
        <v>16</v>
      </c>
      <c r="D788">
        <v>3</v>
      </c>
      <c r="E788" t="s">
        <v>899</v>
      </c>
      <c r="F788" t="s">
        <v>910</v>
      </c>
      <c r="G788" t="s">
        <v>911</v>
      </c>
      <c r="H788" s="3" t="str">
        <f>VLOOKUP(A788,'Orders Dataset'!$A:$D,4,FALSE)</f>
        <v>Bihar</v>
      </c>
      <c r="I788" s="5" t="str">
        <f>VLOOKUP(A788,'Orders Dataset'!$A:$E,5,FALSE)</f>
        <v>Patna</v>
      </c>
    </row>
    <row r="789" spans="1:9" x14ac:dyDescent="0.25">
      <c r="A789" t="s">
        <v>362</v>
      </c>
      <c r="B789">
        <v>44</v>
      </c>
      <c r="C789">
        <v>20</v>
      </c>
      <c r="D789">
        <v>2</v>
      </c>
      <c r="E789" t="s">
        <v>899</v>
      </c>
      <c r="F789" t="s">
        <v>910</v>
      </c>
      <c r="G789" t="s">
        <v>902</v>
      </c>
      <c r="H789" s="3" t="str">
        <f>VLOOKUP(A789,'Orders Dataset'!$A:$D,4,FALSE)</f>
        <v>West Bengal</v>
      </c>
      <c r="I789" s="5" t="str">
        <f>VLOOKUP(A789,'Orders Dataset'!$A:$E,5,FALSE)</f>
        <v>Kolkata</v>
      </c>
    </row>
    <row r="790" spans="1:9" x14ac:dyDescent="0.25">
      <c r="A790" t="s">
        <v>77</v>
      </c>
      <c r="B790">
        <v>79</v>
      </c>
      <c r="C790">
        <v>6</v>
      </c>
      <c r="D790">
        <v>7</v>
      </c>
      <c r="E790" t="s">
        <v>899</v>
      </c>
      <c r="F790" t="s">
        <v>901</v>
      </c>
      <c r="G790" t="s">
        <v>891</v>
      </c>
      <c r="H790" s="3" t="str">
        <f>VLOOKUP(A790,'Orders Dataset'!$A:$D,4,FALSE)</f>
        <v>Maharashtra</v>
      </c>
      <c r="I790" s="5" t="str">
        <f>VLOOKUP(A790,'Orders Dataset'!$A:$E,5,FALSE)</f>
        <v>Mumbai</v>
      </c>
    </row>
    <row r="791" spans="1:9" x14ac:dyDescent="0.25">
      <c r="A791" t="s">
        <v>168</v>
      </c>
      <c r="B791">
        <v>79</v>
      </c>
      <c r="C791">
        <v>36</v>
      </c>
      <c r="D791">
        <v>4</v>
      </c>
      <c r="E791" t="s">
        <v>899</v>
      </c>
      <c r="F791" t="s">
        <v>913</v>
      </c>
      <c r="G791" t="s">
        <v>891</v>
      </c>
      <c r="H791" s="3" t="str">
        <f>VLOOKUP(A791,'Orders Dataset'!$A:$D,4,FALSE)</f>
        <v>Rajasthan</v>
      </c>
      <c r="I791" s="5" t="str">
        <f>VLOOKUP(A791,'Orders Dataset'!$A:$E,5,FALSE)</f>
        <v>Jaipur</v>
      </c>
    </row>
    <row r="792" spans="1:9" x14ac:dyDescent="0.25">
      <c r="A792" t="s">
        <v>424</v>
      </c>
      <c r="B792">
        <v>134</v>
      </c>
      <c r="C792">
        <v>-13</v>
      </c>
      <c r="D792">
        <v>3</v>
      </c>
      <c r="E792" t="s">
        <v>889</v>
      </c>
      <c r="F792" t="s">
        <v>890</v>
      </c>
      <c r="G792" t="s">
        <v>902</v>
      </c>
      <c r="H792" s="3" t="str">
        <f>VLOOKUP(A792,'Orders Dataset'!$A:$D,4,FALSE)</f>
        <v>Karnataka</v>
      </c>
      <c r="I792" s="5" t="str">
        <f>VLOOKUP(A792,'Orders Dataset'!$A:$E,5,FALSE)</f>
        <v>Bangalore</v>
      </c>
    </row>
    <row r="793" spans="1:9" x14ac:dyDescent="0.25">
      <c r="A793" t="s">
        <v>93</v>
      </c>
      <c r="B793">
        <v>133</v>
      </c>
      <c r="C793">
        <v>5</v>
      </c>
      <c r="D793">
        <v>5</v>
      </c>
      <c r="E793" t="s">
        <v>899</v>
      </c>
      <c r="F793" t="s">
        <v>907</v>
      </c>
      <c r="G793" t="s">
        <v>902</v>
      </c>
      <c r="H793" s="3" t="str">
        <f>VLOOKUP(A793,'Orders Dataset'!$A:$D,4,FALSE)</f>
        <v>Madhya Pradesh</v>
      </c>
      <c r="I793" s="5" t="str">
        <f>VLOOKUP(A793,'Orders Dataset'!$A:$E,5,FALSE)</f>
        <v>Indore</v>
      </c>
    </row>
    <row r="794" spans="1:9" x14ac:dyDescent="0.25">
      <c r="A794" t="s">
        <v>427</v>
      </c>
      <c r="B794">
        <v>47</v>
      </c>
      <c r="C794">
        <v>20</v>
      </c>
      <c r="D794">
        <v>7</v>
      </c>
      <c r="E794" t="s">
        <v>899</v>
      </c>
      <c r="F794" t="s">
        <v>903</v>
      </c>
      <c r="G794" t="s">
        <v>902</v>
      </c>
      <c r="H794" s="3" t="str">
        <f>VLOOKUP(A794,'Orders Dataset'!$A:$D,4,FALSE)</f>
        <v>Bihar</v>
      </c>
      <c r="I794" s="5" t="str">
        <f>VLOOKUP(A794,'Orders Dataset'!$A:$E,5,FALSE)</f>
        <v>Patna</v>
      </c>
    </row>
    <row r="795" spans="1:9" x14ac:dyDescent="0.25">
      <c r="A795" t="s">
        <v>519</v>
      </c>
      <c r="B795">
        <v>133</v>
      </c>
      <c r="C795">
        <v>-42</v>
      </c>
      <c r="D795">
        <v>1</v>
      </c>
      <c r="E795" t="s">
        <v>889</v>
      </c>
      <c r="F795" t="s">
        <v>896</v>
      </c>
      <c r="G795" t="s">
        <v>902</v>
      </c>
      <c r="H795" s="3" t="str">
        <f>VLOOKUP(A795,'Orders Dataset'!$A:$D,4,FALSE)</f>
        <v>Madhya Pradesh</v>
      </c>
      <c r="I795" s="5" t="str">
        <f>VLOOKUP(A795,'Orders Dataset'!$A:$E,5,FALSE)</f>
        <v>Indore</v>
      </c>
    </row>
    <row r="796" spans="1:9" x14ac:dyDescent="0.25">
      <c r="A796" t="s">
        <v>749</v>
      </c>
      <c r="B796">
        <v>78</v>
      </c>
      <c r="C796">
        <v>27</v>
      </c>
      <c r="D796">
        <v>3</v>
      </c>
      <c r="E796" t="s">
        <v>899</v>
      </c>
      <c r="F796" t="s">
        <v>907</v>
      </c>
      <c r="G796" t="s">
        <v>891</v>
      </c>
      <c r="H796" s="3" t="str">
        <f>VLOOKUP(A796,'Orders Dataset'!$A:$D,4,FALSE)</f>
        <v>Delhi</v>
      </c>
      <c r="I796" s="5" t="str">
        <f>VLOOKUP(A796,'Orders Dataset'!$A:$E,5,FALSE)</f>
        <v>Delhi</v>
      </c>
    </row>
    <row r="797" spans="1:9" x14ac:dyDescent="0.25">
      <c r="A797" t="s">
        <v>751</v>
      </c>
      <c r="B797">
        <v>78</v>
      </c>
      <c r="C797">
        <v>7</v>
      </c>
      <c r="D797">
        <v>1</v>
      </c>
      <c r="E797" t="s">
        <v>892</v>
      </c>
      <c r="F797" t="s">
        <v>893</v>
      </c>
      <c r="G797" t="s">
        <v>891</v>
      </c>
      <c r="H797" s="3" t="str">
        <f>VLOOKUP(A797,'Orders Dataset'!$A:$D,4,FALSE)</f>
        <v>Jammu and Kashmir</v>
      </c>
      <c r="I797" s="5" t="str">
        <f>VLOOKUP(A797,'Orders Dataset'!$A:$E,5,FALSE)</f>
        <v>Kashmir</v>
      </c>
    </row>
    <row r="798" spans="1:9" x14ac:dyDescent="0.25">
      <c r="A798" t="s">
        <v>752</v>
      </c>
      <c r="B798">
        <v>76</v>
      </c>
      <c r="C798">
        <v>-92</v>
      </c>
      <c r="D798">
        <v>8</v>
      </c>
      <c r="E798" t="s">
        <v>892</v>
      </c>
      <c r="F798" t="s">
        <v>912</v>
      </c>
      <c r="G798" t="s">
        <v>891</v>
      </c>
      <c r="H798" s="3" t="str">
        <f>VLOOKUP(A798,'Orders Dataset'!$A:$D,4,FALSE)</f>
        <v>Maharashtra</v>
      </c>
      <c r="I798" s="5" t="str">
        <f>VLOOKUP(A798,'Orders Dataset'!$A:$E,5,FALSE)</f>
        <v>Mumbai</v>
      </c>
    </row>
    <row r="799" spans="1:9" x14ac:dyDescent="0.25">
      <c r="A799" t="s">
        <v>753</v>
      </c>
      <c r="B799">
        <v>76</v>
      </c>
      <c r="C799">
        <v>-50</v>
      </c>
      <c r="D799">
        <v>1</v>
      </c>
      <c r="E799" t="s">
        <v>899</v>
      </c>
      <c r="F799" t="s">
        <v>901</v>
      </c>
      <c r="G799" t="s">
        <v>891</v>
      </c>
      <c r="H799" s="3" t="str">
        <f>VLOOKUP(A799,'Orders Dataset'!$A:$D,4,FALSE)</f>
        <v>Maharashtra</v>
      </c>
      <c r="I799" s="5" t="str">
        <f>VLOOKUP(A799,'Orders Dataset'!$A:$E,5,FALSE)</f>
        <v>Mumbai</v>
      </c>
    </row>
    <row r="800" spans="1:9" x14ac:dyDescent="0.25">
      <c r="A800" t="s">
        <v>421</v>
      </c>
      <c r="B800">
        <v>76</v>
      </c>
      <c r="C800">
        <v>19</v>
      </c>
      <c r="D800">
        <v>3</v>
      </c>
      <c r="E800" t="s">
        <v>899</v>
      </c>
      <c r="F800" t="s">
        <v>903</v>
      </c>
      <c r="G800" t="s">
        <v>891</v>
      </c>
      <c r="H800" s="3" t="str">
        <f>VLOOKUP(A800,'Orders Dataset'!$A:$D,4,FALSE)</f>
        <v>Maharashtra</v>
      </c>
      <c r="I800" s="5" t="str">
        <f>VLOOKUP(A800,'Orders Dataset'!$A:$E,5,FALSE)</f>
        <v>Pune</v>
      </c>
    </row>
    <row r="801" spans="1:9" x14ac:dyDescent="0.25">
      <c r="A801" t="s">
        <v>320</v>
      </c>
      <c r="B801">
        <v>74</v>
      </c>
      <c r="C801">
        <v>29</v>
      </c>
      <c r="D801">
        <v>3</v>
      </c>
      <c r="E801" t="s">
        <v>899</v>
      </c>
      <c r="F801" t="s">
        <v>907</v>
      </c>
      <c r="G801" t="s">
        <v>891</v>
      </c>
      <c r="H801" s="3" t="str">
        <f>VLOOKUP(A801,'Orders Dataset'!$A:$D,4,FALSE)</f>
        <v>Goa</v>
      </c>
      <c r="I801" s="5" t="str">
        <f>VLOOKUP(A801,'Orders Dataset'!$A:$E,5,FALSE)</f>
        <v>Goa</v>
      </c>
    </row>
    <row r="802" spans="1:9" x14ac:dyDescent="0.25">
      <c r="A802" t="s">
        <v>758</v>
      </c>
      <c r="B802">
        <v>74</v>
      </c>
      <c r="C802">
        <v>-25</v>
      </c>
      <c r="D802">
        <v>3</v>
      </c>
      <c r="E802" t="s">
        <v>899</v>
      </c>
      <c r="F802" t="s">
        <v>907</v>
      </c>
      <c r="G802" t="s">
        <v>891</v>
      </c>
      <c r="H802" s="3" t="str">
        <f>VLOOKUP(A802,'Orders Dataset'!$A:$D,4,FALSE)</f>
        <v>Maharashtra</v>
      </c>
      <c r="I802" s="5" t="str">
        <f>VLOOKUP(A802,'Orders Dataset'!$A:$E,5,FALSE)</f>
        <v>Mumbai</v>
      </c>
    </row>
    <row r="803" spans="1:9" x14ac:dyDescent="0.25">
      <c r="A803" t="s">
        <v>550</v>
      </c>
      <c r="B803">
        <v>146</v>
      </c>
      <c r="C803">
        <v>-63</v>
      </c>
      <c r="D803">
        <v>3</v>
      </c>
      <c r="E803" t="s">
        <v>889</v>
      </c>
      <c r="F803" t="s">
        <v>890</v>
      </c>
      <c r="G803" t="s">
        <v>911</v>
      </c>
      <c r="H803" s="3" t="str">
        <f>VLOOKUP(A803,'Orders Dataset'!$A:$D,4,FALSE)</f>
        <v>Bihar</v>
      </c>
      <c r="I803" s="5" t="str">
        <f>VLOOKUP(A803,'Orders Dataset'!$A:$E,5,FALSE)</f>
        <v>Patna</v>
      </c>
    </row>
    <row r="804" spans="1:9" x14ac:dyDescent="0.25">
      <c r="A804" t="s">
        <v>369</v>
      </c>
      <c r="B804">
        <v>73</v>
      </c>
      <c r="C804">
        <v>-31</v>
      </c>
      <c r="D804">
        <v>1</v>
      </c>
      <c r="E804" t="s">
        <v>892</v>
      </c>
      <c r="F804" t="s">
        <v>895</v>
      </c>
      <c r="G804" t="s">
        <v>891</v>
      </c>
      <c r="H804" s="3" t="str">
        <f>VLOOKUP(A804,'Orders Dataset'!$A:$D,4,FALSE)</f>
        <v>Madhya Pradesh</v>
      </c>
      <c r="I804" s="5" t="str">
        <f>VLOOKUP(A804,'Orders Dataset'!$A:$E,5,FALSE)</f>
        <v>Indore</v>
      </c>
    </row>
    <row r="805" spans="1:9" x14ac:dyDescent="0.25">
      <c r="A805" t="s">
        <v>138</v>
      </c>
      <c r="B805">
        <v>80</v>
      </c>
      <c r="C805">
        <v>22</v>
      </c>
      <c r="D805">
        <v>3</v>
      </c>
      <c r="E805" t="s">
        <v>899</v>
      </c>
      <c r="F805" t="s">
        <v>907</v>
      </c>
      <c r="G805" t="s">
        <v>902</v>
      </c>
      <c r="H805" s="3" t="str">
        <f>VLOOKUP(A805,'Orders Dataset'!$A:$D,4,FALSE)</f>
        <v>West Bengal</v>
      </c>
      <c r="I805" s="5" t="str">
        <f>VLOOKUP(A805,'Orders Dataset'!$A:$E,5,FALSE)</f>
        <v>Kolkata</v>
      </c>
    </row>
    <row r="806" spans="1:9" x14ac:dyDescent="0.25">
      <c r="A806" t="s">
        <v>418</v>
      </c>
      <c r="B806">
        <v>133</v>
      </c>
      <c r="C806">
        <v>46</v>
      </c>
      <c r="D806">
        <v>5</v>
      </c>
      <c r="E806" t="s">
        <v>899</v>
      </c>
      <c r="F806" t="s">
        <v>913</v>
      </c>
      <c r="G806" t="s">
        <v>894</v>
      </c>
      <c r="H806" s="3" t="str">
        <f>VLOOKUP(A806,'Orders Dataset'!$A:$D,4,FALSE)</f>
        <v>Madhya Pradesh</v>
      </c>
      <c r="I806" s="5" t="str">
        <f>VLOOKUP(A806,'Orders Dataset'!$A:$E,5,FALSE)</f>
        <v>Bhopal</v>
      </c>
    </row>
    <row r="807" spans="1:9" x14ac:dyDescent="0.25">
      <c r="A807" t="s">
        <v>637</v>
      </c>
      <c r="B807">
        <v>146</v>
      </c>
      <c r="C807">
        <v>7</v>
      </c>
      <c r="D807">
        <v>2</v>
      </c>
      <c r="E807" t="s">
        <v>889</v>
      </c>
      <c r="F807" t="s">
        <v>898</v>
      </c>
      <c r="G807" t="s">
        <v>911</v>
      </c>
      <c r="H807" s="3" t="str">
        <f>VLOOKUP(A807,'Orders Dataset'!$A:$D,4,FALSE)</f>
        <v>Andhra Pradesh</v>
      </c>
      <c r="I807" s="5" t="str">
        <f>VLOOKUP(A807,'Orders Dataset'!$A:$E,5,FALSE)</f>
        <v>Hyderabad</v>
      </c>
    </row>
    <row r="808" spans="1:9" x14ac:dyDescent="0.25">
      <c r="A808" t="s">
        <v>661</v>
      </c>
      <c r="B808">
        <v>130</v>
      </c>
      <c r="C808">
        <v>-41</v>
      </c>
      <c r="D808">
        <v>4</v>
      </c>
      <c r="E808" t="s">
        <v>899</v>
      </c>
      <c r="F808" t="s">
        <v>901</v>
      </c>
      <c r="G808" t="s">
        <v>894</v>
      </c>
      <c r="H808" s="3" t="str">
        <f>VLOOKUP(A808,'Orders Dataset'!$A:$D,4,FALSE)</f>
        <v>Punjab</v>
      </c>
      <c r="I808" s="5" t="str">
        <f>VLOOKUP(A808,'Orders Dataset'!$A:$E,5,FALSE)</f>
        <v>Chandigarh</v>
      </c>
    </row>
    <row r="809" spans="1:9" x14ac:dyDescent="0.25">
      <c r="A809" t="s">
        <v>648</v>
      </c>
      <c r="B809">
        <v>141</v>
      </c>
      <c r="C809">
        <v>41</v>
      </c>
      <c r="D809">
        <v>3</v>
      </c>
      <c r="E809" t="s">
        <v>899</v>
      </c>
      <c r="F809" t="s">
        <v>913</v>
      </c>
      <c r="G809" t="s">
        <v>902</v>
      </c>
      <c r="H809" s="3" t="str">
        <f>VLOOKUP(A809,'Orders Dataset'!$A:$D,4,FALSE)</f>
        <v>Rajasthan</v>
      </c>
      <c r="I809" s="5" t="str">
        <f>VLOOKUP(A809,'Orders Dataset'!$A:$E,5,FALSE)</f>
        <v>Udaipur</v>
      </c>
    </row>
    <row r="810" spans="1:9" x14ac:dyDescent="0.25">
      <c r="A810" t="s">
        <v>322</v>
      </c>
      <c r="B810">
        <v>147</v>
      </c>
      <c r="C810">
        <v>21</v>
      </c>
      <c r="D810">
        <v>3</v>
      </c>
      <c r="E810" t="s">
        <v>892</v>
      </c>
      <c r="F810" t="s">
        <v>912</v>
      </c>
      <c r="G810" t="s">
        <v>911</v>
      </c>
      <c r="H810" s="3" t="str">
        <f>VLOOKUP(A810,'Orders Dataset'!$A:$D,4,FALSE)</f>
        <v>Himachal Pradesh</v>
      </c>
      <c r="I810" s="5" t="str">
        <f>VLOOKUP(A810,'Orders Dataset'!$A:$E,5,FALSE)</f>
        <v>Simla</v>
      </c>
    </row>
    <row r="811" spans="1:9" x14ac:dyDescent="0.25">
      <c r="A811" t="s">
        <v>154</v>
      </c>
      <c r="B811">
        <v>73</v>
      </c>
      <c r="C811">
        <v>-7</v>
      </c>
      <c r="D811">
        <v>1</v>
      </c>
      <c r="E811" t="s">
        <v>889</v>
      </c>
      <c r="F811" t="s">
        <v>898</v>
      </c>
      <c r="G811" t="s">
        <v>891</v>
      </c>
      <c r="H811" s="3" t="str">
        <f>VLOOKUP(A811,'Orders Dataset'!$A:$D,4,FALSE)</f>
        <v>Jammu and Kashmir</v>
      </c>
      <c r="I811" s="5" t="str">
        <f>VLOOKUP(A811,'Orders Dataset'!$A:$E,5,FALSE)</f>
        <v>Kashmir</v>
      </c>
    </row>
    <row r="812" spans="1:9" x14ac:dyDescent="0.25">
      <c r="A812" t="s">
        <v>631</v>
      </c>
      <c r="B812">
        <v>148</v>
      </c>
      <c r="C812">
        <v>72</v>
      </c>
      <c r="D812">
        <v>7</v>
      </c>
      <c r="E812" t="s">
        <v>899</v>
      </c>
      <c r="F812" t="s">
        <v>910</v>
      </c>
      <c r="G812" t="s">
        <v>911</v>
      </c>
      <c r="H812" s="3" t="str">
        <f>VLOOKUP(A812,'Orders Dataset'!$A:$D,4,FALSE)</f>
        <v>West Bengal</v>
      </c>
      <c r="I812" s="5" t="str">
        <f>VLOOKUP(A812,'Orders Dataset'!$A:$E,5,FALSE)</f>
        <v>Kolkata</v>
      </c>
    </row>
    <row r="813" spans="1:9" x14ac:dyDescent="0.25">
      <c r="A813" t="s">
        <v>776</v>
      </c>
      <c r="B813">
        <v>58</v>
      </c>
      <c r="C813">
        <v>0</v>
      </c>
      <c r="D813">
        <v>4</v>
      </c>
      <c r="E813" t="s">
        <v>899</v>
      </c>
      <c r="F813" t="s">
        <v>901</v>
      </c>
      <c r="G813" t="s">
        <v>902</v>
      </c>
      <c r="H813" s="3" t="str">
        <f>VLOOKUP(A813,'Orders Dataset'!$A:$D,4,FALSE)</f>
        <v>Tamil Nadu</v>
      </c>
      <c r="I813" s="5" t="str">
        <f>VLOOKUP(A813,'Orders Dataset'!$A:$E,5,FALSE)</f>
        <v>Chennai</v>
      </c>
    </row>
    <row r="814" spans="1:9" x14ac:dyDescent="0.25">
      <c r="A814" t="s">
        <v>555</v>
      </c>
      <c r="B814">
        <v>21</v>
      </c>
      <c r="C814">
        <v>-13</v>
      </c>
      <c r="D814">
        <v>3</v>
      </c>
      <c r="E814" t="s">
        <v>899</v>
      </c>
      <c r="F814" t="s">
        <v>908</v>
      </c>
      <c r="G814" t="s">
        <v>902</v>
      </c>
      <c r="H814" s="3" t="str">
        <f>VLOOKUP(A814,'Orders Dataset'!$A:$D,4,FALSE)</f>
        <v>Goa</v>
      </c>
      <c r="I814" s="5" t="str">
        <f>VLOOKUP(A814,'Orders Dataset'!$A:$E,5,FALSE)</f>
        <v>Goa</v>
      </c>
    </row>
    <row r="815" spans="1:9" x14ac:dyDescent="0.25">
      <c r="A815" t="s">
        <v>28</v>
      </c>
      <c r="B815">
        <v>148</v>
      </c>
      <c r="C815">
        <v>25</v>
      </c>
      <c r="D815">
        <v>3</v>
      </c>
      <c r="E815" t="s">
        <v>899</v>
      </c>
      <c r="F815" t="s">
        <v>901</v>
      </c>
      <c r="G815" t="s">
        <v>911</v>
      </c>
      <c r="H815" s="3" t="str">
        <f>VLOOKUP(A815,'Orders Dataset'!$A:$D,4,FALSE)</f>
        <v>Maharashtra</v>
      </c>
      <c r="I815" s="5" t="str">
        <f>VLOOKUP(A815,'Orders Dataset'!$A:$E,5,FALSE)</f>
        <v>Pune</v>
      </c>
    </row>
    <row r="816" spans="1:9" x14ac:dyDescent="0.25">
      <c r="A816" t="s">
        <v>641</v>
      </c>
      <c r="B816">
        <v>144</v>
      </c>
      <c r="C816">
        <v>-7</v>
      </c>
      <c r="D816">
        <v>4</v>
      </c>
      <c r="E816" t="s">
        <v>889</v>
      </c>
      <c r="F816" t="s">
        <v>890</v>
      </c>
      <c r="G816" t="s">
        <v>891</v>
      </c>
      <c r="H816" s="3" t="str">
        <f>VLOOKUP(A816,'Orders Dataset'!$A:$D,4,FALSE)</f>
        <v>Nagaland</v>
      </c>
      <c r="I816" s="5" t="str">
        <f>VLOOKUP(A816,'Orders Dataset'!$A:$E,5,FALSE)</f>
        <v>Kohima</v>
      </c>
    </row>
    <row r="817" spans="1:9" x14ac:dyDescent="0.25">
      <c r="A817" t="s">
        <v>541</v>
      </c>
      <c r="B817">
        <v>145</v>
      </c>
      <c r="C817">
        <v>-104</v>
      </c>
      <c r="D817">
        <v>5</v>
      </c>
      <c r="E817" t="s">
        <v>892</v>
      </c>
      <c r="F817" t="s">
        <v>893</v>
      </c>
      <c r="G817" t="s">
        <v>902</v>
      </c>
      <c r="H817" s="3" t="str">
        <f>VLOOKUP(A817,'Orders Dataset'!$A:$D,4,FALSE)</f>
        <v>Jammu and Kashmir</v>
      </c>
      <c r="I817" s="5" t="str">
        <f>VLOOKUP(A817,'Orders Dataset'!$A:$E,5,FALSE)</f>
        <v>Kashmir</v>
      </c>
    </row>
    <row r="818" spans="1:9" x14ac:dyDescent="0.25">
      <c r="A818" t="s">
        <v>337</v>
      </c>
      <c r="B818">
        <v>72</v>
      </c>
      <c r="C818">
        <v>-49</v>
      </c>
      <c r="D818">
        <v>1</v>
      </c>
      <c r="E818" t="s">
        <v>889</v>
      </c>
      <c r="F818" t="s">
        <v>898</v>
      </c>
      <c r="G818" t="s">
        <v>891</v>
      </c>
      <c r="H818" s="3" t="str">
        <f>VLOOKUP(A818,'Orders Dataset'!$A:$D,4,FALSE)</f>
        <v>Madhya Pradesh</v>
      </c>
      <c r="I818" s="5" t="str">
        <f>VLOOKUP(A818,'Orders Dataset'!$A:$E,5,FALSE)</f>
        <v>Bhopal</v>
      </c>
    </row>
    <row r="819" spans="1:9" x14ac:dyDescent="0.25">
      <c r="A819" t="s">
        <v>91</v>
      </c>
      <c r="B819">
        <v>125</v>
      </c>
      <c r="C819">
        <v>15</v>
      </c>
      <c r="D819">
        <v>5</v>
      </c>
      <c r="E819" t="s">
        <v>899</v>
      </c>
      <c r="F819" t="s">
        <v>913</v>
      </c>
      <c r="G819" t="s">
        <v>894</v>
      </c>
      <c r="H819" s="3" t="str">
        <f>VLOOKUP(A819,'Orders Dataset'!$A:$D,4,FALSE)</f>
        <v>Delhi</v>
      </c>
      <c r="I819" s="5" t="str">
        <f>VLOOKUP(A819,'Orders Dataset'!$A:$E,5,FALSE)</f>
        <v>Delhi</v>
      </c>
    </row>
    <row r="820" spans="1:9" x14ac:dyDescent="0.25">
      <c r="A820" t="s">
        <v>110</v>
      </c>
      <c r="B820">
        <v>149</v>
      </c>
      <c r="C820">
        <v>15</v>
      </c>
      <c r="D820">
        <v>3</v>
      </c>
      <c r="E820" t="s">
        <v>899</v>
      </c>
      <c r="F820" t="s">
        <v>901</v>
      </c>
      <c r="G820" t="s">
        <v>911</v>
      </c>
      <c r="H820" s="3" t="str">
        <f>VLOOKUP(A820,'Orders Dataset'!$A:$D,4,FALSE)</f>
        <v>Gujarat</v>
      </c>
      <c r="I820" s="5" t="str">
        <f>VLOOKUP(A820,'Orders Dataset'!$A:$E,5,FALSE)</f>
        <v>Ahmedabad</v>
      </c>
    </row>
    <row r="821" spans="1:9" x14ac:dyDescent="0.25">
      <c r="A821" t="s">
        <v>258</v>
      </c>
      <c r="B821">
        <v>72</v>
      </c>
      <c r="C821">
        <v>16</v>
      </c>
      <c r="D821">
        <v>2</v>
      </c>
      <c r="E821" t="s">
        <v>899</v>
      </c>
      <c r="F821" t="s">
        <v>913</v>
      </c>
      <c r="G821" t="s">
        <v>891</v>
      </c>
      <c r="H821" s="3" t="str">
        <f>VLOOKUP(A821,'Orders Dataset'!$A:$D,4,FALSE)</f>
        <v>Madhya Pradesh</v>
      </c>
      <c r="I821" s="5" t="str">
        <f>VLOOKUP(A821,'Orders Dataset'!$A:$E,5,FALSE)</f>
        <v>Indore</v>
      </c>
    </row>
    <row r="822" spans="1:9" x14ac:dyDescent="0.25">
      <c r="A822" t="s">
        <v>59</v>
      </c>
      <c r="B822">
        <v>71</v>
      </c>
      <c r="C822">
        <v>0</v>
      </c>
      <c r="D822">
        <v>8</v>
      </c>
      <c r="E822" t="s">
        <v>899</v>
      </c>
      <c r="F822" t="s">
        <v>905</v>
      </c>
      <c r="G822" t="s">
        <v>891</v>
      </c>
      <c r="H822" s="3" t="str">
        <f>VLOOKUP(A822,'Orders Dataset'!$A:$D,4,FALSE)</f>
        <v>Himachal Pradesh</v>
      </c>
      <c r="I822" s="5" t="str">
        <f>VLOOKUP(A822,'Orders Dataset'!$A:$E,5,FALSE)</f>
        <v>Simla</v>
      </c>
    </row>
    <row r="823" spans="1:9" x14ac:dyDescent="0.25">
      <c r="A823" t="s">
        <v>762</v>
      </c>
      <c r="B823">
        <v>71</v>
      </c>
      <c r="C823">
        <v>-14</v>
      </c>
      <c r="D823">
        <v>4</v>
      </c>
      <c r="E823" t="s">
        <v>892</v>
      </c>
      <c r="F823" t="s">
        <v>912</v>
      </c>
      <c r="G823" t="s">
        <v>891</v>
      </c>
      <c r="H823" s="3" t="str">
        <f>VLOOKUP(A823,'Orders Dataset'!$A:$D,4,FALSE)</f>
        <v>Madhya Pradesh</v>
      </c>
      <c r="I823" s="5" t="str">
        <f>VLOOKUP(A823,'Orders Dataset'!$A:$E,5,FALSE)</f>
        <v>Indore</v>
      </c>
    </row>
    <row r="824" spans="1:9" x14ac:dyDescent="0.25">
      <c r="A824" t="s">
        <v>150</v>
      </c>
      <c r="B824">
        <v>154</v>
      </c>
      <c r="C824">
        <v>-85</v>
      </c>
      <c r="D824">
        <v>3</v>
      </c>
      <c r="E824" t="s">
        <v>892</v>
      </c>
      <c r="F824" t="s">
        <v>893</v>
      </c>
      <c r="G824" t="s">
        <v>894</v>
      </c>
      <c r="H824" s="3" t="str">
        <f>VLOOKUP(A824,'Orders Dataset'!$A:$D,4,FALSE)</f>
        <v>Kerala</v>
      </c>
      <c r="I824" s="5" t="str">
        <f>VLOOKUP(A824,'Orders Dataset'!$A:$E,5,FALSE)</f>
        <v>Thiruvananthapuram</v>
      </c>
    </row>
    <row r="825" spans="1:9" x14ac:dyDescent="0.25">
      <c r="A825" t="s">
        <v>306</v>
      </c>
      <c r="B825">
        <v>191</v>
      </c>
      <c r="C825">
        <v>13</v>
      </c>
      <c r="D825">
        <v>8</v>
      </c>
      <c r="E825" t="s">
        <v>892</v>
      </c>
      <c r="F825" t="s">
        <v>912</v>
      </c>
      <c r="G825" t="s">
        <v>891</v>
      </c>
      <c r="H825" s="3" t="str">
        <f>VLOOKUP(A825,'Orders Dataset'!$A:$D,4,FALSE)</f>
        <v>Madhya Pradesh</v>
      </c>
      <c r="I825" s="5" t="str">
        <f>VLOOKUP(A825,'Orders Dataset'!$A:$E,5,FALSE)</f>
        <v>Indore</v>
      </c>
    </row>
    <row r="826" spans="1:9" x14ac:dyDescent="0.25">
      <c r="A826" t="s">
        <v>593</v>
      </c>
      <c r="B826">
        <v>170</v>
      </c>
      <c r="C826">
        <v>19</v>
      </c>
      <c r="D826">
        <v>5</v>
      </c>
      <c r="E826" t="s">
        <v>899</v>
      </c>
      <c r="F826" t="s">
        <v>910</v>
      </c>
      <c r="G826" t="s">
        <v>902</v>
      </c>
      <c r="H826" s="3" t="str">
        <f>VLOOKUP(A826,'Orders Dataset'!$A:$D,4,FALSE)</f>
        <v>Punjab</v>
      </c>
      <c r="I826" s="5" t="str">
        <f>VLOOKUP(A826,'Orders Dataset'!$A:$E,5,FALSE)</f>
        <v>Amritsar</v>
      </c>
    </row>
    <row r="827" spans="1:9" x14ac:dyDescent="0.25">
      <c r="A827" t="s">
        <v>73</v>
      </c>
      <c r="B827">
        <v>47</v>
      </c>
      <c r="C827">
        <v>-3</v>
      </c>
      <c r="D827">
        <v>2</v>
      </c>
      <c r="E827" t="s">
        <v>899</v>
      </c>
      <c r="F827" t="s">
        <v>907</v>
      </c>
      <c r="G827" t="s">
        <v>902</v>
      </c>
      <c r="H827" s="3" t="str">
        <f>VLOOKUP(A827,'Orders Dataset'!$A:$D,4,FALSE)</f>
        <v>Kerala</v>
      </c>
      <c r="I827" s="5" t="str">
        <f>VLOOKUP(A827,'Orders Dataset'!$A:$E,5,FALSE)</f>
        <v>Thiruvananthapuram</v>
      </c>
    </row>
    <row r="828" spans="1:9" x14ac:dyDescent="0.25">
      <c r="A828" t="s">
        <v>491</v>
      </c>
      <c r="B828">
        <v>122</v>
      </c>
      <c r="C828">
        <v>-47</v>
      </c>
      <c r="D828">
        <v>4</v>
      </c>
      <c r="E828" t="s">
        <v>899</v>
      </c>
      <c r="F828" t="s">
        <v>901</v>
      </c>
      <c r="G828" t="s">
        <v>894</v>
      </c>
      <c r="H828" s="3" t="str">
        <f>VLOOKUP(A828,'Orders Dataset'!$A:$D,4,FALSE)</f>
        <v>Rajasthan</v>
      </c>
      <c r="I828" s="5" t="str">
        <f>VLOOKUP(A828,'Orders Dataset'!$A:$E,5,FALSE)</f>
        <v>Jaipur</v>
      </c>
    </row>
    <row r="829" spans="1:9" x14ac:dyDescent="0.25">
      <c r="A829" t="s">
        <v>218</v>
      </c>
      <c r="B829">
        <v>70</v>
      </c>
      <c r="C829">
        <v>26</v>
      </c>
      <c r="D829">
        <v>5</v>
      </c>
      <c r="E829" t="s">
        <v>899</v>
      </c>
      <c r="F829" t="s">
        <v>903</v>
      </c>
      <c r="G829" t="s">
        <v>891</v>
      </c>
      <c r="H829" s="3" t="str">
        <f>VLOOKUP(A829,'Orders Dataset'!$A:$D,4,FALSE)</f>
        <v>Madhya Pradesh</v>
      </c>
      <c r="I829" s="5" t="str">
        <f>VLOOKUP(A829,'Orders Dataset'!$A:$E,5,FALSE)</f>
        <v>Indore</v>
      </c>
    </row>
    <row r="830" spans="1:9" x14ac:dyDescent="0.25">
      <c r="A830" t="s">
        <v>616</v>
      </c>
      <c r="B830">
        <v>155</v>
      </c>
      <c r="C830">
        <v>5</v>
      </c>
      <c r="D830">
        <v>3</v>
      </c>
      <c r="E830" t="s">
        <v>899</v>
      </c>
      <c r="F830" t="s">
        <v>907</v>
      </c>
      <c r="G830" t="s">
        <v>894</v>
      </c>
      <c r="H830" s="3" t="str">
        <f>VLOOKUP(A830,'Orders Dataset'!$A:$D,4,FALSE)</f>
        <v>Sikkim</v>
      </c>
      <c r="I830" s="5" t="str">
        <f>VLOOKUP(A830,'Orders Dataset'!$A:$E,5,FALSE)</f>
        <v>Gangtok</v>
      </c>
    </row>
    <row r="831" spans="1:9" x14ac:dyDescent="0.25">
      <c r="A831" t="s">
        <v>492</v>
      </c>
      <c r="B831">
        <v>67</v>
      </c>
      <c r="C831">
        <v>-86</v>
      </c>
      <c r="D831">
        <v>9</v>
      </c>
      <c r="E831" t="s">
        <v>892</v>
      </c>
      <c r="F831" t="s">
        <v>912</v>
      </c>
      <c r="G831" t="s">
        <v>891</v>
      </c>
      <c r="H831" s="3" t="str">
        <f>VLOOKUP(A831,'Orders Dataset'!$A:$D,4,FALSE)</f>
        <v>Uttar Pradesh</v>
      </c>
      <c r="I831" s="5" t="str">
        <f>VLOOKUP(A831,'Orders Dataset'!$A:$E,5,FALSE)</f>
        <v>Lucknow</v>
      </c>
    </row>
    <row r="832" spans="1:9" x14ac:dyDescent="0.25">
      <c r="A832" t="s">
        <v>154</v>
      </c>
      <c r="B832">
        <v>67</v>
      </c>
      <c r="C832">
        <v>-42</v>
      </c>
      <c r="D832">
        <v>3</v>
      </c>
      <c r="E832" t="s">
        <v>899</v>
      </c>
      <c r="F832" t="s">
        <v>907</v>
      </c>
      <c r="G832" t="s">
        <v>891</v>
      </c>
      <c r="H832" s="3" t="str">
        <f>VLOOKUP(A832,'Orders Dataset'!$A:$D,4,FALSE)</f>
        <v>Jammu and Kashmir</v>
      </c>
      <c r="I832" s="5" t="str">
        <f>VLOOKUP(A832,'Orders Dataset'!$A:$E,5,FALSE)</f>
        <v>Kashmir</v>
      </c>
    </row>
    <row r="833" spans="1:9" x14ac:dyDescent="0.25">
      <c r="A833" t="s">
        <v>83</v>
      </c>
      <c r="B833">
        <v>148</v>
      </c>
      <c r="C833">
        <v>-101</v>
      </c>
      <c r="D833">
        <v>2</v>
      </c>
      <c r="E833" t="s">
        <v>892</v>
      </c>
      <c r="F833" t="s">
        <v>895</v>
      </c>
      <c r="G833" t="s">
        <v>902</v>
      </c>
      <c r="H833" s="3" t="str">
        <f>VLOOKUP(A833,'Orders Dataset'!$A:$D,4,FALSE)</f>
        <v>Madhya Pradesh</v>
      </c>
      <c r="I833" s="5" t="str">
        <f>VLOOKUP(A833,'Orders Dataset'!$A:$E,5,FALSE)</f>
        <v>Indore</v>
      </c>
    </row>
    <row r="834" spans="1:9" x14ac:dyDescent="0.25">
      <c r="A834" t="s">
        <v>678</v>
      </c>
      <c r="B834">
        <v>122</v>
      </c>
      <c r="C834">
        <v>38</v>
      </c>
      <c r="D834">
        <v>6</v>
      </c>
      <c r="E834" t="s">
        <v>899</v>
      </c>
      <c r="F834" t="s">
        <v>910</v>
      </c>
      <c r="G834" t="s">
        <v>897</v>
      </c>
      <c r="H834" s="3" t="str">
        <f>VLOOKUP(A834,'Orders Dataset'!$A:$D,4,FALSE)</f>
        <v>Maharashtra</v>
      </c>
      <c r="I834" s="5" t="str">
        <f>VLOOKUP(A834,'Orders Dataset'!$A:$E,5,FALSE)</f>
        <v>Mumbai</v>
      </c>
    </row>
    <row r="835" spans="1:9" x14ac:dyDescent="0.25">
      <c r="A835" t="s">
        <v>867</v>
      </c>
      <c r="B835">
        <v>16</v>
      </c>
      <c r="C835">
        <v>-5</v>
      </c>
      <c r="D835">
        <v>2</v>
      </c>
      <c r="E835" t="s">
        <v>899</v>
      </c>
      <c r="F835" t="s">
        <v>907</v>
      </c>
      <c r="G835" t="s">
        <v>902</v>
      </c>
      <c r="H835" s="3" t="str">
        <f>VLOOKUP(A835,'Orders Dataset'!$A:$D,4,FALSE)</f>
        <v>Karnataka</v>
      </c>
      <c r="I835" s="5" t="str">
        <f>VLOOKUP(A835,'Orders Dataset'!$A:$E,5,FALSE)</f>
        <v>Bangalore</v>
      </c>
    </row>
    <row r="836" spans="1:9" x14ac:dyDescent="0.25">
      <c r="A836" t="s">
        <v>416</v>
      </c>
      <c r="B836">
        <v>121</v>
      </c>
      <c r="C836">
        <v>-17</v>
      </c>
      <c r="D836">
        <v>3</v>
      </c>
      <c r="E836" t="s">
        <v>892</v>
      </c>
      <c r="F836" t="s">
        <v>912</v>
      </c>
      <c r="G836" t="s">
        <v>897</v>
      </c>
      <c r="H836" s="3" t="str">
        <f>VLOOKUP(A836,'Orders Dataset'!$A:$D,4,FALSE)</f>
        <v>Maharashtra</v>
      </c>
      <c r="I836" s="5" t="str">
        <f>VLOOKUP(A836,'Orders Dataset'!$A:$E,5,FALSE)</f>
        <v>Mumbai</v>
      </c>
    </row>
    <row r="837" spans="1:9" x14ac:dyDescent="0.25">
      <c r="A837" t="s">
        <v>369</v>
      </c>
      <c r="B837">
        <v>42</v>
      </c>
      <c r="C837">
        <v>-15</v>
      </c>
      <c r="D837">
        <v>12</v>
      </c>
      <c r="E837" t="s">
        <v>899</v>
      </c>
      <c r="F837" t="s">
        <v>905</v>
      </c>
      <c r="G837" t="s">
        <v>902</v>
      </c>
      <c r="H837" s="3" t="str">
        <f>VLOOKUP(A837,'Orders Dataset'!$A:$D,4,FALSE)</f>
        <v>Madhya Pradesh</v>
      </c>
      <c r="I837" s="5" t="str">
        <f>VLOOKUP(A837,'Orders Dataset'!$A:$E,5,FALSE)</f>
        <v>Indore</v>
      </c>
    </row>
    <row r="838" spans="1:9" x14ac:dyDescent="0.25">
      <c r="A838" t="s">
        <v>375</v>
      </c>
      <c r="B838">
        <v>65</v>
      </c>
      <c r="C838">
        <v>-4</v>
      </c>
      <c r="D838">
        <v>6</v>
      </c>
      <c r="E838" t="s">
        <v>899</v>
      </c>
      <c r="F838" t="s">
        <v>903</v>
      </c>
      <c r="G838" t="s">
        <v>891</v>
      </c>
      <c r="H838" s="3" t="str">
        <f>VLOOKUP(A838,'Orders Dataset'!$A:$D,4,FALSE)</f>
        <v>Maharashtra</v>
      </c>
      <c r="I838" s="5" t="str">
        <f>VLOOKUP(A838,'Orders Dataset'!$A:$E,5,FALSE)</f>
        <v>Mumbai</v>
      </c>
    </row>
    <row r="839" spans="1:9" x14ac:dyDescent="0.25">
      <c r="A839" t="s">
        <v>686</v>
      </c>
      <c r="B839">
        <v>119</v>
      </c>
      <c r="C839">
        <v>-43</v>
      </c>
      <c r="D839">
        <v>7</v>
      </c>
      <c r="E839" t="s">
        <v>899</v>
      </c>
      <c r="F839" t="s">
        <v>904</v>
      </c>
      <c r="G839" t="s">
        <v>897</v>
      </c>
      <c r="H839" s="3" t="str">
        <f>VLOOKUP(A839,'Orders Dataset'!$A:$D,4,FALSE)</f>
        <v>Gujarat</v>
      </c>
      <c r="I839" s="5" t="str">
        <f>VLOOKUP(A839,'Orders Dataset'!$A:$E,5,FALSE)</f>
        <v>Surat</v>
      </c>
    </row>
    <row r="840" spans="1:9" x14ac:dyDescent="0.25">
      <c r="A840" t="s">
        <v>423</v>
      </c>
      <c r="B840">
        <v>155</v>
      </c>
      <c r="C840">
        <v>56</v>
      </c>
      <c r="D840">
        <v>3</v>
      </c>
      <c r="E840" t="s">
        <v>892</v>
      </c>
      <c r="F840" t="s">
        <v>912</v>
      </c>
      <c r="G840" t="s">
        <v>894</v>
      </c>
      <c r="H840" s="3" t="str">
        <f>VLOOKUP(A840,'Orders Dataset'!$A:$D,4,FALSE)</f>
        <v>Kerala</v>
      </c>
      <c r="I840" s="5" t="str">
        <f>VLOOKUP(A840,'Orders Dataset'!$A:$E,5,FALSE)</f>
        <v>Thiruvananthapuram</v>
      </c>
    </row>
    <row r="841" spans="1:9" x14ac:dyDescent="0.25">
      <c r="A841" t="s">
        <v>34</v>
      </c>
      <c r="B841">
        <v>119</v>
      </c>
      <c r="C841">
        <v>-5</v>
      </c>
      <c r="D841">
        <v>8</v>
      </c>
      <c r="E841" t="s">
        <v>899</v>
      </c>
      <c r="F841" t="s">
        <v>901</v>
      </c>
      <c r="G841" t="s">
        <v>897</v>
      </c>
      <c r="H841" s="3" t="str">
        <f>VLOOKUP(A841,'Orders Dataset'!$A:$D,4,FALSE)</f>
        <v>Maharashtra</v>
      </c>
      <c r="I841" s="5" t="str">
        <f>VLOOKUP(A841,'Orders Dataset'!$A:$E,5,FALSE)</f>
        <v>Pune</v>
      </c>
    </row>
    <row r="842" spans="1:9" x14ac:dyDescent="0.25">
      <c r="A842" t="s">
        <v>687</v>
      </c>
      <c r="B842">
        <v>118</v>
      </c>
      <c r="C842">
        <v>25</v>
      </c>
      <c r="D842">
        <v>4</v>
      </c>
      <c r="E842" t="s">
        <v>899</v>
      </c>
      <c r="F842" t="s">
        <v>903</v>
      </c>
      <c r="G842" t="s">
        <v>897</v>
      </c>
      <c r="H842" s="3" t="str">
        <f>VLOOKUP(A842,'Orders Dataset'!$A:$D,4,FALSE)</f>
        <v>Gujarat</v>
      </c>
      <c r="I842" s="5" t="str">
        <f>VLOOKUP(A842,'Orders Dataset'!$A:$E,5,FALSE)</f>
        <v>Surat</v>
      </c>
    </row>
    <row r="843" spans="1:9" x14ac:dyDescent="0.25">
      <c r="A843" t="s">
        <v>177</v>
      </c>
      <c r="B843">
        <v>116</v>
      </c>
      <c r="C843">
        <v>22</v>
      </c>
      <c r="D843">
        <v>1</v>
      </c>
      <c r="E843" t="s">
        <v>889</v>
      </c>
      <c r="F843" t="s">
        <v>909</v>
      </c>
      <c r="G843" t="s">
        <v>897</v>
      </c>
      <c r="H843" s="3" t="str">
        <f>VLOOKUP(A843,'Orders Dataset'!$A:$D,4,FALSE)</f>
        <v>Andhra Pradesh</v>
      </c>
      <c r="I843" s="5" t="str">
        <f>VLOOKUP(A843,'Orders Dataset'!$A:$E,5,FALSE)</f>
        <v>Hyderabad</v>
      </c>
    </row>
    <row r="844" spans="1:9" x14ac:dyDescent="0.25">
      <c r="A844" t="s">
        <v>93</v>
      </c>
      <c r="B844">
        <v>158</v>
      </c>
      <c r="C844">
        <v>-29</v>
      </c>
      <c r="D844">
        <v>10</v>
      </c>
      <c r="E844" t="s">
        <v>899</v>
      </c>
      <c r="F844" t="s">
        <v>903</v>
      </c>
      <c r="G844" t="s">
        <v>894</v>
      </c>
      <c r="H844" s="3" t="str">
        <f>VLOOKUP(A844,'Orders Dataset'!$A:$D,4,FALSE)</f>
        <v>Madhya Pradesh</v>
      </c>
      <c r="I844" s="5" t="str">
        <f>VLOOKUP(A844,'Orders Dataset'!$A:$E,5,FALSE)</f>
        <v>Indore</v>
      </c>
    </row>
    <row r="845" spans="1:9" x14ac:dyDescent="0.25">
      <c r="A845" t="s">
        <v>611</v>
      </c>
      <c r="B845">
        <v>158</v>
      </c>
      <c r="C845">
        <v>69</v>
      </c>
      <c r="D845">
        <v>3</v>
      </c>
      <c r="E845" t="s">
        <v>899</v>
      </c>
      <c r="F845" t="s">
        <v>907</v>
      </c>
      <c r="G845" t="s">
        <v>894</v>
      </c>
      <c r="H845" s="3" t="str">
        <f>VLOOKUP(A845,'Orders Dataset'!$A:$D,4,FALSE)</f>
        <v>Andhra Pradesh</v>
      </c>
      <c r="I845" s="5" t="str">
        <f>VLOOKUP(A845,'Orders Dataset'!$A:$E,5,FALSE)</f>
        <v>Hyderabad</v>
      </c>
    </row>
    <row r="846" spans="1:9" x14ac:dyDescent="0.25">
      <c r="A846" t="s">
        <v>214</v>
      </c>
      <c r="B846">
        <v>65</v>
      </c>
      <c r="C846">
        <v>-52</v>
      </c>
      <c r="D846">
        <v>3</v>
      </c>
      <c r="E846" t="s">
        <v>889</v>
      </c>
      <c r="F846" t="s">
        <v>909</v>
      </c>
      <c r="G846" t="s">
        <v>891</v>
      </c>
      <c r="H846" s="3" t="str">
        <f>VLOOKUP(A846,'Orders Dataset'!$A:$D,4,FALSE)</f>
        <v>Uttar Pradesh</v>
      </c>
      <c r="I846" s="5" t="str">
        <f>VLOOKUP(A846,'Orders Dataset'!$A:$E,5,FALSE)</f>
        <v>Lucknow</v>
      </c>
    </row>
    <row r="847" spans="1:9" x14ac:dyDescent="0.25">
      <c r="A847" t="s">
        <v>605</v>
      </c>
      <c r="B847">
        <v>160</v>
      </c>
      <c r="C847">
        <v>-59</v>
      </c>
      <c r="D847">
        <v>2</v>
      </c>
      <c r="E847" t="s">
        <v>899</v>
      </c>
      <c r="F847" t="s">
        <v>901</v>
      </c>
      <c r="G847" t="s">
        <v>894</v>
      </c>
      <c r="H847" s="3" t="str">
        <f>VLOOKUP(A847,'Orders Dataset'!$A:$D,4,FALSE)</f>
        <v>Kerala</v>
      </c>
      <c r="I847" s="5" t="str">
        <f>VLOOKUP(A847,'Orders Dataset'!$A:$E,5,FALSE)</f>
        <v>Thiruvananthapuram</v>
      </c>
    </row>
    <row r="848" spans="1:9" x14ac:dyDescent="0.25">
      <c r="A848" t="s">
        <v>79</v>
      </c>
      <c r="B848">
        <v>162</v>
      </c>
      <c r="C848">
        <v>20</v>
      </c>
      <c r="D848">
        <v>3</v>
      </c>
      <c r="E848" t="s">
        <v>892</v>
      </c>
      <c r="F848" t="s">
        <v>893</v>
      </c>
      <c r="G848" t="s">
        <v>894</v>
      </c>
      <c r="H848" s="3" t="str">
        <f>VLOOKUP(A848,'Orders Dataset'!$A:$D,4,FALSE)</f>
        <v>Nagaland</v>
      </c>
      <c r="I848" s="5" t="str">
        <f>VLOOKUP(A848,'Orders Dataset'!$A:$E,5,FALSE)</f>
        <v>Kohima</v>
      </c>
    </row>
    <row r="849" spans="1:9" x14ac:dyDescent="0.25">
      <c r="A849" t="s">
        <v>389</v>
      </c>
      <c r="B849">
        <v>63</v>
      </c>
      <c r="C849">
        <v>1</v>
      </c>
      <c r="D849">
        <v>4</v>
      </c>
      <c r="E849" t="s">
        <v>899</v>
      </c>
      <c r="F849" t="s">
        <v>910</v>
      </c>
      <c r="G849" t="s">
        <v>891</v>
      </c>
      <c r="H849" s="3" t="str">
        <f>VLOOKUP(A849,'Orders Dataset'!$A:$D,4,FALSE)</f>
        <v>Rajasthan</v>
      </c>
      <c r="I849" s="5" t="str">
        <f>VLOOKUP(A849,'Orders Dataset'!$A:$E,5,FALSE)</f>
        <v>Udaipur</v>
      </c>
    </row>
    <row r="850" spans="1:9" x14ac:dyDescent="0.25">
      <c r="A850" t="s">
        <v>770</v>
      </c>
      <c r="B850">
        <v>64</v>
      </c>
      <c r="C850">
        <v>27</v>
      </c>
      <c r="D850">
        <v>5</v>
      </c>
      <c r="E850" t="s">
        <v>899</v>
      </c>
      <c r="F850" t="s">
        <v>903</v>
      </c>
      <c r="G850" t="s">
        <v>902</v>
      </c>
      <c r="H850" s="3" t="str">
        <f>VLOOKUP(A850,'Orders Dataset'!$A:$D,4,FALSE)</f>
        <v>Madhya Pradesh</v>
      </c>
      <c r="I850" s="5" t="str">
        <f>VLOOKUP(A850,'Orders Dataset'!$A:$E,5,FALSE)</f>
        <v>Indore</v>
      </c>
    </row>
    <row r="851" spans="1:9" x14ac:dyDescent="0.25">
      <c r="A851" t="s">
        <v>601</v>
      </c>
      <c r="B851">
        <v>166</v>
      </c>
      <c r="C851">
        <v>-113</v>
      </c>
      <c r="D851">
        <v>4</v>
      </c>
      <c r="E851" t="s">
        <v>889</v>
      </c>
      <c r="F851" t="s">
        <v>909</v>
      </c>
      <c r="G851" t="s">
        <v>894</v>
      </c>
      <c r="H851" s="3" t="str">
        <f>VLOOKUP(A851,'Orders Dataset'!$A:$D,4,FALSE)</f>
        <v>Kerala</v>
      </c>
      <c r="I851" s="5" t="str">
        <f>VLOOKUP(A851,'Orders Dataset'!$A:$E,5,FALSE)</f>
        <v>Thiruvananthapuram</v>
      </c>
    </row>
    <row r="852" spans="1:9" x14ac:dyDescent="0.25">
      <c r="A852" t="s">
        <v>599</v>
      </c>
      <c r="B852">
        <v>167</v>
      </c>
      <c r="C852">
        <v>43</v>
      </c>
      <c r="D852">
        <v>7</v>
      </c>
      <c r="E852" t="s">
        <v>899</v>
      </c>
      <c r="F852" t="s">
        <v>910</v>
      </c>
      <c r="G852" t="s">
        <v>894</v>
      </c>
      <c r="H852" s="3" t="str">
        <f>VLOOKUP(A852,'Orders Dataset'!$A:$D,4,FALSE)</f>
        <v>Rajasthan</v>
      </c>
      <c r="I852" s="5" t="str">
        <f>VLOOKUP(A852,'Orders Dataset'!$A:$E,5,FALSE)</f>
        <v>Jaipur</v>
      </c>
    </row>
    <row r="853" spans="1:9" x14ac:dyDescent="0.25">
      <c r="A853" t="s">
        <v>672</v>
      </c>
      <c r="B853">
        <v>123</v>
      </c>
      <c r="C853">
        <v>17</v>
      </c>
      <c r="D853">
        <v>3</v>
      </c>
      <c r="E853" t="s">
        <v>892</v>
      </c>
      <c r="F853" t="s">
        <v>912</v>
      </c>
      <c r="G853" t="s">
        <v>891</v>
      </c>
      <c r="H853" s="3" t="str">
        <f>VLOOKUP(A853,'Orders Dataset'!$A:$D,4,FALSE)</f>
        <v>Himachal Pradesh</v>
      </c>
      <c r="I853" s="5" t="str">
        <f>VLOOKUP(A853,'Orders Dataset'!$A:$E,5,FALSE)</f>
        <v>Simla</v>
      </c>
    </row>
    <row r="854" spans="1:9" x14ac:dyDescent="0.25">
      <c r="A854" t="s">
        <v>279</v>
      </c>
      <c r="B854">
        <v>63</v>
      </c>
      <c r="C854">
        <v>14</v>
      </c>
      <c r="D854">
        <v>2</v>
      </c>
      <c r="E854" t="s">
        <v>899</v>
      </c>
      <c r="F854" t="s">
        <v>913</v>
      </c>
      <c r="G854" t="s">
        <v>891</v>
      </c>
      <c r="H854" s="3" t="str">
        <f>VLOOKUP(A854,'Orders Dataset'!$A:$D,4,FALSE)</f>
        <v>Madhya Pradesh</v>
      </c>
      <c r="I854" s="5" t="str">
        <f>VLOOKUP(A854,'Orders Dataset'!$A:$E,5,FALSE)</f>
        <v>Indore</v>
      </c>
    </row>
    <row r="855" spans="1:9" x14ac:dyDescent="0.25">
      <c r="A855" t="s">
        <v>237</v>
      </c>
      <c r="B855">
        <v>891</v>
      </c>
      <c r="C855">
        <v>0</v>
      </c>
      <c r="D855">
        <v>5</v>
      </c>
      <c r="E855" t="s">
        <v>899</v>
      </c>
      <c r="F855" t="s">
        <v>901</v>
      </c>
      <c r="G855" t="s">
        <v>891</v>
      </c>
      <c r="H855" s="3" t="str">
        <f>VLOOKUP(A855,'Orders Dataset'!$A:$D,4,FALSE)</f>
        <v>Gujarat</v>
      </c>
      <c r="I855" s="5" t="str">
        <f>VLOOKUP(A855,'Orders Dataset'!$A:$E,5,FALSE)</f>
        <v>Ahmedabad</v>
      </c>
    </row>
    <row r="856" spans="1:9" x14ac:dyDescent="0.25">
      <c r="A856" t="s">
        <v>726</v>
      </c>
      <c r="B856">
        <v>75</v>
      </c>
      <c r="C856">
        <v>28</v>
      </c>
      <c r="D856">
        <v>9</v>
      </c>
      <c r="E856" t="s">
        <v>899</v>
      </c>
      <c r="F856" t="s">
        <v>903</v>
      </c>
      <c r="G856" t="s">
        <v>902</v>
      </c>
      <c r="H856" s="3" t="str">
        <f>VLOOKUP(A856,'Orders Dataset'!$A:$D,4,FALSE)</f>
        <v>Madhya Pradesh</v>
      </c>
      <c r="I856" s="5" t="str">
        <f>VLOOKUP(A856,'Orders Dataset'!$A:$E,5,FALSE)</f>
        <v>Indore</v>
      </c>
    </row>
    <row r="857" spans="1:9" x14ac:dyDescent="0.25">
      <c r="A857" t="s">
        <v>546</v>
      </c>
      <c r="B857">
        <v>62</v>
      </c>
      <c r="C857">
        <v>6</v>
      </c>
      <c r="D857">
        <v>5</v>
      </c>
      <c r="E857" t="s">
        <v>899</v>
      </c>
      <c r="F857" t="s">
        <v>903</v>
      </c>
      <c r="G857" t="s">
        <v>891</v>
      </c>
      <c r="H857" s="3" t="str">
        <f>VLOOKUP(A857,'Orders Dataset'!$A:$D,4,FALSE)</f>
        <v>Uttar Pradesh</v>
      </c>
      <c r="I857" s="5" t="str">
        <f>VLOOKUP(A857,'Orders Dataset'!$A:$E,5,FALSE)</f>
        <v>Lucknow</v>
      </c>
    </row>
    <row r="858" spans="1:9" x14ac:dyDescent="0.25">
      <c r="A858" t="s">
        <v>573</v>
      </c>
      <c r="B858">
        <v>29</v>
      </c>
      <c r="C858">
        <v>-18</v>
      </c>
      <c r="D858">
        <v>7</v>
      </c>
      <c r="E858" t="s">
        <v>899</v>
      </c>
      <c r="F858" t="s">
        <v>905</v>
      </c>
      <c r="G858" t="s">
        <v>902</v>
      </c>
      <c r="H858" s="3" t="str">
        <f>VLOOKUP(A858,'Orders Dataset'!$A:$D,4,FALSE)</f>
        <v>Haryana</v>
      </c>
      <c r="I858" s="5" t="str">
        <f>VLOOKUP(A858,'Orders Dataset'!$A:$E,5,FALSE)</f>
        <v>Chandigarh</v>
      </c>
    </row>
    <row r="859" spans="1:9" x14ac:dyDescent="0.25">
      <c r="A859" t="s">
        <v>598</v>
      </c>
      <c r="B859">
        <v>168</v>
      </c>
      <c r="C859">
        <v>18</v>
      </c>
      <c r="D859">
        <v>6</v>
      </c>
      <c r="E859" t="s">
        <v>899</v>
      </c>
      <c r="F859" t="s">
        <v>907</v>
      </c>
      <c r="G859" t="s">
        <v>911</v>
      </c>
      <c r="H859" s="3" t="str">
        <f>VLOOKUP(A859,'Orders Dataset'!$A:$D,4,FALSE)</f>
        <v>Himachal Pradesh</v>
      </c>
      <c r="I859" s="5" t="str">
        <f>VLOOKUP(A859,'Orders Dataset'!$A:$E,5,FALSE)</f>
        <v>Simla</v>
      </c>
    </row>
    <row r="860" spans="1:9" x14ac:dyDescent="0.25">
      <c r="A860" t="s">
        <v>427</v>
      </c>
      <c r="B860">
        <v>70</v>
      </c>
      <c r="C860">
        <v>24</v>
      </c>
      <c r="D860">
        <v>3</v>
      </c>
      <c r="E860" t="s">
        <v>899</v>
      </c>
      <c r="F860" t="s">
        <v>907</v>
      </c>
      <c r="G860" t="s">
        <v>902</v>
      </c>
      <c r="H860" s="3" t="str">
        <f>VLOOKUP(A860,'Orders Dataset'!$A:$D,4,FALSE)</f>
        <v>Bihar</v>
      </c>
      <c r="I860" s="5" t="str">
        <f>VLOOKUP(A860,'Orders Dataset'!$A:$E,5,FALSE)</f>
        <v>Patna</v>
      </c>
    </row>
    <row r="861" spans="1:9" x14ac:dyDescent="0.25">
      <c r="A861" t="s">
        <v>397</v>
      </c>
      <c r="B861">
        <v>169</v>
      </c>
      <c r="C861">
        <v>55</v>
      </c>
      <c r="D861">
        <v>4</v>
      </c>
      <c r="E861" t="s">
        <v>899</v>
      </c>
      <c r="F861" t="s">
        <v>901</v>
      </c>
      <c r="G861" t="s">
        <v>911</v>
      </c>
      <c r="H861" s="3" t="str">
        <f>VLOOKUP(A861,'Orders Dataset'!$A:$D,4,FALSE)</f>
        <v>Rajasthan</v>
      </c>
      <c r="I861" s="5" t="str">
        <f>VLOOKUP(A861,'Orders Dataset'!$A:$E,5,FALSE)</f>
        <v>Jaipur</v>
      </c>
    </row>
    <row r="862" spans="1:9" x14ac:dyDescent="0.25">
      <c r="A862" t="s">
        <v>306</v>
      </c>
      <c r="B862">
        <v>32</v>
      </c>
      <c r="C862">
        <v>-8</v>
      </c>
      <c r="D862">
        <v>2</v>
      </c>
      <c r="E862" t="s">
        <v>899</v>
      </c>
      <c r="F862" t="s">
        <v>907</v>
      </c>
      <c r="G862" t="s">
        <v>891</v>
      </c>
      <c r="H862" s="3" t="str">
        <f>VLOOKUP(A862,'Orders Dataset'!$A:$D,4,FALSE)</f>
        <v>Madhya Pradesh</v>
      </c>
      <c r="I862" s="5" t="str">
        <f>VLOOKUP(A862,'Orders Dataset'!$A:$E,5,FALSE)</f>
        <v>Indore</v>
      </c>
    </row>
    <row r="863" spans="1:9" x14ac:dyDescent="0.25">
      <c r="A863" t="s">
        <v>260</v>
      </c>
      <c r="B863">
        <v>44</v>
      </c>
      <c r="C863">
        <v>-8</v>
      </c>
      <c r="D863">
        <v>3</v>
      </c>
      <c r="E863" t="s">
        <v>899</v>
      </c>
      <c r="F863" t="s">
        <v>907</v>
      </c>
      <c r="G863" t="s">
        <v>902</v>
      </c>
      <c r="H863" s="3" t="str">
        <f>VLOOKUP(A863,'Orders Dataset'!$A:$D,4,FALSE)</f>
        <v>Madhya Pradesh</v>
      </c>
      <c r="I863" s="5" t="str">
        <f>VLOOKUP(A863,'Orders Dataset'!$A:$E,5,FALSE)</f>
        <v>Indore</v>
      </c>
    </row>
    <row r="864" spans="1:9" x14ac:dyDescent="0.25">
      <c r="A864" t="s">
        <v>691</v>
      </c>
      <c r="B864">
        <v>116</v>
      </c>
      <c r="C864">
        <v>-56</v>
      </c>
      <c r="D864">
        <v>5</v>
      </c>
      <c r="E864" t="s">
        <v>899</v>
      </c>
      <c r="F864" t="s">
        <v>907</v>
      </c>
      <c r="G864" t="s">
        <v>897</v>
      </c>
      <c r="H864" s="3" t="str">
        <f>VLOOKUP(A864,'Orders Dataset'!$A:$D,4,FALSE)</f>
        <v>Goa</v>
      </c>
      <c r="I864" s="5" t="str">
        <f>VLOOKUP(A864,'Orders Dataset'!$A:$E,5,FALSE)</f>
        <v>Goa</v>
      </c>
    </row>
    <row r="865" spans="1:9" x14ac:dyDescent="0.25">
      <c r="A865" t="s">
        <v>613</v>
      </c>
      <c r="B865">
        <v>156</v>
      </c>
      <c r="C865">
        <v>21</v>
      </c>
      <c r="D865">
        <v>3</v>
      </c>
      <c r="E865" t="s">
        <v>892</v>
      </c>
      <c r="F865" t="s">
        <v>893</v>
      </c>
      <c r="G865" t="s">
        <v>891</v>
      </c>
      <c r="H865" s="3" t="str">
        <f>VLOOKUP(A865,'Orders Dataset'!$A:$D,4,FALSE)</f>
        <v>Madhya Pradesh</v>
      </c>
      <c r="I865" s="5" t="str">
        <f>VLOOKUP(A865,'Orders Dataset'!$A:$E,5,FALSE)</f>
        <v>Indore</v>
      </c>
    </row>
    <row r="866" spans="1:9" x14ac:dyDescent="0.25">
      <c r="A866" t="s">
        <v>478</v>
      </c>
      <c r="B866">
        <v>62</v>
      </c>
      <c r="C866">
        <v>6</v>
      </c>
      <c r="D866">
        <v>6</v>
      </c>
      <c r="E866" t="s">
        <v>899</v>
      </c>
      <c r="F866" t="s">
        <v>905</v>
      </c>
      <c r="G866" t="s">
        <v>891</v>
      </c>
      <c r="H866" s="3" t="str">
        <f>VLOOKUP(A866,'Orders Dataset'!$A:$D,4,FALSE)</f>
        <v>Delhi</v>
      </c>
      <c r="I866" s="5" t="str">
        <f>VLOOKUP(A866,'Orders Dataset'!$A:$E,5,FALSE)</f>
        <v>Delhi</v>
      </c>
    </row>
    <row r="867" spans="1:9" x14ac:dyDescent="0.25">
      <c r="A867" t="s">
        <v>59</v>
      </c>
      <c r="B867">
        <v>54</v>
      </c>
      <c r="C867">
        <v>1</v>
      </c>
      <c r="D867">
        <v>2</v>
      </c>
      <c r="E867" t="s">
        <v>899</v>
      </c>
      <c r="F867" t="s">
        <v>901</v>
      </c>
      <c r="G867" t="s">
        <v>902</v>
      </c>
      <c r="H867" s="3" t="str">
        <f>VLOOKUP(A867,'Orders Dataset'!$A:$D,4,FALSE)</f>
        <v>Himachal Pradesh</v>
      </c>
      <c r="I867" s="5" t="str">
        <f>VLOOKUP(A867,'Orders Dataset'!$A:$E,5,FALSE)</f>
        <v>Simla</v>
      </c>
    </row>
    <row r="868" spans="1:9" x14ac:dyDescent="0.25">
      <c r="A868" t="s">
        <v>286</v>
      </c>
      <c r="B868">
        <v>111</v>
      </c>
      <c r="C868">
        <v>11</v>
      </c>
      <c r="D868">
        <v>9</v>
      </c>
      <c r="E868" t="s">
        <v>899</v>
      </c>
      <c r="F868" t="s">
        <v>903</v>
      </c>
      <c r="G868" t="s">
        <v>897</v>
      </c>
      <c r="H868" s="3" t="str">
        <f>VLOOKUP(A868,'Orders Dataset'!$A:$D,4,FALSE)</f>
        <v>West Bengal</v>
      </c>
      <c r="I868" s="5" t="str">
        <f>VLOOKUP(A868,'Orders Dataset'!$A:$E,5,FALSE)</f>
        <v>Kolkata</v>
      </c>
    </row>
    <row r="869" spans="1:9" x14ac:dyDescent="0.25">
      <c r="A869" t="s">
        <v>609</v>
      </c>
      <c r="B869">
        <v>158</v>
      </c>
      <c r="C869">
        <v>-63</v>
      </c>
      <c r="D869">
        <v>4</v>
      </c>
      <c r="E869" t="s">
        <v>892</v>
      </c>
      <c r="F869" t="s">
        <v>893</v>
      </c>
      <c r="G869" t="s">
        <v>902</v>
      </c>
      <c r="H869" s="3" t="str">
        <f>VLOOKUP(A869,'Orders Dataset'!$A:$D,4,FALSE)</f>
        <v>West Bengal</v>
      </c>
      <c r="I869" s="5" t="str">
        <f>VLOOKUP(A869,'Orders Dataset'!$A:$E,5,FALSE)</f>
        <v>Kolkata</v>
      </c>
    </row>
    <row r="870" spans="1:9" x14ac:dyDescent="0.25">
      <c r="A870" t="s">
        <v>480</v>
      </c>
      <c r="B870">
        <v>7</v>
      </c>
      <c r="C870">
        <v>-3</v>
      </c>
      <c r="D870">
        <v>2</v>
      </c>
      <c r="E870" t="s">
        <v>899</v>
      </c>
      <c r="F870" t="s">
        <v>905</v>
      </c>
      <c r="G870" t="s">
        <v>902</v>
      </c>
      <c r="H870" s="3" t="str">
        <f>VLOOKUP(A870,'Orders Dataset'!$A:$D,4,FALSE)</f>
        <v>Karnataka</v>
      </c>
      <c r="I870" s="5" t="str">
        <f>VLOOKUP(A870,'Orders Dataset'!$A:$E,5,FALSE)</f>
        <v>Bangalore</v>
      </c>
    </row>
    <row r="871" spans="1:9" x14ac:dyDescent="0.25">
      <c r="A871" t="s">
        <v>606</v>
      </c>
      <c r="B871">
        <v>61</v>
      </c>
      <c r="C871">
        <v>28</v>
      </c>
      <c r="D871">
        <v>2</v>
      </c>
      <c r="E871" t="s">
        <v>899</v>
      </c>
      <c r="F871" t="s">
        <v>903</v>
      </c>
      <c r="G871" t="s">
        <v>902</v>
      </c>
      <c r="H871" s="3" t="str">
        <f>VLOOKUP(A871,'Orders Dataset'!$A:$D,4,FALSE)</f>
        <v>Gujarat</v>
      </c>
      <c r="I871" s="5" t="str">
        <f>VLOOKUP(A871,'Orders Dataset'!$A:$E,5,FALSE)</f>
        <v>Surat</v>
      </c>
    </row>
    <row r="872" spans="1:9" x14ac:dyDescent="0.25">
      <c r="A872" t="s">
        <v>30</v>
      </c>
      <c r="B872">
        <v>61</v>
      </c>
      <c r="C872">
        <v>-50</v>
      </c>
      <c r="D872">
        <v>4</v>
      </c>
      <c r="E872" t="s">
        <v>899</v>
      </c>
      <c r="F872" t="s">
        <v>903</v>
      </c>
      <c r="G872" t="s">
        <v>891</v>
      </c>
      <c r="H872" s="3" t="str">
        <f>VLOOKUP(A872,'Orders Dataset'!$A:$D,4,FALSE)</f>
        <v>Andhra Pradesh</v>
      </c>
      <c r="I872" s="5" t="str">
        <f>VLOOKUP(A872,'Orders Dataset'!$A:$E,5,FALSE)</f>
        <v>Hyderabad</v>
      </c>
    </row>
    <row r="873" spans="1:9" x14ac:dyDescent="0.25">
      <c r="A873" t="s">
        <v>77</v>
      </c>
      <c r="B873">
        <v>154</v>
      </c>
      <c r="C873">
        <v>26</v>
      </c>
      <c r="D873">
        <v>4</v>
      </c>
      <c r="E873" t="s">
        <v>889</v>
      </c>
      <c r="F873" t="s">
        <v>909</v>
      </c>
      <c r="G873" t="s">
        <v>891</v>
      </c>
      <c r="H873" s="3" t="str">
        <f>VLOOKUP(A873,'Orders Dataset'!$A:$D,4,FALSE)</f>
        <v>Maharashtra</v>
      </c>
      <c r="I873" s="5" t="str">
        <f>VLOOKUP(A873,'Orders Dataset'!$A:$E,5,FALSE)</f>
        <v>Mumbai</v>
      </c>
    </row>
    <row r="874" spans="1:9" x14ac:dyDescent="0.25">
      <c r="A874" t="s">
        <v>472</v>
      </c>
      <c r="B874">
        <v>62</v>
      </c>
      <c r="C874">
        <v>1</v>
      </c>
      <c r="D874">
        <v>3</v>
      </c>
      <c r="E874" t="s">
        <v>899</v>
      </c>
      <c r="F874" t="s">
        <v>901</v>
      </c>
      <c r="G874" t="s">
        <v>891</v>
      </c>
      <c r="H874" s="3" t="str">
        <f>VLOOKUP(A874,'Orders Dataset'!$A:$D,4,FALSE)</f>
        <v>Nagaland</v>
      </c>
      <c r="I874" s="5" t="str">
        <f>VLOOKUP(A874,'Orders Dataset'!$A:$E,5,FALSE)</f>
        <v>Kohima</v>
      </c>
    </row>
    <row r="875" spans="1:9" x14ac:dyDescent="0.25">
      <c r="A875" t="s">
        <v>595</v>
      </c>
      <c r="B875">
        <v>169</v>
      </c>
      <c r="C875">
        <v>38</v>
      </c>
      <c r="D875">
        <v>3</v>
      </c>
      <c r="E875" t="s">
        <v>899</v>
      </c>
      <c r="F875" t="s">
        <v>901</v>
      </c>
      <c r="G875" t="s">
        <v>911</v>
      </c>
      <c r="H875" s="3" t="str">
        <f>VLOOKUP(A875,'Orders Dataset'!$A:$D,4,FALSE)</f>
        <v>Maharashtra</v>
      </c>
      <c r="I875" s="5" t="str">
        <f>VLOOKUP(A875,'Orders Dataset'!$A:$E,5,FALSE)</f>
        <v>Pune</v>
      </c>
    </row>
    <row r="876" spans="1:9" x14ac:dyDescent="0.25">
      <c r="A876" t="s">
        <v>405</v>
      </c>
      <c r="B876">
        <v>61</v>
      </c>
      <c r="C876">
        <v>18</v>
      </c>
      <c r="D876">
        <v>2</v>
      </c>
      <c r="E876" t="s">
        <v>889</v>
      </c>
      <c r="F876" t="s">
        <v>909</v>
      </c>
      <c r="G876" t="s">
        <v>891</v>
      </c>
      <c r="H876" s="3" t="str">
        <f>VLOOKUP(A876,'Orders Dataset'!$A:$D,4,FALSE)</f>
        <v>Sikkim</v>
      </c>
      <c r="I876" s="5" t="str">
        <f>VLOOKUP(A876,'Orders Dataset'!$A:$E,5,FALSE)</f>
        <v>Gangtok</v>
      </c>
    </row>
    <row r="877" spans="1:9" x14ac:dyDescent="0.25">
      <c r="A877" t="s">
        <v>126</v>
      </c>
      <c r="B877">
        <v>61</v>
      </c>
      <c r="C877">
        <v>-23</v>
      </c>
      <c r="D877">
        <v>2</v>
      </c>
      <c r="E877" t="s">
        <v>899</v>
      </c>
      <c r="F877" t="s">
        <v>901</v>
      </c>
      <c r="G877" t="s">
        <v>891</v>
      </c>
      <c r="H877" s="3" t="str">
        <f>VLOOKUP(A877,'Orders Dataset'!$A:$D,4,FALSE)</f>
        <v>Maharashtra</v>
      </c>
      <c r="I877" s="5" t="str">
        <f>VLOOKUP(A877,'Orders Dataset'!$A:$E,5,FALSE)</f>
        <v>Pune</v>
      </c>
    </row>
    <row r="878" spans="1:9" x14ac:dyDescent="0.25">
      <c r="A878" t="s">
        <v>589</v>
      </c>
      <c r="B878">
        <v>171</v>
      </c>
      <c r="C878">
        <v>14</v>
      </c>
      <c r="D878">
        <v>9</v>
      </c>
      <c r="E878" t="s">
        <v>899</v>
      </c>
      <c r="F878" t="s">
        <v>913</v>
      </c>
      <c r="G878" t="s">
        <v>911</v>
      </c>
      <c r="H878" s="3" t="str">
        <f>VLOOKUP(A878,'Orders Dataset'!$A:$D,4,FALSE)</f>
        <v>West Bengal</v>
      </c>
      <c r="I878" s="5" t="str">
        <f>VLOOKUP(A878,'Orders Dataset'!$A:$E,5,FALSE)</f>
        <v>Kolkata</v>
      </c>
    </row>
    <row r="879" spans="1:9" x14ac:dyDescent="0.25">
      <c r="A879" t="s">
        <v>273</v>
      </c>
      <c r="B879">
        <v>60</v>
      </c>
      <c r="C879">
        <v>-49</v>
      </c>
      <c r="D879">
        <v>8</v>
      </c>
      <c r="E879" t="s">
        <v>899</v>
      </c>
      <c r="F879" t="s">
        <v>903</v>
      </c>
      <c r="G879" t="s">
        <v>891</v>
      </c>
      <c r="H879" s="3" t="str">
        <f>VLOOKUP(A879,'Orders Dataset'!$A:$D,4,FALSE)</f>
        <v>Gujarat</v>
      </c>
      <c r="I879" s="5" t="str">
        <f>VLOOKUP(A879,'Orders Dataset'!$A:$E,5,FALSE)</f>
        <v>Ahmedabad</v>
      </c>
    </row>
    <row r="880" spans="1:9" x14ac:dyDescent="0.25">
      <c r="A880" t="s">
        <v>828</v>
      </c>
      <c r="B880">
        <v>25</v>
      </c>
      <c r="C880">
        <v>-11</v>
      </c>
      <c r="D880">
        <v>1</v>
      </c>
      <c r="E880" t="s">
        <v>899</v>
      </c>
      <c r="F880" t="s">
        <v>907</v>
      </c>
      <c r="G880" t="s">
        <v>902</v>
      </c>
      <c r="H880" s="3" t="str">
        <f>VLOOKUP(A880,'Orders Dataset'!$A:$D,4,FALSE)</f>
        <v>Madhya Pradesh</v>
      </c>
      <c r="I880" s="5" t="str">
        <f>VLOOKUP(A880,'Orders Dataset'!$A:$E,5,FALSE)</f>
        <v>Indore</v>
      </c>
    </row>
    <row r="881" spans="1:9" x14ac:dyDescent="0.25">
      <c r="A881" t="s">
        <v>538</v>
      </c>
      <c r="B881">
        <v>163</v>
      </c>
      <c r="C881">
        <v>26</v>
      </c>
      <c r="D881">
        <v>4</v>
      </c>
      <c r="E881" t="s">
        <v>899</v>
      </c>
      <c r="F881" t="s">
        <v>913</v>
      </c>
      <c r="G881" t="s">
        <v>891</v>
      </c>
      <c r="H881" s="3" t="str">
        <f>VLOOKUP(A881,'Orders Dataset'!$A:$D,4,FALSE)</f>
        <v>Sikkim</v>
      </c>
      <c r="I881" s="5" t="str">
        <f>VLOOKUP(A881,'Orders Dataset'!$A:$E,5,FALSE)</f>
        <v>Gangtok</v>
      </c>
    </row>
    <row r="882" spans="1:9" x14ac:dyDescent="0.25">
      <c r="A882" t="s">
        <v>9</v>
      </c>
      <c r="B882">
        <v>173</v>
      </c>
      <c r="C882">
        <v>86</v>
      </c>
      <c r="D882">
        <v>1</v>
      </c>
      <c r="E882" t="s">
        <v>889</v>
      </c>
      <c r="F882" t="s">
        <v>896</v>
      </c>
      <c r="G882" t="s">
        <v>911</v>
      </c>
      <c r="H882" s="3" t="str">
        <f>VLOOKUP(A882,'Orders Dataset'!$A:$D,4,FALSE)</f>
        <v>Delhi</v>
      </c>
      <c r="I882" s="5" t="str">
        <f>VLOOKUP(A882,'Orders Dataset'!$A:$E,5,FALSE)</f>
        <v>Delhi</v>
      </c>
    </row>
    <row r="883" spans="1:9" x14ac:dyDescent="0.25">
      <c r="A883" t="s">
        <v>73</v>
      </c>
      <c r="B883">
        <v>257</v>
      </c>
      <c r="C883">
        <v>-3</v>
      </c>
      <c r="D883">
        <v>2</v>
      </c>
      <c r="E883" t="s">
        <v>892</v>
      </c>
      <c r="F883" t="s">
        <v>895</v>
      </c>
      <c r="G883" t="s">
        <v>902</v>
      </c>
      <c r="H883" s="3" t="str">
        <f>VLOOKUP(A883,'Orders Dataset'!$A:$D,4,FALSE)</f>
        <v>Kerala</v>
      </c>
      <c r="I883" s="5" t="str">
        <f>VLOOKUP(A883,'Orders Dataset'!$A:$E,5,FALSE)</f>
        <v>Thiruvananthapuram</v>
      </c>
    </row>
    <row r="884" spans="1:9" x14ac:dyDescent="0.25">
      <c r="A884" t="s">
        <v>701</v>
      </c>
      <c r="B884">
        <v>108</v>
      </c>
      <c r="C884">
        <v>37</v>
      </c>
      <c r="D884">
        <v>2</v>
      </c>
      <c r="E884" t="s">
        <v>899</v>
      </c>
      <c r="F884" t="s">
        <v>907</v>
      </c>
      <c r="G884" t="s">
        <v>897</v>
      </c>
      <c r="H884" s="3" t="str">
        <f>VLOOKUP(A884,'Orders Dataset'!$A:$D,4,FALSE)</f>
        <v>Rajasthan</v>
      </c>
      <c r="I884" s="5" t="str">
        <f>VLOOKUP(A884,'Orders Dataset'!$A:$E,5,FALSE)</f>
        <v>Udaipur</v>
      </c>
    </row>
    <row r="885" spans="1:9" x14ac:dyDescent="0.25">
      <c r="A885" t="s">
        <v>584</v>
      </c>
      <c r="B885">
        <v>177</v>
      </c>
      <c r="C885">
        <v>41</v>
      </c>
      <c r="D885">
        <v>4</v>
      </c>
      <c r="E885" t="s">
        <v>899</v>
      </c>
      <c r="F885" t="s">
        <v>913</v>
      </c>
      <c r="G885" t="s">
        <v>911</v>
      </c>
      <c r="H885" s="3" t="str">
        <f>VLOOKUP(A885,'Orders Dataset'!$A:$D,4,FALSE)</f>
        <v>Nagaland</v>
      </c>
      <c r="I885" s="5" t="str">
        <f>VLOOKUP(A885,'Orders Dataset'!$A:$E,5,FALSE)</f>
        <v>Kohima</v>
      </c>
    </row>
    <row r="886" spans="1:9" x14ac:dyDescent="0.25">
      <c r="A886" t="s">
        <v>18</v>
      </c>
      <c r="B886">
        <v>106</v>
      </c>
      <c r="C886">
        <v>15</v>
      </c>
      <c r="D886">
        <v>7</v>
      </c>
      <c r="E886" t="s">
        <v>899</v>
      </c>
      <c r="F886" t="s">
        <v>903</v>
      </c>
      <c r="G886" t="s">
        <v>897</v>
      </c>
      <c r="H886" s="3" t="str">
        <f>VLOOKUP(A886,'Orders Dataset'!$A:$D,4,FALSE)</f>
        <v>Madhya Pradesh</v>
      </c>
      <c r="I886" s="5" t="str">
        <f>VLOOKUP(A886,'Orders Dataset'!$A:$E,5,FALSE)</f>
        <v>Indore</v>
      </c>
    </row>
    <row r="887" spans="1:9" x14ac:dyDescent="0.25">
      <c r="A887" t="s">
        <v>488</v>
      </c>
      <c r="B887">
        <v>41</v>
      </c>
      <c r="C887">
        <v>-14</v>
      </c>
      <c r="D887">
        <v>5</v>
      </c>
      <c r="E887" t="s">
        <v>899</v>
      </c>
      <c r="F887" t="s">
        <v>908</v>
      </c>
      <c r="G887" t="s">
        <v>902</v>
      </c>
      <c r="H887" s="3" t="str">
        <f>VLOOKUP(A887,'Orders Dataset'!$A:$D,4,FALSE)</f>
        <v>Bihar</v>
      </c>
      <c r="I887" s="5" t="str">
        <f>VLOOKUP(A887,'Orders Dataset'!$A:$E,5,FALSE)</f>
        <v>Patna</v>
      </c>
    </row>
    <row r="888" spans="1:9" x14ac:dyDescent="0.25">
      <c r="A888" t="s">
        <v>142</v>
      </c>
      <c r="B888">
        <v>168</v>
      </c>
      <c r="C888">
        <v>-10</v>
      </c>
      <c r="D888">
        <v>3</v>
      </c>
      <c r="E888" t="s">
        <v>889</v>
      </c>
      <c r="F888" t="s">
        <v>909</v>
      </c>
      <c r="G888" t="s">
        <v>902</v>
      </c>
      <c r="H888" s="3" t="str">
        <f>VLOOKUP(A888,'Orders Dataset'!$A:$D,4,FALSE)</f>
        <v>Nagaland</v>
      </c>
      <c r="I888" s="5" t="str">
        <f>VLOOKUP(A888,'Orders Dataset'!$A:$E,5,FALSE)</f>
        <v>Kohima</v>
      </c>
    </row>
    <row r="889" spans="1:9" x14ac:dyDescent="0.25">
      <c r="A889" t="s">
        <v>670</v>
      </c>
      <c r="B889">
        <v>60</v>
      </c>
      <c r="C889">
        <v>21</v>
      </c>
      <c r="D889">
        <v>4</v>
      </c>
      <c r="E889" t="s">
        <v>899</v>
      </c>
      <c r="F889" t="s">
        <v>907</v>
      </c>
      <c r="G889" t="s">
        <v>891</v>
      </c>
      <c r="H889" s="3" t="str">
        <f>VLOOKUP(A889,'Orders Dataset'!$A:$D,4,FALSE)</f>
        <v>West Bengal</v>
      </c>
      <c r="I889" s="5" t="str">
        <f>VLOOKUP(A889,'Orders Dataset'!$A:$E,5,FALSE)</f>
        <v>Kolkata</v>
      </c>
    </row>
    <row r="890" spans="1:9" x14ac:dyDescent="0.25">
      <c r="A890" t="s">
        <v>832</v>
      </c>
      <c r="B890">
        <v>31</v>
      </c>
      <c r="C890">
        <v>-11</v>
      </c>
      <c r="D890">
        <v>4</v>
      </c>
      <c r="E890" t="s">
        <v>899</v>
      </c>
      <c r="F890" t="s">
        <v>907</v>
      </c>
      <c r="G890" t="s">
        <v>891</v>
      </c>
      <c r="H890" s="3" t="str">
        <f>VLOOKUP(A890,'Orders Dataset'!$A:$D,4,FALSE)</f>
        <v>Goa</v>
      </c>
      <c r="I890" s="5" t="str">
        <f>VLOOKUP(A890,'Orders Dataset'!$A:$E,5,FALSE)</f>
        <v>Goa</v>
      </c>
    </row>
    <row r="891" spans="1:9" x14ac:dyDescent="0.25">
      <c r="A891" t="s">
        <v>678</v>
      </c>
      <c r="B891">
        <v>179</v>
      </c>
      <c r="C891">
        <v>0</v>
      </c>
      <c r="D891">
        <v>2</v>
      </c>
      <c r="E891" t="s">
        <v>899</v>
      </c>
      <c r="F891" t="s">
        <v>901</v>
      </c>
      <c r="G891" t="s">
        <v>911</v>
      </c>
      <c r="H891" s="3" t="str">
        <f>VLOOKUP(A891,'Orders Dataset'!$A:$D,4,FALSE)</f>
        <v>Maharashtra</v>
      </c>
      <c r="I891" s="5" t="str">
        <f>VLOOKUP(A891,'Orders Dataset'!$A:$E,5,FALSE)</f>
        <v>Mumbai</v>
      </c>
    </row>
    <row r="892" spans="1:9" x14ac:dyDescent="0.25">
      <c r="A892" t="s">
        <v>277</v>
      </c>
      <c r="B892">
        <v>106</v>
      </c>
      <c r="C892">
        <v>12</v>
      </c>
      <c r="D892">
        <v>3</v>
      </c>
      <c r="E892" t="s">
        <v>899</v>
      </c>
      <c r="F892" t="s">
        <v>900</v>
      </c>
      <c r="G892" t="s">
        <v>897</v>
      </c>
      <c r="H892" s="3" t="str">
        <f>VLOOKUP(A892,'Orders Dataset'!$A:$D,4,FALSE)</f>
        <v>Madhya Pradesh</v>
      </c>
      <c r="I892" s="5" t="str">
        <f>VLOOKUP(A892,'Orders Dataset'!$A:$E,5,FALSE)</f>
        <v>Indore</v>
      </c>
    </row>
    <row r="893" spans="1:9" x14ac:dyDescent="0.25">
      <c r="A893" t="s">
        <v>418</v>
      </c>
      <c r="B893">
        <v>60</v>
      </c>
      <c r="C893">
        <v>13</v>
      </c>
      <c r="D893">
        <v>2</v>
      </c>
      <c r="E893" t="s">
        <v>899</v>
      </c>
      <c r="F893" t="s">
        <v>910</v>
      </c>
      <c r="G893" t="s">
        <v>891</v>
      </c>
      <c r="H893" s="3" t="str">
        <f>VLOOKUP(A893,'Orders Dataset'!$A:$D,4,FALSE)</f>
        <v>Madhya Pradesh</v>
      </c>
      <c r="I893" s="5" t="str">
        <f>VLOOKUP(A893,'Orders Dataset'!$A:$E,5,FALSE)</f>
        <v>Bhopal</v>
      </c>
    </row>
    <row r="894" spans="1:9" x14ac:dyDescent="0.25">
      <c r="A894" t="s">
        <v>136</v>
      </c>
      <c r="B894">
        <v>180</v>
      </c>
      <c r="C894">
        <v>5</v>
      </c>
      <c r="D894">
        <v>3</v>
      </c>
      <c r="E894" t="s">
        <v>899</v>
      </c>
      <c r="F894" t="s">
        <v>900</v>
      </c>
      <c r="G894" t="s">
        <v>911</v>
      </c>
      <c r="H894" s="3" t="str">
        <f>VLOOKUP(A894,'Orders Dataset'!$A:$D,4,FALSE)</f>
        <v>Madhya Pradesh</v>
      </c>
      <c r="I894" s="5" t="str">
        <f>VLOOKUP(A894,'Orders Dataset'!$A:$E,5,FALSE)</f>
        <v>Bhopal</v>
      </c>
    </row>
    <row r="895" spans="1:9" x14ac:dyDescent="0.25">
      <c r="A895" t="s">
        <v>413</v>
      </c>
      <c r="B895">
        <v>60</v>
      </c>
      <c r="C895">
        <v>-10</v>
      </c>
      <c r="D895">
        <v>2</v>
      </c>
      <c r="E895" t="s">
        <v>892</v>
      </c>
      <c r="F895" t="s">
        <v>912</v>
      </c>
      <c r="G895" t="s">
        <v>891</v>
      </c>
      <c r="H895" s="3" t="str">
        <f>VLOOKUP(A895,'Orders Dataset'!$A:$D,4,FALSE)</f>
        <v>Madhya Pradesh</v>
      </c>
      <c r="I895" s="5" t="str">
        <f>VLOOKUP(A895,'Orders Dataset'!$A:$E,5,FALSE)</f>
        <v>Indore</v>
      </c>
    </row>
    <row r="896" spans="1:9" x14ac:dyDescent="0.25">
      <c r="A896" t="s">
        <v>775</v>
      </c>
      <c r="B896">
        <v>59</v>
      </c>
      <c r="C896">
        <v>25</v>
      </c>
      <c r="D896">
        <v>3</v>
      </c>
      <c r="E896" t="s">
        <v>899</v>
      </c>
      <c r="F896" t="s">
        <v>907</v>
      </c>
      <c r="G896" t="s">
        <v>891</v>
      </c>
      <c r="H896" s="3" t="str">
        <f>VLOOKUP(A896,'Orders Dataset'!$A:$D,4,FALSE)</f>
        <v>Himachal Pradesh</v>
      </c>
      <c r="I896" s="5" t="str">
        <f>VLOOKUP(A896,'Orders Dataset'!$A:$E,5,FALSE)</f>
        <v>Simla</v>
      </c>
    </row>
    <row r="897" spans="1:9" x14ac:dyDescent="0.25">
      <c r="A897" t="s">
        <v>191</v>
      </c>
      <c r="B897">
        <v>170</v>
      </c>
      <c r="C897">
        <v>73</v>
      </c>
      <c r="D897">
        <v>2</v>
      </c>
      <c r="E897" t="s">
        <v>889</v>
      </c>
      <c r="F897" t="s">
        <v>909</v>
      </c>
      <c r="G897" t="s">
        <v>902</v>
      </c>
      <c r="H897" s="3" t="str">
        <f>VLOOKUP(A897,'Orders Dataset'!$A:$D,4,FALSE)</f>
        <v>Goa</v>
      </c>
      <c r="I897" s="5" t="str">
        <f>VLOOKUP(A897,'Orders Dataset'!$A:$E,5,FALSE)</f>
        <v>Goa</v>
      </c>
    </row>
    <row r="898" spans="1:9" x14ac:dyDescent="0.25">
      <c r="A898" t="s">
        <v>402</v>
      </c>
      <c r="B898">
        <v>59</v>
      </c>
      <c r="C898">
        <v>10</v>
      </c>
      <c r="D898">
        <v>2</v>
      </c>
      <c r="E898" t="s">
        <v>899</v>
      </c>
      <c r="F898" t="s">
        <v>903</v>
      </c>
      <c r="G898" t="s">
        <v>891</v>
      </c>
      <c r="H898" s="3" t="str">
        <f>VLOOKUP(A898,'Orders Dataset'!$A:$D,4,FALSE)</f>
        <v>Maharashtra</v>
      </c>
      <c r="I898" s="5" t="str">
        <f>VLOOKUP(A898,'Orders Dataset'!$A:$E,5,FALSE)</f>
        <v>Mumbai</v>
      </c>
    </row>
    <row r="899" spans="1:9" x14ac:dyDescent="0.25">
      <c r="A899" t="s">
        <v>555</v>
      </c>
      <c r="B899">
        <v>24</v>
      </c>
      <c r="C899">
        <v>-21</v>
      </c>
      <c r="D899">
        <v>7</v>
      </c>
      <c r="E899" t="s">
        <v>899</v>
      </c>
      <c r="F899" t="s">
        <v>905</v>
      </c>
      <c r="G899" t="s">
        <v>891</v>
      </c>
      <c r="H899" s="3" t="str">
        <f>VLOOKUP(A899,'Orders Dataset'!$A:$D,4,FALSE)</f>
        <v>Goa</v>
      </c>
      <c r="I899" s="5" t="str">
        <f>VLOOKUP(A899,'Orders Dataset'!$A:$E,5,FALSE)</f>
        <v>Goa</v>
      </c>
    </row>
    <row r="900" spans="1:9" x14ac:dyDescent="0.25">
      <c r="A900" t="s">
        <v>635</v>
      </c>
      <c r="B900">
        <v>105</v>
      </c>
      <c r="C900">
        <v>-26</v>
      </c>
      <c r="D900">
        <v>8</v>
      </c>
      <c r="E900" t="s">
        <v>899</v>
      </c>
      <c r="F900" t="s">
        <v>908</v>
      </c>
      <c r="G900" t="s">
        <v>897</v>
      </c>
      <c r="H900" s="3" t="str">
        <f>VLOOKUP(A900,'Orders Dataset'!$A:$D,4,FALSE)</f>
        <v>Gujarat</v>
      </c>
      <c r="I900" s="5" t="str">
        <f>VLOOKUP(A900,'Orders Dataset'!$A:$E,5,FALSE)</f>
        <v>Surat</v>
      </c>
    </row>
    <row r="901" spans="1:9" x14ac:dyDescent="0.25">
      <c r="A901" t="s">
        <v>415</v>
      </c>
      <c r="B901">
        <v>103</v>
      </c>
      <c r="C901">
        <v>46</v>
      </c>
      <c r="D901">
        <v>2</v>
      </c>
      <c r="E901" t="s">
        <v>899</v>
      </c>
      <c r="F901" t="s">
        <v>901</v>
      </c>
      <c r="G901" t="s">
        <v>897</v>
      </c>
      <c r="H901" s="3" t="str">
        <f>VLOOKUP(A901,'Orders Dataset'!$A:$D,4,FALSE)</f>
        <v>West Bengal</v>
      </c>
      <c r="I901" s="5" t="str">
        <f>VLOOKUP(A901,'Orders Dataset'!$A:$E,5,FALSE)</f>
        <v>Kolkata</v>
      </c>
    </row>
    <row r="902" spans="1:9" x14ac:dyDescent="0.25">
      <c r="A902" t="s">
        <v>38</v>
      </c>
      <c r="B902">
        <v>171</v>
      </c>
      <c r="C902">
        <v>17</v>
      </c>
      <c r="D902">
        <v>6</v>
      </c>
      <c r="E902" t="s">
        <v>899</v>
      </c>
      <c r="F902" t="s">
        <v>910</v>
      </c>
      <c r="G902" t="s">
        <v>902</v>
      </c>
      <c r="H902" s="3" t="str">
        <f>VLOOKUP(A902,'Orders Dataset'!$A:$D,4,FALSE)</f>
        <v>Gujarat</v>
      </c>
      <c r="I902" s="5" t="str">
        <f>VLOOKUP(A902,'Orders Dataset'!$A:$E,5,FALSE)</f>
        <v>Surat</v>
      </c>
    </row>
    <row r="903" spans="1:9" x14ac:dyDescent="0.25">
      <c r="A903" t="s">
        <v>286</v>
      </c>
      <c r="B903">
        <v>102</v>
      </c>
      <c r="C903">
        <v>13</v>
      </c>
      <c r="D903">
        <v>2</v>
      </c>
      <c r="E903" t="s">
        <v>899</v>
      </c>
      <c r="F903" t="s">
        <v>907</v>
      </c>
      <c r="G903" t="s">
        <v>897</v>
      </c>
      <c r="H903" s="3" t="str">
        <f>VLOOKUP(A903,'Orders Dataset'!$A:$D,4,FALSE)</f>
        <v>West Bengal</v>
      </c>
      <c r="I903" s="5" t="str">
        <f>VLOOKUP(A903,'Orders Dataset'!$A:$E,5,FALSE)</f>
        <v>Kolkata</v>
      </c>
    </row>
    <row r="904" spans="1:9" x14ac:dyDescent="0.25">
      <c r="A904" t="s">
        <v>144</v>
      </c>
      <c r="B904">
        <v>98</v>
      </c>
      <c r="C904">
        <v>12</v>
      </c>
      <c r="D904">
        <v>2</v>
      </c>
      <c r="E904" t="s">
        <v>899</v>
      </c>
      <c r="F904" t="s">
        <v>903</v>
      </c>
      <c r="G904" t="s">
        <v>897</v>
      </c>
      <c r="H904" s="3" t="str">
        <f>VLOOKUP(A904,'Orders Dataset'!$A:$D,4,FALSE)</f>
        <v>Madhya Pradesh</v>
      </c>
      <c r="I904" s="5" t="str">
        <f>VLOOKUP(A904,'Orders Dataset'!$A:$E,5,FALSE)</f>
        <v>Bhopal</v>
      </c>
    </row>
    <row r="905" spans="1:9" x14ac:dyDescent="0.25">
      <c r="A905" t="s">
        <v>611</v>
      </c>
      <c r="B905">
        <v>59</v>
      </c>
      <c r="C905">
        <v>10</v>
      </c>
      <c r="D905">
        <v>4</v>
      </c>
      <c r="E905" t="s">
        <v>899</v>
      </c>
      <c r="F905" t="s">
        <v>908</v>
      </c>
      <c r="G905" t="s">
        <v>891</v>
      </c>
      <c r="H905" s="3" t="str">
        <f>VLOOKUP(A905,'Orders Dataset'!$A:$D,4,FALSE)</f>
        <v>Andhra Pradesh</v>
      </c>
      <c r="I905" s="5" t="str">
        <f>VLOOKUP(A905,'Orders Dataset'!$A:$E,5,FALSE)</f>
        <v>Hyderabad</v>
      </c>
    </row>
    <row r="906" spans="1:9" x14ac:dyDescent="0.25">
      <c r="A906" t="s">
        <v>237</v>
      </c>
      <c r="B906">
        <v>189</v>
      </c>
      <c r="C906">
        <v>60</v>
      </c>
      <c r="D906">
        <v>4</v>
      </c>
      <c r="E906" t="s">
        <v>892</v>
      </c>
      <c r="F906" t="s">
        <v>912</v>
      </c>
      <c r="G906" t="s">
        <v>911</v>
      </c>
      <c r="H906" s="3" t="str">
        <f>VLOOKUP(A906,'Orders Dataset'!$A:$D,4,FALSE)</f>
        <v>Gujarat</v>
      </c>
      <c r="I906" s="5" t="str">
        <f>VLOOKUP(A906,'Orders Dataset'!$A:$E,5,FALSE)</f>
        <v>Ahmedabad</v>
      </c>
    </row>
    <row r="907" spans="1:9" x14ac:dyDescent="0.25">
      <c r="A907" t="s">
        <v>779</v>
      </c>
      <c r="B907">
        <v>58</v>
      </c>
      <c r="C907">
        <v>-52</v>
      </c>
      <c r="D907">
        <v>3</v>
      </c>
      <c r="E907" t="s">
        <v>892</v>
      </c>
      <c r="F907" t="s">
        <v>893</v>
      </c>
      <c r="G907" t="s">
        <v>891</v>
      </c>
      <c r="H907" s="3" t="str">
        <f>VLOOKUP(A907,'Orders Dataset'!$A:$D,4,FALSE)</f>
        <v>Gujarat</v>
      </c>
      <c r="I907" s="5" t="str">
        <f>VLOOKUP(A907,'Orders Dataset'!$A:$E,5,FALSE)</f>
        <v>Ahmedabad</v>
      </c>
    </row>
    <row r="908" spans="1:9" x14ac:dyDescent="0.25">
      <c r="A908" t="s">
        <v>279</v>
      </c>
      <c r="B908">
        <v>60</v>
      </c>
      <c r="C908">
        <v>3</v>
      </c>
      <c r="D908">
        <v>3</v>
      </c>
      <c r="E908" t="s">
        <v>899</v>
      </c>
      <c r="F908" t="s">
        <v>901</v>
      </c>
      <c r="G908" t="s">
        <v>902</v>
      </c>
      <c r="H908" s="3" t="str">
        <f>VLOOKUP(A908,'Orders Dataset'!$A:$D,4,FALSE)</f>
        <v>Madhya Pradesh</v>
      </c>
      <c r="I908" s="5" t="str">
        <f>VLOOKUP(A908,'Orders Dataset'!$A:$E,5,FALSE)</f>
        <v>Indore</v>
      </c>
    </row>
    <row r="909" spans="1:9" x14ac:dyDescent="0.25">
      <c r="A909" t="s">
        <v>777</v>
      </c>
      <c r="B909">
        <v>58</v>
      </c>
      <c r="C909">
        <v>-8</v>
      </c>
      <c r="D909">
        <v>2</v>
      </c>
      <c r="E909" t="s">
        <v>899</v>
      </c>
      <c r="F909" t="s">
        <v>901</v>
      </c>
      <c r="G909" t="s">
        <v>891</v>
      </c>
      <c r="H909" s="3" t="str">
        <f>VLOOKUP(A909,'Orders Dataset'!$A:$D,4,FALSE)</f>
        <v>Maharashtra</v>
      </c>
      <c r="I909" s="5" t="str">
        <f>VLOOKUP(A909,'Orders Dataset'!$A:$E,5,FALSE)</f>
        <v>Mumbai</v>
      </c>
    </row>
    <row r="910" spans="1:9" x14ac:dyDescent="0.25">
      <c r="A910" t="s">
        <v>726</v>
      </c>
      <c r="B910">
        <v>94</v>
      </c>
      <c r="C910">
        <v>20</v>
      </c>
      <c r="D910">
        <v>2</v>
      </c>
      <c r="E910" t="s">
        <v>892</v>
      </c>
      <c r="F910" t="s">
        <v>912</v>
      </c>
      <c r="G910" t="s">
        <v>902</v>
      </c>
      <c r="H910" s="3" t="str">
        <f>VLOOKUP(A910,'Orders Dataset'!$A:$D,4,FALSE)</f>
        <v>Madhya Pradesh</v>
      </c>
      <c r="I910" s="5" t="str">
        <f>VLOOKUP(A910,'Orders Dataset'!$A:$E,5,FALSE)</f>
        <v>Indore</v>
      </c>
    </row>
    <row r="911" spans="1:9" x14ac:dyDescent="0.25">
      <c r="A911" t="s">
        <v>136</v>
      </c>
      <c r="B911">
        <v>193</v>
      </c>
      <c r="C911">
        <v>-166</v>
      </c>
      <c r="D911">
        <v>3</v>
      </c>
      <c r="E911" t="s">
        <v>899</v>
      </c>
      <c r="F911" t="s">
        <v>901</v>
      </c>
      <c r="G911" t="s">
        <v>894</v>
      </c>
      <c r="H911" s="3" t="str">
        <f>VLOOKUP(A911,'Orders Dataset'!$A:$D,4,FALSE)</f>
        <v>Madhya Pradesh</v>
      </c>
      <c r="I911" s="5" t="str">
        <f>VLOOKUP(A911,'Orders Dataset'!$A:$E,5,FALSE)</f>
        <v>Bhopal</v>
      </c>
    </row>
    <row r="912" spans="1:9" x14ac:dyDescent="0.25">
      <c r="A912" t="s">
        <v>166</v>
      </c>
      <c r="B912">
        <v>199</v>
      </c>
      <c r="C912">
        <v>0</v>
      </c>
      <c r="D912">
        <v>4</v>
      </c>
      <c r="E912" t="s">
        <v>899</v>
      </c>
      <c r="F912" t="s">
        <v>907</v>
      </c>
      <c r="G912" t="s">
        <v>894</v>
      </c>
      <c r="H912" s="3" t="str">
        <f>VLOOKUP(A912,'Orders Dataset'!$A:$D,4,FALSE)</f>
        <v>Maharashtra</v>
      </c>
      <c r="I912" s="5" t="str">
        <f>VLOOKUP(A912,'Orders Dataset'!$A:$E,5,FALSE)</f>
        <v>Pune</v>
      </c>
    </row>
    <row r="913" spans="1:9" x14ac:dyDescent="0.25">
      <c r="A913" t="s">
        <v>350</v>
      </c>
      <c r="B913">
        <v>202</v>
      </c>
      <c r="C913">
        <v>89</v>
      </c>
      <c r="D913">
        <v>9</v>
      </c>
      <c r="E913" t="s">
        <v>899</v>
      </c>
      <c r="F913" t="s">
        <v>910</v>
      </c>
      <c r="G913" t="s">
        <v>894</v>
      </c>
      <c r="H913" s="3" t="str">
        <f>VLOOKUP(A913,'Orders Dataset'!$A:$D,4,FALSE)</f>
        <v>Punjab</v>
      </c>
      <c r="I913" s="5" t="str">
        <f>VLOOKUP(A913,'Orders Dataset'!$A:$E,5,FALSE)</f>
        <v>Chandigarh</v>
      </c>
    </row>
    <row r="914" spans="1:9" x14ac:dyDescent="0.25">
      <c r="A914" t="s">
        <v>350</v>
      </c>
      <c r="B914">
        <v>58</v>
      </c>
      <c r="C914">
        <v>17</v>
      </c>
      <c r="D914">
        <v>2</v>
      </c>
      <c r="E914" t="s">
        <v>899</v>
      </c>
      <c r="F914" t="s">
        <v>903</v>
      </c>
      <c r="G914" t="s">
        <v>891</v>
      </c>
      <c r="H914" s="3" t="str">
        <f>VLOOKUP(A914,'Orders Dataset'!$A:$D,4,FALSE)</f>
        <v>Punjab</v>
      </c>
      <c r="I914" s="5" t="str">
        <f>VLOOKUP(A914,'Orders Dataset'!$A:$E,5,FALSE)</f>
        <v>Chandigarh</v>
      </c>
    </row>
    <row r="915" spans="1:9" x14ac:dyDescent="0.25">
      <c r="A915" t="s">
        <v>782</v>
      </c>
      <c r="B915">
        <v>57</v>
      </c>
      <c r="C915">
        <v>-28</v>
      </c>
      <c r="D915">
        <v>2</v>
      </c>
      <c r="E915" t="s">
        <v>899</v>
      </c>
      <c r="F915" t="s">
        <v>904</v>
      </c>
      <c r="G915" t="s">
        <v>891</v>
      </c>
      <c r="H915" s="3" t="str">
        <f>VLOOKUP(A915,'Orders Dataset'!$A:$D,4,FALSE)</f>
        <v>Madhya Pradesh</v>
      </c>
      <c r="I915" s="5" t="str">
        <f>VLOOKUP(A915,'Orders Dataset'!$A:$E,5,FALSE)</f>
        <v>Indore</v>
      </c>
    </row>
    <row r="916" spans="1:9" x14ac:dyDescent="0.25">
      <c r="A916" t="s">
        <v>413</v>
      </c>
      <c r="B916">
        <v>204</v>
      </c>
      <c r="C916">
        <v>-94</v>
      </c>
      <c r="D916">
        <v>4</v>
      </c>
      <c r="E916" t="s">
        <v>899</v>
      </c>
      <c r="F916" t="s">
        <v>903</v>
      </c>
      <c r="G916" t="s">
        <v>894</v>
      </c>
      <c r="H916" s="3" t="str">
        <f>VLOOKUP(A916,'Orders Dataset'!$A:$D,4,FALSE)</f>
        <v>Madhya Pradesh</v>
      </c>
      <c r="I916" s="5" t="str">
        <f>VLOOKUP(A916,'Orders Dataset'!$A:$E,5,FALSE)</f>
        <v>Indore</v>
      </c>
    </row>
    <row r="917" spans="1:9" x14ac:dyDescent="0.25">
      <c r="A917" t="s">
        <v>393</v>
      </c>
      <c r="B917">
        <v>98</v>
      </c>
      <c r="C917">
        <v>-12</v>
      </c>
      <c r="D917">
        <v>2</v>
      </c>
      <c r="E917" t="s">
        <v>889</v>
      </c>
      <c r="F917" t="s">
        <v>890</v>
      </c>
      <c r="G917" t="s">
        <v>897</v>
      </c>
      <c r="H917" s="3" t="str">
        <f>VLOOKUP(A917,'Orders Dataset'!$A:$D,4,FALSE)</f>
        <v>Himachal Pradesh</v>
      </c>
      <c r="I917" s="5" t="str">
        <f>VLOOKUP(A917,'Orders Dataset'!$A:$E,5,FALSE)</f>
        <v>Simla</v>
      </c>
    </row>
    <row r="918" spans="1:9" x14ac:dyDescent="0.25">
      <c r="A918" t="s">
        <v>369</v>
      </c>
      <c r="B918">
        <v>22</v>
      </c>
      <c r="C918">
        <v>-12</v>
      </c>
      <c r="D918">
        <v>3</v>
      </c>
      <c r="E918" t="s">
        <v>899</v>
      </c>
      <c r="F918" t="s">
        <v>907</v>
      </c>
      <c r="G918" t="s">
        <v>891</v>
      </c>
      <c r="H918" s="3" t="str">
        <f>VLOOKUP(A918,'Orders Dataset'!$A:$D,4,FALSE)</f>
        <v>Madhya Pradesh</v>
      </c>
      <c r="I918" s="5" t="str">
        <f>VLOOKUP(A918,'Orders Dataset'!$A:$E,5,FALSE)</f>
        <v>Indore</v>
      </c>
    </row>
    <row r="919" spans="1:9" x14ac:dyDescent="0.25">
      <c r="A919" t="s">
        <v>246</v>
      </c>
      <c r="B919">
        <v>97</v>
      </c>
      <c r="C919">
        <v>17</v>
      </c>
      <c r="D919">
        <v>2</v>
      </c>
      <c r="E919" t="s">
        <v>899</v>
      </c>
      <c r="F919" t="s">
        <v>907</v>
      </c>
      <c r="G919" t="s">
        <v>897</v>
      </c>
      <c r="H919" s="3" t="str">
        <f>VLOOKUP(A919,'Orders Dataset'!$A:$D,4,FALSE)</f>
        <v>Andhra Pradesh</v>
      </c>
      <c r="I919" s="5" t="str">
        <f>VLOOKUP(A919,'Orders Dataset'!$A:$E,5,FALSE)</f>
        <v>Hyderabad</v>
      </c>
    </row>
    <row r="920" spans="1:9" x14ac:dyDescent="0.25">
      <c r="A920" t="s">
        <v>557</v>
      </c>
      <c r="B920">
        <v>57</v>
      </c>
      <c r="C920">
        <v>24</v>
      </c>
      <c r="D920">
        <v>5</v>
      </c>
      <c r="E920" t="s">
        <v>899</v>
      </c>
      <c r="F920" t="s">
        <v>908</v>
      </c>
      <c r="G920" t="s">
        <v>891</v>
      </c>
      <c r="H920" s="3" t="str">
        <f>VLOOKUP(A920,'Orders Dataset'!$A:$D,4,FALSE)</f>
        <v>Tamil Nadu</v>
      </c>
      <c r="I920" s="5" t="str">
        <f>VLOOKUP(A920,'Orders Dataset'!$A:$E,5,FALSE)</f>
        <v>Chennai</v>
      </c>
    </row>
    <row r="921" spans="1:9" x14ac:dyDescent="0.25">
      <c r="A921" t="s">
        <v>724</v>
      </c>
      <c r="B921">
        <v>97</v>
      </c>
      <c r="C921">
        <v>14</v>
      </c>
      <c r="D921">
        <v>2</v>
      </c>
      <c r="E921" t="s">
        <v>899</v>
      </c>
      <c r="F921" t="s">
        <v>910</v>
      </c>
      <c r="G921" t="s">
        <v>897</v>
      </c>
      <c r="H921" s="3" t="str">
        <f>VLOOKUP(A921,'Orders Dataset'!$A:$D,4,FALSE)</f>
        <v>Gujarat</v>
      </c>
      <c r="I921" s="5" t="str">
        <f>VLOOKUP(A921,'Orders Dataset'!$A:$E,5,FALSE)</f>
        <v>Ahmedabad</v>
      </c>
    </row>
    <row r="922" spans="1:9" x14ac:dyDescent="0.25">
      <c r="A922" t="s">
        <v>403</v>
      </c>
      <c r="B922">
        <v>97</v>
      </c>
      <c r="C922">
        <v>17</v>
      </c>
      <c r="D922">
        <v>2</v>
      </c>
      <c r="E922" t="s">
        <v>899</v>
      </c>
      <c r="F922" t="s">
        <v>907</v>
      </c>
      <c r="G922" t="s">
        <v>897</v>
      </c>
      <c r="H922" s="3" t="str">
        <f>VLOOKUP(A922,'Orders Dataset'!$A:$D,4,FALSE)</f>
        <v>Maharashtra</v>
      </c>
      <c r="I922" s="5" t="str">
        <f>VLOOKUP(A922,'Orders Dataset'!$A:$E,5,FALSE)</f>
        <v>Mumbai</v>
      </c>
    </row>
    <row r="923" spans="1:9" x14ac:dyDescent="0.25">
      <c r="A923" t="s">
        <v>183</v>
      </c>
      <c r="B923">
        <v>96</v>
      </c>
      <c r="C923">
        <v>22</v>
      </c>
      <c r="D923">
        <v>5</v>
      </c>
      <c r="E923" t="s">
        <v>899</v>
      </c>
      <c r="F923" t="s">
        <v>907</v>
      </c>
      <c r="G923" t="s">
        <v>897</v>
      </c>
      <c r="H923" s="3" t="str">
        <f>VLOOKUP(A923,'Orders Dataset'!$A:$D,4,FALSE)</f>
        <v>Rajasthan</v>
      </c>
      <c r="I923" s="5" t="str">
        <f>VLOOKUP(A923,'Orders Dataset'!$A:$E,5,FALSE)</f>
        <v>Jaipur</v>
      </c>
    </row>
    <row r="924" spans="1:9" x14ac:dyDescent="0.25">
      <c r="A924" t="s">
        <v>294</v>
      </c>
      <c r="B924">
        <v>94</v>
      </c>
      <c r="C924">
        <v>27</v>
      </c>
      <c r="D924">
        <v>2</v>
      </c>
      <c r="E924" t="s">
        <v>899</v>
      </c>
      <c r="F924" t="s">
        <v>913</v>
      </c>
      <c r="G924" t="s">
        <v>897</v>
      </c>
      <c r="H924" s="3" t="str">
        <f>VLOOKUP(A924,'Orders Dataset'!$A:$D,4,FALSE)</f>
        <v>Madhya Pradesh</v>
      </c>
      <c r="I924" s="5" t="str">
        <f>VLOOKUP(A924,'Orders Dataset'!$A:$E,5,FALSE)</f>
        <v>Indore</v>
      </c>
    </row>
    <row r="925" spans="1:9" x14ac:dyDescent="0.25">
      <c r="A925" t="s">
        <v>271</v>
      </c>
      <c r="B925">
        <v>26</v>
      </c>
      <c r="C925">
        <v>-17</v>
      </c>
      <c r="D925">
        <v>1</v>
      </c>
      <c r="E925" t="s">
        <v>899</v>
      </c>
      <c r="F925" t="s">
        <v>907</v>
      </c>
      <c r="G925" t="s">
        <v>891</v>
      </c>
      <c r="H925" s="3" t="str">
        <f>VLOOKUP(A925,'Orders Dataset'!$A:$D,4,FALSE)</f>
        <v>Delhi</v>
      </c>
      <c r="I925" s="5" t="str">
        <f>VLOOKUP(A925,'Orders Dataset'!$A:$E,5,FALSE)</f>
        <v>Delhi</v>
      </c>
    </row>
    <row r="926" spans="1:9" x14ac:dyDescent="0.25">
      <c r="A926" t="s">
        <v>730</v>
      </c>
      <c r="B926">
        <v>93</v>
      </c>
      <c r="C926">
        <v>44</v>
      </c>
      <c r="D926">
        <v>2</v>
      </c>
      <c r="E926" t="s">
        <v>899</v>
      </c>
      <c r="F926" t="s">
        <v>907</v>
      </c>
      <c r="G926" t="s">
        <v>897</v>
      </c>
      <c r="H926" s="3" t="str">
        <f>VLOOKUP(A926,'Orders Dataset'!$A:$D,4,FALSE)</f>
        <v>Gujarat</v>
      </c>
      <c r="I926" s="5" t="str">
        <f>VLOOKUP(A926,'Orders Dataset'!$A:$E,5,FALSE)</f>
        <v>Ahmedabad</v>
      </c>
    </row>
    <row r="927" spans="1:9" x14ac:dyDescent="0.25">
      <c r="A927" t="s">
        <v>488</v>
      </c>
      <c r="B927">
        <v>93</v>
      </c>
      <c r="C927">
        <v>-65</v>
      </c>
      <c r="D927">
        <v>4</v>
      </c>
      <c r="E927" t="s">
        <v>899</v>
      </c>
      <c r="F927" t="s">
        <v>907</v>
      </c>
      <c r="G927" t="s">
        <v>897</v>
      </c>
      <c r="H927" s="3" t="str">
        <f>VLOOKUP(A927,'Orders Dataset'!$A:$D,4,FALSE)</f>
        <v>Bihar</v>
      </c>
      <c r="I927" s="5" t="str">
        <f>VLOOKUP(A927,'Orders Dataset'!$A:$E,5,FALSE)</f>
        <v>Patna</v>
      </c>
    </row>
    <row r="928" spans="1:9" x14ac:dyDescent="0.25">
      <c r="A928" t="s">
        <v>506</v>
      </c>
      <c r="B928">
        <v>92</v>
      </c>
      <c r="C928">
        <v>5</v>
      </c>
      <c r="D928">
        <v>6</v>
      </c>
      <c r="E928" t="s">
        <v>899</v>
      </c>
      <c r="F928" t="s">
        <v>903</v>
      </c>
      <c r="G928" t="s">
        <v>897</v>
      </c>
      <c r="H928" s="3" t="str">
        <f>VLOOKUP(A928,'Orders Dataset'!$A:$D,4,FALSE)</f>
        <v>Maharashtra</v>
      </c>
      <c r="I928" s="5" t="str">
        <f>VLOOKUP(A928,'Orders Dataset'!$A:$E,5,FALSE)</f>
        <v>Pune</v>
      </c>
    </row>
    <row r="929" spans="1:9" x14ac:dyDescent="0.25">
      <c r="A929" t="s">
        <v>472</v>
      </c>
      <c r="B929">
        <v>57</v>
      </c>
      <c r="C929">
        <v>27</v>
      </c>
      <c r="D929">
        <v>2</v>
      </c>
      <c r="E929" t="s">
        <v>899</v>
      </c>
      <c r="F929" t="s">
        <v>910</v>
      </c>
      <c r="G929" t="s">
        <v>891</v>
      </c>
      <c r="H929" s="3" t="str">
        <f>VLOOKUP(A929,'Orders Dataset'!$A:$D,4,FALSE)</f>
        <v>Nagaland</v>
      </c>
      <c r="I929" s="5" t="str">
        <f>VLOOKUP(A929,'Orders Dataset'!$A:$E,5,FALSE)</f>
        <v>Kohima</v>
      </c>
    </row>
    <row r="930" spans="1:9" x14ac:dyDescent="0.25">
      <c r="A930" t="s">
        <v>252</v>
      </c>
      <c r="B930">
        <v>57</v>
      </c>
      <c r="C930">
        <v>7</v>
      </c>
      <c r="D930">
        <v>3</v>
      </c>
      <c r="E930" t="s">
        <v>892</v>
      </c>
      <c r="F930" t="s">
        <v>912</v>
      </c>
      <c r="G930" t="s">
        <v>891</v>
      </c>
      <c r="H930" s="3" t="str">
        <f>VLOOKUP(A930,'Orders Dataset'!$A:$D,4,FALSE)</f>
        <v>Andhra Pradesh</v>
      </c>
      <c r="I930" s="5" t="str">
        <f>VLOOKUP(A930,'Orders Dataset'!$A:$E,5,FALSE)</f>
        <v>Hyderabad</v>
      </c>
    </row>
    <row r="931" spans="1:9" x14ac:dyDescent="0.25">
      <c r="A931" t="s">
        <v>785</v>
      </c>
      <c r="B931">
        <v>57</v>
      </c>
      <c r="C931">
        <v>21</v>
      </c>
      <c r="D931">
        <v>4</v>
      </c>
      <c r="E931" t="s">
        <v>899</v>
      </c>
      <c r="F931" t="s">
        <v>908</v>
      </c>
      <c r="G931" t="s">
        <v>891</v>
      </c>
      <c r="H931" s="3" t="str">
        <f>VLOOKUP(A931,'Orders Dataset'!$A:$D,4,FALSE)</f>
        <v>Gujarat</v>
      </c>
      <c r="I931" s="5" t="str">
        <f>VLOOKUP(A931,'Orders Dataset'!$A:$E,5,FALSE)</f>
        <v>Ahmedabad</v>
      </c>
    </row>
    <row r="932" spans="1:9" x14ac:dyDescent="0.25">
      <c r="A932" t="s">
        <v>546</v>
      </c>
      <c r="B932">
        <v>128</v>
      </c>
      <c r="C932">
        <v>4</v>
      </c>
      <c r="D932">
        <v>3</v>
      </c>
      <c r="E932" t="s">
        <v>899</v>
      </c>
      <c r="F932" t="s">
        <v>901</v>
      </c>
      <c r="G932" t="s">
        <v>891</v>
      </c>
      <c r="H932" s="3" t="str">
        <f>VLOOKUP(A932,'Orders Dataset'!$A:$D,4,FALSE)</f>
        <v>Uttar Pradesh</v>
      </c>
      <c r="I932" s="5" t="str">
        <f>VLOOKUP(A932,'Orders Dataset'!$A:$E,5,FALSE)</f>
        <v>Lucknow</v>
      </c>
    </row>
    <row r="933" spans="1:9" x14ac:dyDescent="0.25">
      <c r="A933" t="s">
        <v>83</v>
      </c>
      <c r="B933">
        <v>89</v>
      </c>
      <c r="C933">
        <v>-4</v>
      </c>
      <c r="D933">
        <v>5</v>
      </c>
      <c r="E933" t="s">
        <v>899</v>
      </c>
      <c r="F933" t="s">
        <v>901</v>
      </c>
      <c r="G933" t="s">
        <v>897</v>
      </c>
      <c r="H933" s="3" t="str">
        <f>VLOOKUP(A933,'Orders Dataset'!$A:$D,4,FALSE)</f>
        <v>Madhya Pradesh</v>
      </c>
      <c r="I933" s="5" t="str">
        <f>VLOOKUP(A933,'Orders Dataset'!$A:$E,5,FALSE)</f>
        <v>Indore</v>
      </c>
    </row>
    <row r="934" spans="1:9" x14ac:dyDescent="0.25">
      <c r="A934" t="s">
        <v>9</v>
      </c>
      <c r="B934">
        <v>221</v>
      </c>
      <c r="C934">
        <v>26</v>
      </c>
      <c r="D934">
        <v>7</v>
      </c>
      <c r="E934" t="s">
        <v>892</v>
      </c>
      <c r="F934" t="s">
        <v>912</v>
      </c>
      <c r="G934" t="s">
        <v>891</v>
      </c>
      <c r="H934" s="3" t="str">
        <f>VLOOKUP(A934,'Orders Dataset'!$A:$D,4,FALSE)</f>
        <v>Delhi</v>
      </c>
      <c r="I934" s="5" t="str">
        <f>VLOOKUP(A934,'Orders Dataset'!$A:$E,5,FALSE)</f>
        <v>Delhi</v>
      </c>
    </row>
    <row r="935" spans="1:9" x14ac:dyDescent="0.25">
      <c r="A935" t="s">
        <v>559</v>
      </c>
      <c r="B935">
        <v>205</v>
      </c>
      <c r="C935">
        <v>-119</v>
      </c>
      <c r="D935">
        <v>3</v>
      </c>
      <c r="E935" t="s">
        <v>899</v>
      </c>
      <c r="F935" t="s">
        <v>901</v>
      </c>
      <c r="G935" t="s">
        <v>911</v>
      </c>
      <c r="H935" s="3" t="str">
        <f>VLOOKUP(A935,'Orders Dataset'!$A:$D,4,FALSE)</f>
        <v>Gujarat</v>
      </c>
      <c r="I935" s="5" t="str">
        <f>VLOOKUP(A935,'Orders Dataset'!$A:$E,5,FALSE)</f>
        <v>Ahmedabad</v>
      </c>
    </row>
    <row r="936" spans="1:9" x14ac:dyDescent="0.25">
      <c r="A936" t="s">
        <v>573</v>
      </c>
      <c r="B936">
        <v>191</v>
      </c>
      <c r="C936">
        <v>51</v>
      </c>
      <c r="D936">
        <v>5</v>
      </c>
      <c r="E936" t="s">
        <v>899</v>
      </c>
      <c r="F936" t="s">
        <v>913</v>
      </c>
      <c r="G936" t="s">
        <v>902</v>
      </c>
      <c r="H936" s="3" t="str">
        <f>VLOOKUP(A936,'Orders Dataset'!$A:$D,4,FALSE)</f>
        <v>Haryana</v>
      </c>
      <c r="I936" s="5" t="str">
        <f>VLOOKUP(A936,'Orders Dataset'!$A:$E,5,FALSE)</f>
        <v>Chandigarh</v>
      </c>
    </row>
    <row r="937" spans="1:9" x14ac:dyDescent="0.25">
      <c r="A937" t="s">
        <v>427</v>
      </c>
      <c r="B937">
        <v>206</v>
      </c>
      <c r="C937">
        <v>18</v>
      </c>
      <c r="D937">
        <v>4</v>
      </c>
      <c r="E937" t="s">
        <v>899</v>
      </c>
      <c r="F937" t="s">
        <v>903</v>
      </c>
      <c r="G937" t="s">
        <v>911</v>
      </c>
      <c r="H937" s="3" t="str">
        <f>VLOOKUP(A937,'Orders Dataset'!$A:$D,4,FALSE)</f>
        <v>Bihar</v>
      </c>
      <c r="I937" s="5" t="str">
        <f>VLOOKUP(A937,'Orders Dataset'!$A:$E,5,FALSE)</f>
        <v>Patna</v>
      </c>
    </row>
    <row r="938" spans="1:9" x14ac:dyDescent="0.25">
      <c r="A938" t="s">
        <v>387</v>
      </c>
      <c r="B938">
        <v>56</v>
      </c>
      <c r="C938">
        <v>0</v>
      </c>
      <c r="D938">
        <v>4</v>
      </c>
      <c r="E938" t="s">
        <v>899</v>
      </c>
      <c r="F938" t="s">
        <v>903</v>
      </c>
      <c r="G938" t="s">
        <v>891</v>
      </c>
      <c r="H938" s="3" t="str">
        <f>VLOOKUP(A938,'Orders Dataset'!$A:$D,4,FALSE)</f>
        <v>Nagaland</v>
      </c>
      <c r="I938" s="5" t="str">
        <f>VLOOKUP(A938,'Orders Dataset'!$A:$E,5,FALSE)</f>
        <v>Kohima</v>
      </c>
    </row>
    <row r="939" spans="1:9" x14ac:dyDescent="0.25">
      <c r="A939" t="s">
        <v>421</v>
      </c>
      <c r="B939">
        <v>88</v>
      </c>
      <c r="C939">
        <v>16</v>
      </c>
      <c r="D939">
        <v>4</v>
      </c>
      <c r="E939" t="s">
        <v>899</v>
      </c>
      <c r="F939" t="s">
        <v>907</v>
      </c>
      <c r="G939" t="s">
        <v>897</v>
      </c>
      <c r="H939" s="3" t="str">
        <f>VLOOKUP(A939,'Orders Dataset'!$A:$D,4,FALSE)</f>
        <v>Maharashtra</v>
      </c>
      <c r="I939" s="5" t="str">
        <f>VLOOKUP(A939,'Orders Dataset'!$A:$E,5,FALSE)</f>
        <v>Pune</v>
      </c>
    </row>
    <row r="940" spans="1:9" x14ac:dyDescent="0.25">
      <c r="A940" t="s">
        <v>543</v>
      </c>
      <c r="B940">
        <v>224</v>
      </c>
      <c r="C940">
        <v>58</v>
      </c>
      <c r="D940">
        <v>3</v>
      </c>
      <c r="E940" t="s">
        <v>889</v>
      </c>
      <c r="F940" t="s">
        <v>898</v>
      </c>
      <c r="G940" t="s">
        <v>902</v>
      </c>
      <c r="H940" s="3" t="str">
        <f>VLOOKUP(A940,'Orders Dataset'!$A:$D,4,FALSE)</f>
        <v>Rajasthan</v>
      </c>
      <c r="I940" s="5" t="str">
        <f>VLOOKUP(A940,'Orders Dataset'!$A:$E,5,FALSE)</f>
        <v>Jaipur</v>
      </c>
    </row>
    <row r="941" spans="1:9" x14ac:dyDescent="0.25">
      <c r="A941" t="s">
        <v>569</v>
      </c>
      <c r="B941">
        <v>193</v>
      </c>
      <c r="C941">
        <v>8</v>
      </c>
      <c r="D941">
        <v>4</v>
      </c>
      <c r="E941" t="s">
        <v>899</v>
      </c>
      <c r="F941" t="s">
        <v>910</v>
      </c>
      <c r="G941" t="s">
        <v>902</v>
      </c>
      <c r="H941" s="3" t="str">
        <f>VLOOKUP(A941,'Orders Dataset'!$A:$D,4,FALSE)</f>
        <v>Punjab</v>
      </c>
      <c r="I941" s="5" t="str">
        <f>VLOOKUP(A941,'Orders Dataset'!$A:$E,5,FALSE)</f>
        <v>Amritsar</v>
      </c>
    </row>
    <row r="942" spans="1:9" x14ac:dyDescent="0.25">
      <c r="A942" t="s">
        <v>177</v>
      </c>
      <c r="B942">
        <v>87</v>
      </c>
      <c r="C942">
        <v>36</v>
      </c>
      <c r="D942">
        <v>5</v>
      </c>
      <c r="E942" t="s">
        <v>899</v>
      </c>
      <c r="F942" t="s">
        <v>907</v>
      </c>
      <c r="G942" t="s">
        <v>897</v>
      </c>
      <c r="H942" s="3" t="str">
        <f>VLOOKUP(A942,'Orders Dataset'!$A:$D,4,FALSE)</f>
        <v>Andhra Pradesh</v>
      </c>
      <c r="I942" s="5" t="str">
        <f>VLOOKUP(A942,'Orders Dataset'!$A:$E,5,FALSE)</f>
        <v>Hyderabad</v>
      </c>
    </row>
    <row r="943" spans="1:9" x14ac:dyDescent="0.25">
      <c r="A943" t="s">
        <v>478</v>
      </c>
      <c r="B943">
        <v>189</v>
      </c>
      <c r="C943">
        <v>4</v>
      </c>
      <c r="D943">
        <v>1</v>
      </c>
      <c r="E943" t="s">
        <v>899</v>
      </c>
      <c r="F943" t="s">
        <v>901</v>
      </c>
      <c r="G943" t="s">
        <v>902</v>
      </c>
      <c r="H943" s="3" t="str">
        <f>VLOOKUP(A943,'Orders Dataset'!$A:$D,4,FALSE)</f>
        <v>Delhi</v>
      </c>
      <c r="I943" s="5" t="str">
        <f>VLOOKUP(A943,'Orders Dataset'!$A:$E,5,FALSE)</f>
        <v>Delhi</v>
      </c>
    </row>
    <row r="944" spans="1:9" x14ac:dyDescent="0.25">
      <c r="A944" t="s">
        <v>118</v>
      </c>
      <c r="B944">
        <v>55</v>
      </c>
      <c r="C944">
        <v>-33</v>
      </c>
      <c r="D944">
        <v>2</v>
      </c>
      <c r="E944" t="s">
        <v>892</v>
      </c>
      <c r="F944" t="s">
        <v>893</v>
      </c>
      <c r="G944" t="s">
        <v>891</v>
      </c>
      <c r="H944" s="3" t="str">
        <f>VLOOKUP(A944,'Orders Dataset'!$A:$D,4,FALSE)</f>
        <v>Uttar Pradesh</v>
      </c>
      <c r="I944" s="5" t="str">
        <f>VLOOKUP(A944,'Orders Dataset'!$A:$E,5,FALSE)</f>
        <v>Lucknow</v>
      </c>
    </row>
    <row r="945" spans="1:9" x14ac:dyDescent="0.25">
      <c r="A945" t="s">
        <v>741</v>
      </c>
      <c r="B945">
        <v>85</v>
      </c>
      <c r="C945">
        <v>-1</v>
      </c>
      <c r="D945">
        <v>3</v>
      </c>
      <c r="E945" t="s">
        <v>899</v>
      </c>
      <c r="F945" t="s">
        <v>901</v>
      </c>
      <c r="G945" t="s">
        <v>897</v>
      </c>
      <c r="H945" s="3" t="str">
        <f>VLOOKUP(A945,'Orders Dataset'!$A:$D,4,FALSE)</f>
        <v>Madhya Pradesh</v>
      </c>
      <c r="I945" s="5" t="str">
        <f>VLOOKUP(A945,'Orders Dataset'!$A:$E,5,FALSE)</f>
        <v>Indore</v>
      </c>
    </row>
    <row r="946" spans="1:9" x14ac:dyDescent="0.25">
      <c r="A946" t="s">
        <v>311</v>
      </c>
      <c r="B946">
        <v>252</v>
      </c>
      <c r="C946">
        <v>56</v>
      </c>
      <c r="D946">
        <v>2</v>
      </c>
      <c r="E946" t="s">
        <v>889</v>
      </c>
      <c r="F946" t="s">
        <v>898</v>
      </c>
      <c r="G946" t="s">
        <v>902</v>
      </c>
      <c r="H946" s="3" t="str">
        <f>VLOOKUP(A946,'Orders Dataset'!$A:$D,4,FALSE)</f>
        <v>Madhya Pradesh</v>
      </c>
      <c r="I946" s="5" t="str">
        <f>VLOOKUP(A946,'Orders Dataset'!$A:$E,5,FALSE)</f>
        <v>Indore</v>
      </c>
    </row>
    <row r="947" spans="1:9" x14ac:dyDescent="0.25">
      <c r="A947" t="s">
        <v>144</v>
      </c>
      <c r="B947">
        <v>197</v>
      </c>
      <c r="C947">
        <v>73</v>
      </c>
      <c r="D947">
        <v>1</v>
      </c>
      <c r="E947" t="s">
        <v>892</v>
      </c>
      <c r="F947" t="s">
        <v>895</v>
      </c>
      <c r="G947" t="s">
        <v>891</v>
      </c>
      <c r="H947" s="3" t="str">
        <f>VLOOKUP(A947,'Orders Dataset'!$A:$D,4,FALSE)</f>
        <v>Madhya Pradesh</v>
      </c>
      <c r="I947" s="5" t="str">
        <f>VLOOKUP(A947,'Orders Dataset'!$A:$E,5,FALSE)</f>
        <v>Bhopal</v>
      </c>
    </row>
    <row r="948" spans="1:9" x14ac:dyDescent="0.25">
      <c r="A948" t="s">
        <v>539</v>
      </c>
      <c r="B948">
        <v>17</v>
      </c>
      <c r="C948">
        <v>-3</v>
      </c>
      <c r="D948">
        <v>2</v>
      </c>
      <c r="E948" t="s">
        <v>899</v>
      </c>
      <c r="F948" t="s">
        <v>907</v>
      </c>
      <c r="G948" t="s">
        <v>902</v>
      </c>
      <c r="H948" s="3" t="str">
        <f>VLOOKUP(A948,'Orders Dataset'!$A:$D,4,FALSE)</f>
        <v>Madhya Pradesh</v>
      </c>
      <c r="I948" s="5" t="str">
        <f>VLOOKUP(A948,'Orders Dataset'!$A:$E,5,FALSE)</f>
        <v>Indore</v>
      </c>
    </row>
    <row r="949" spans="1:9" x14ac:dyDescent="0.25">
      <c r="A949" t="s">
        <v>715</v>
      </c>
      <c r="B949">
        <v>100</v>
      </c>
      <c r="C949">
        <v>28</v>
      </c>
      <c r="D949">
        <v>2</v>
      </c>
      <c r="E949" t="s">
        <v>899</v>
      </c>
      <c r="F949" t="s">
        <v>903</v>
      </c>
      <c r="G949" t="s">
        <v>902</v>
      </c>
      <c r="H949" s="3" t="str">
        <f>VLOOKUP(A949,'Orders Dataset'!$A:$D,4,FALSE)</f>
        <v>Madhya Pradesh</v>
      </c>
      <c r="I949" s="5" t="str">
        <f>VLOOKUP(A949,'Orders Dataset'!$A:$E,5,FALSE)</f>
        <v>Bhopal</v>
      </c>
    </row>
    <row r="950" spans="1:9" x14ac:dyDescent="0.25">
      <c r="A950" t="s">
        <v>73</v>
      </c>
      <c r="B950">
        <v>80</v>
      </c>
      <c r="C950">
        <v>-19</v>
      </c>
      <c r="D950">
        <v>5</v>
      </c>
      <c r="E950" t="s">
        <v>899</v>
      </c>
      <c r="F950" t="s">
        <v>907</v>
      </c>
      <c r="G950" t="s">
        <v>902</v>
      </c>
      <c r="H950" s="3" t="str">
        <f>VLOOKUP(A950,'Orders Dataset'!$A:$D,4,FALSE)</f>
        <v>Kerala</v>
      </c>
      <c r="I950" s="5" t="str">
        <f>VLOOKUP(A950,'Orders Dataset'!$A:$E,5,FALSE)</f>
        <v>Thiruvananthapuram</v>
      </c>
    </row>
    <row r="951" spans="1:9" x14ac:dyDescent="0.25">
      <c r="A951" t="s">
        <v>353</v>
      </c>
      <c r="B951">
        <v>75</v>
      </c>
      <c r="C951">
        <v>29</v>
      </c>
      <c r="D951">
        <v>1</v>
      </c>
      <c r="E951" t="s">
        <v>899</v>
      </c>
      <c r="F951" t="s">
        <v>900</v>
      </c>
      <c r="G951" t="s">
        <v>902</v>
      </c>
      <c r="H951" s="3" t="str">
        <f>VLOOKUP(A951,'Orders Dataset'!$A:$D,4,FALSE)</f>
        <v>Karnataka</v>
      </c>
      <c r="I951" s="5" t="str">
        <f>VLOOKUP(A951,'Orders Dataset'!$A:$E,5,FALSE)</f>
        <v>Bangalore</v>
      </c>
    </row>
    <row r="952" spans="1:9" x14ac:dyDescent="0.25">
      <c r="A952" t="s">
        <v>73</v>
      </c>
      <c r="B952">
        <v>26</v>
      </c>
      <c r="C952">
        <v>4</v>
      </c>
      <c r="D952">
        <v>2</v>
      </c>
      <c r="E952" t="s">
        <v>899</v>
      </c>
      <c r="F952" t="s">
        <v>901</v>
      </c>
      <c r="G952" t="s">
        <v>902</v>
      </c>
      <c r="H952" s="3" t="str">
        <f>VLOOKUP(A952,'Orders Dataset'!$A:$D,4,FALSE)</f>
        <v>Kerala</v>
      </c>
      <c r="I952" s="5" t="str">
        <f>VLOOKUP(A952,'Orders Dataset'!$A:$E,5,FALSE)</f>
        <v>Thiruvananthapuram</v>
      </c>
    </row>
    <row r="953" spans="1:9" x14ac:dyDescent="0.25">
      <c r="A953" t="s">
        <v>789</v>
      </c>
      <c r="B953">
        <v>55</v>
      </c>
      <c r="C953">
        <v>12</v>
      </c>
      <c r="D953">
        <v>5</v>
      </c>
      <c r="E953" t="s">
        <v>899</v>
      </c>
      <c r="F953" t="s">
        <v>905</v>
      </c>
      <c r="G953" t="s">
        <v>891</v>
      </c>
      <c r="H953" s="3" t="str">
        <f>VLOOKUP(A953,'Orders Dataset'!$A:$D,4,FALSE)</f>
        <v>Madhya Pradesh</v>
      </c>
      <c r="I953" s="5" t="str">
        <f>VLOOKUP(A953,'Orders Dataset'!$A:$E,5,FALSE)</f>
        <v>Indore</v>
      </c>
    </row>
    <row r="954" spans="1:9" x14ac:dyDescent="0.25">
      <c r="A954" t="s">
        <v>612</v>
      </c>
      <c r="B954">
        <v>157</v>
      </c>
      <c r="C954">
        <v>5</v>
      </c>
      <c r="D954">
        <v>9</v>
      </c>
      <c r="E954" t="s">
        <v>899</v>
      </c>
      <c r="F954" t="s">
        <v>901</v>
      </c>
      <c r="G954" t="s">
        <v>902</v>
      </c>
      <c r="H954" s="3" t="str">
        <f>VLOOKUP(A954,'Orders Dataset'!$A:$D,4,FALSE)</f>
        <v>Rajasthan</v>
      </c>
      <c r="I954" s="5" t="str">
        <f>VLOOKUP(A954,'Orders Dataset'!$A:$E,5,FALSE)</f>
        <v>Jaipur</v>
      </c>
    </row>
    <row r="955" spans="1:9" x14ac:dyDescent="0.25">
      <c r="A955" t="s">
        <v>260</v>
      </c>
      <c r="B955">
        <v>200</v>
      </c>
      <c r="C955">
        <v>-60</v>
      </c>
      <c r="D955">
        <v>4</v>
      </c>
      <c r="E955" t="s">
        <v>892</v>
      </c>
      <c r="F955" t="s">
        <v>895</v>
      </c>
      <c r="G955" t="s">
        <v>902</v>
      </c>
      <c r="H955" s="3" t="str">
        <f>VLOOKUP(A955,'Orders Dataset'!$A:$D,4,FALSE)</f>
        <v>Madhya Pradesh</v>
      </c>
      <c r="I955" s="5" t="str">
        <f>VLOOKUP(A955,'Orders Dataset'!$A:$E,5,FALSE)</f>
        <v>Indore</v>
      </c>
    </row>
    <row r="956" spans="1:9" x14ac:dyDescent="0.25">
      <c r="A956" t="s">
        <v>356</v>
      </c>
      <c r="B956">
        <v>230</v>
      </c>
      <c r="C956">
        <v>5</v>
      </c>
      <c r="D956">
        <v>2</v>
      </c>
      <c r="E956" t="s">
        <v>899</v>
      </c>
      <c r="F956" t="s">
        <v>901</v>
      </c>
      <c r="G956" t="s">
        <v>902</v>
      </c>
      <c r="H956" s="3" t="str">
        <f>VLOOKUP(A956,'Orders Dataset'!$A:$D,4,FALSE)</f>
        <v>Delhi</v>
      </c>
      <c r="I956" s="5" t="str">
        <f>VLOOKUP(A956,'Orders Dataset'!$A:$E,5,FALSE)</f>
        <v>Delhi</v>
      </c>
    </row>
    <row r="957" spans="1:9" x14ac:dyDescent="0.25">
      <c r="A957" t="s">
        <v>427</v>
      </c>
      <c r="B957">
        <v>213</v>
      </c>
      <c r="C957">
        <v>-145</v>
      </c>
      <c r="D957">
        <v>3</v>
      </c>
      <c r="E957" t="s">
        <v>892</v>
      </c>
      <c r="F957" t="s">
        <v>895</v>
      </c>
      <c r="G957" t="s">
        <v>911</v>
      </c>
      <c r="H957" s="3" t="str">
        <f>VLOOKUP(A957,'Orders Dataset'!$A:$D,4,FALSE)</f>
        <v>Bihar</v>
      </c>
      <c r="I957" s="5" t="str">
        <f>VLOOKUP(A957,'Orders Dataset'!$A:$E,5,FALSE)</f>
        <v>Patna</v>
      </c>
    </row>
    <row r="958" spans="1:9" x14ac:dyDescent="0.25">
      <c r="A958" t="s">
        <v>787</v>
      </c>
      <c r="B958">
        <v>55</v>
      </c>
      <c r="C958">
        <v>4</v>
      </c>
      <c r="D958">
        <v>2</v>
      </c>
      <c r="E958" t="s">
        <v>899</v>
      </c>
      <c r="F958" t="s">
        <v>907</v>
      </c>
      <c r="G958" t="s">
        <v>891</v>
      </c>
      <c r="H958" s="3" t="str">
        <f>VLOOKUP(A958,'Orders Dataset'!$A:$D,4,FALSE)</f>
        <v>Goa</v>
      </c>
      <c r="I958" s="5" t="str">
        <f>VLOOKUP(A958,'Orders Dataset'!$A:$E,5,FALSE)</f>
        <v>Goa</v>
      </c>
    </row>
    <row r="959" spans="1:9" x14ac:dyDescent="0.25">
      <c r="A959" t="s">
        <v>545</v>
      </c>
      <c r="B959">
        <v>220</v>
      </c>
      <c r="C959">
        <v>-19</v>
      </c>
      <c r="D959">
        <v>2</v>
      </c>
      <c r="E959" t="s">
        <v>899</v>
      </c>
      <c r="F959" t="s">
        <v>901</v>
      </c>
      <c r="G959" t="s">
        <v>911</v>
      </c>
      <c r="H959" s="3" t="str">
        <f>VLOOKUP(A959,'Orders Dataset'!$A:$D,4,FALSE)</f>
        <v>Rajasthan</v>
      </c>
      <c r="I959" s="5" t="str">
        <f>VLOOKUP(A959,'Orders Dataset'!$A:$E,5,FALSE)</f>
        <v>Jaipur</v>
      </c>
    </row>
    <row r="960" spans="1:9" x14ac:dyDescent="0.25">
      <c r="A960" t="s">
        <v>79</v>
      </c>
      <c r="B960">
        <v>150</v>
      </c>
      <c r="C960">
        <v>32</v>
      </c>
      <c r="D960">
        <v>3</v>
      </c>
      <c r="E960" t="s">
        <v>899</v>
      </c>
      <c r="F960" t="s">
        <v>903</v>
      </c>
      <c r="G960" t="s">
        <v>891</v>
      </c>
      <c r="H960" s="3" t="str">
        <f>VLOOKUP(A960,'Orders Dataset'!$A:$D,4,FALSE)</f>
        <v>Nagaland</v>
      </c>
      <c r="I960" s="5" t="str">
        <f>VLOOKUP(A960,'Orders Dataset'!$A:$E,5,FALSE)</f>
        <v>Kohima</v>
      </c>
    </row>
    <row r="961" spans="1:9" x14ac:dyDescent="0.25">
      <c r="A961" t="s">
        <v>288</v>
      </c>
      <c r="B961">
        <v>203</v>
      </c>
      <c r="C961">
        <v>84</v>
      </c>
      <c r="D961">
        <v>2</v>
      </c>
      <c r="E961" t="s">
        <v>889</v>
      </c>
      <c r="F961" t="s">
        <v>896</v>
      </c>
      <c r="G961" t="s">
        <v>902</v>
      </c>
      <c r="H961" s="3" t="str">
        <f>VLOOKUP(A961,'Orders Dataset'!$A:$D,4,FALSE)</f>
        <v>Maharashtra</v>
      </c>
      <c r="I961" s="5" t="str">
        <f>VLOOKUP(A961,'Orders Dataset'!$A:$E,5,FALSE)</f>
        <v>Mumbai</v>
      </c>
    </row>
    <row r="962" spans="1:9" x14ac:dyDescent="0.25">
      <c r="A962" t="s">
        <v>352</v>
      </c>
      <c r="B962">
        <v>93</v>
      </c>
      <c r="C962">
        <v>31</v>
      </c>
      <c r="D962">
        <v>3</v>
      </c>
      <c r="E962" t="s">
        <v>889</v>
      </c>
      <c r="F962" t="s">
        <v>909</v>
      </c>
      <c r="G962" t="s">
        <v>902</v>
      </c>
      <c r="H962" s="3" t="str">
        <f>VLOOKUP(A962,'Orders Dataset'!$A:$D,4,FALSE)</f>
        <v>Jammu and Kashmir</v>
      </c>
      <c r="I962" s="5" t="str">
        <f>VLOOKUP(A962,'Orders Dataset'!$A:$E,5,FALSE)</f>
        <v>Kashmir</v>
      </c>
    </row>
    <row r="963" spans="1:9" x14ac:dyDescent="0.25">
      <c r="A963" t="s">
        <v>507</v>
      </c>
      <c r="B963">
        <v>290</v>
      </c>
      <c r="C963">
        <v>35</v>
      </c>
      <c r="D963">
        <v>6</v>
      </c>
      <c r="E963" t="s">
        <v>899</v>
      </c>
      <c r="F963" t="s">
        <v>903</v>
      </c>
      <c r="G963" t="s">
        <v>891</v>
      </c>
      <c r="H963" s="3" t="str">
        <f>VLOOKUP(A963,'Orders Dataset'!$A:$D,4,FALSE)</f>
        <v>Gujarat</v>
      </c>
      <c r="I963" s="5" t="str">
        <f>VLOOKUP(A963,'Orders Dataset'!$A:$E,5,FALSE)</f>
        <v>Ahmedabad</v>
      </c>
    </row>
    <row r="964" spans="1:9" x14ac:dyDescent="0.25">
      <c r="A964" t="s">
        <v>309</v>
      </c>
      <c r="B964">
        <v>48</v>
      </c>
      <c r="C964">
        <v>6</v>
      </c>
      <c r="D964">
        <v>1</v>
      </c>
      <c r="E964" t="s">
        <v>899</v>
      </c>
      <c r="F964" t="s">
        <v>901</v>
      </c>
      <c r="G964" t="s">
        <v>891</v>
      </c>
      <c r="H964" s="3" t="str">
        <f>VLOOKUP(A964,'Orders Dataset'!$A:$D,4,FALSE)</f>
        <v>Maharashtra</v>
      </c>
      <c r="I964" s="5" t="str">
        <f>VLOOKUP(A964,'Orders Dataset'!$A:$E,5,FALSE)</f>
        <v>Mumbai</v>
      </c>
    </row>
    <row r="965" spans="1:9" x14ac:dyDescent="0.25">
      <c r="A965" t="s">
        <v>506</v>
      </c>
      <c r="B965">
        <v>221</v>
      </c>
      <c r="C965">
        <v>35</v>
      </c>
      <c r="D965">
        <v>4</v>
      </c>
      <c r="E965" t="s">
        <v>889</v>
      </c>
      <c r="F965" t="s">
        <v>909</v>
      </c>
      <c r="G965" t="s">
        <v>911</v>
      </c>
      <c r="H965" s="3" t="str">
        <f>VLOOKUP(A965,'Orders Dataset'!$A:$D,4,FALSE)</f>
        <v>Maharashtra</v>
      </c>
      <c r="I965" s="5" t="str">
        <f>VLOOKUP(A965,'Orders Dataset'!$A:$E,5,FALSE)</f>
        <v>Pune</v>
      </c>
    </row>
    <row r="966" spans="1:9" x14ac:dyDescent="0.25">
      <c r="A966" t="s">
        <v>790</v>
      </c>
      <c r="B966">
        <v>55</v>
      </c>
      <c r="C966">
        <v>18</v>
      </c>
      <c r="D966">
        <v>2</v>
      </c>
      <c r="E966" t="s">
        <v>899</v>
      </c>
      <c r="F966" t="s">
        <v>904</v>
      </c>
      <c r="G966" t="s">
        <v>891</v>
      </c>
      <c r="H966" s="3" t="str">
        <f>VLOOKUP(A966,'Orders Dataset'!$A:$D,4,FALSE)</f>
        <v>West Bengal</v>
      </c>
      <c r="I966" s="5" t="str">
        <f>VLOOKUP(A966,'Orders Dataset'!$A:$E,5,FALSE)</f>
        <v>Kolkata</v>
      </c>
    </row>
    <row r="967" spans="1:9" x14ac:dyDescent="0.25">
      <c r="A967" t="s">
        <v>142</v>
      </c>
      <c r="B967">
        <v>227</v>
      </c>
      <c r="C967">
        <v>102</v>
      </c>
      <c r="D967">
        <v>8</v>
      </c>
      <c r="E967" t="s">
        <v>889</v>
      </c>
      <c r="F967" t="s">
        <v>909</v>
      </c>
      <c r="G967" t="s">
        <v>911</v>
      </c>
      <c r="H967" s="3" t="str">
        <f>VLOOKUP(A967,'Orders Dataset'!$A:$D,4,FALSE)</f>
        <v>Nagaland</v>
      </c>
      <c r="I967" s="5" t="str">
        <f>VLOOKUP(A967,'Orders Dataset'!$A:$E,5,FALSE)</f>
        <v>Kohima</v>
      </c>
    </row>
    <row r="968" spans="1:9" x14ac:dyDescent="0.25">
      <c r="A968" t="s">
        <v>786</v>
      </c>
      <c r="B968">
        <v>55</v>
      </c>
      <c r="C968">
        <v>-39</v>
      </c>
      <c r="D968">
        <v>4</v>
      </c>
      <c r="E968" t="s">
        <v>899</v>
      </c>
      <c r="F968" t="s">
        <v>907</v>
      </c>
      <c r="G968" t="s">
        <v>891</v>
      </c>
      <c r="H968" s="3" t="str">
        <f>VLOOKUP(A968,'Orders Dataset'!$A:$D,4,FALSE)</f>
        <v>Madhya Pradesh</v>
      </c>
      <c r="I968" s="5" t="str">
        <f>VLOOKUP(A968,'Orders Dataset'!$A:$E,5,FALSE)</f>
        <v>Indore</v>
      </c>
    </row>
    <row r="969" spans="1:9" x14ac:dyDescent="0.25">
      <c r="A969" t="s">
        <v>507</v>
      </c>
      <c r="B969">
        <v>207</v>
      </c>
      <c r="C969">
        <v>33</v>
      </c>
      <c r="D969">
        <v>2</v>
      </c>
      <c r="E969" t="s">
        <v>889</v>
      </c>
      <c r="F969" t="s">
        <v>909</v>
      </c>
      <c r="G969" t="s">
        <v>902</v>
      </c>
      <c r="H969" s="3" t="str">
        <f>VLOOKUP(A969,'Orders Dataset'!$A:$D,4,FALSE)</f>
        <v>Gujarat</v>
      </c>
      <c r="I969" s="5" t="str">
        <f>VLOOKUP(A969,'Orders Dataset'!$A:$E,5,FALSE)</f>
        <v>Ahmedabad</v>
      </c>
    </row>
    <row r="970" spans="1:9" x14ac:dyDescent="0.25">
      <c r="A970" t="s">
        <v>768</v>
      </c>
      <c r="B970">
        <v>64</v>
      </c>
      <c r="C970">
        <v>6</v>
      </c>
      <c r="D970">
        <v>4</v>
      </c>
      <c r="E970" t="s">
        <v>899</v>
      </c>
      <c r="F970" t="s">
        <v>901</v>
      </c>
      <c r="G970" t="s">
        <v>891</v>
      </c>
      <c r="H970" s="3" t="str">
        <f>VLOOKUP(A970,'Orders Dataset'!$A:$D,4,FALSE)</f>
        <v>Madhya Pradesh</v>
      </c>
      <c r="I970" s="5" t="str">
        <f>VLOOKUP(A970,'Orders Dataset'!$A:$E,5,FALSE)</f>
        <v>Bhopal</v>
      </c>
    </row>
    <row r="971" spans="1:9" x14ac:dyDescent="0.25">
      <c r="A971" t="s">
        <v>166</v>
      </c>
      <c r="B971">
        <v>89</v>
      </c>
      <c r="C971">
        <v>6</v>
      </c>
      <c r="D971">
        <v>5</v>
      </c>
      <c r="E971" t="s">
        <v>899</v>
      </c>
      <c r="F971" t="s">
        <v>901</v>
      </c>
      <c r="G971" t="s">
        <v>891</v>
      </c>
      <c r="H971" s="3" t="str">
        <f>VLOOKUP(A971,'Orders Dataset'!$A:$D,4,FALSE)</f>
        <v>Maharashtra</v>
      </c>
      <c r="I971" s="5" t="str">
        <f>VLOOKUP(A971,'Orders Dataset'!$A:$E,5,FALSE)</f>
        <v>Pune</v>
      </c>
    </row>
    <row r="972" spans="1:9" x14ac:dyDescent="0.25">
      <c r="A972" t="s">
        <v>93</v>
      </c>
      <c r="B972">
        <v>54</v>
      </c>
      <c r="C972">
        <v>27</v>
      </c>
      <c r="D972">
        <v>2</v>
      </c>
      <c r="E972" t="s">
        <v>899</v>
      </c>
      <c r="F972" t="s">
        <v>907</v>
      </c>
      <c r="G972" t="s">
        <v>891</v>
      </c>
      <c r="H972" s="3" t="str">
        <f>VLOOKUP(A972,'Orders Dataset'!$A:$D,4,FALSE)</f>
        <v>Madhya Pradesh</v>
      </c>
      <c r="I972" s="5" t="str">
        <f>VLOOKUP(A972,'Orders Dataset'!$A:$E,5,FALSE)</f>
        <v>Indore</v>
      </c>
    </row>
    <row r="973" spans="1:9" x14ac:dyDescent="0.25">
      <c r="A973" t="s">
        <v>290</v>
      </c>
      <c r="B973">
        <v>84</v>
      </c>
      <c r="C973">
        <v>41</v>
      </c>
      <c r="D973">
        <v>3</v>
      </c>
      <c r="E973" t="s">
        <v>899</v>
      </c>
      <c r="F973" t="s">
        <v>910</v>
      </c>
      <c r="G973" t="s">
        <v>897</v>
      </c>
      <c r="H973" s="3" t="str">
        <f>VLOOKUP(A973,'Orders Dataset'!$A:$D,4,FALSE)</f>
        <v>Maharashtra</v>
      </c>
      <c r="I973" s="5" t="str">
        <f>VLOOKUP(A973,'Orders Dataset'!$A:$E,5,FALSE)</f>
        <v>Mumbai</v>
      </c>
    </row>
    <row r="974" spans="1:9" x14ac:dyDescent="0.25">
      <c r="A974" t="s">
        <v>530</v>
      </c>
      <c r="B974">
        <v>209</v>
      </c>
      <c r="C974">
        <v>-21</v>
      </c>
      <c r="D974">
        <v>2</v>
      </c>
      <c r="E974" t="s">
        <v>889</v>
      </c>
      <c r="F974" t="s">
        <v>890</v>
      </c>
      <c r="G974" t="s">
        <v>902</v>
      </c>
      <c r="H974" s="3" t="str">
        <f>VLOOKUP(A974,'Orders Dataset'!$A:$D,4,FALSE)</f>
        <v>Kerala</v>
      </c>
      <c r="I974" s="5" t="str">
        <f>VLOOKUP(A974,'Orders Dataset'!$A:$E,5,FALSE)</f>
        <v>Thiruvananthapuram</v>
      </c>
    </row>
    <row r="975" spans="1:9" x14ac:dyDescent="0.25">
      <c r="A975" t="s">
        <v>332</v>
      </c>
      <c r="B975">
        <v>79</v>
      </c>
      <c r="C975">
        <v>33</v>
      </c>
      <c r="D975">
        <v>4</v>
      </c>
      <c r="E975" t="s">
        <v>899</v>
      </c>
      <c r="F975" t="s">
        <v>907</v>
      </c>
      <c r="G975" t="s">
        <v>902</v>
      </c>
      <c r="H975" s="3" t="str">
        <f>VLOOKUP(A975,'Orders Dataset'!$A:$D,4,FALSE)</f>
        <v>Tamil Nadu</v>
      </c>
      <c r="I975" s="5" t="str">
        <f>VLOOKUP(A975,'Orders Dataset'!$A:$E,5,FALSE)</f>
        <v>Chennai</v>
      </c>
    </row>
    <row r="976" spans="1:9" x14ac:dyDescent="0.25">
      <c r="A976" t="s">
        <v>791</v>
      </c>
      <c r="B976">
        <v>54</v>
      </c>
      <c r="C976">
        <v>8</v>
      </c>
      <c r="D976">
        <v>4</v>
      </c>
      <c r="E976" t="s">
        <v>899</v>
      </c>
      <c r="F976" t="s">
        <v>910</v>
      </c>
      <c r="G976" t="s">
        <v>891</v>
      </c>
      <c r="H976" s="3" t="str">
        <f>VLOOKUP(A976,'Orders Dataset'!$A:$D,4,FALSE)</f>
        <v>Nagaland</v>
      </c>
      <c r="I976" s="5" t="str">
        <f>VLOOKUP(A976,'Orders Dataset'!$A:$E,5,FALSE)</f>
        <v>Kohima</v>
      </c>
    </row>
    <row r="977" spans="1:9" x14ac:dyDescent="0.25">
      <c r="A977" t="s">
        <v>22</v>
      </c>
      <c r="B977">
        <v>229</v>
      </c>
      <c r="C977">
        <v>59</v>
      </c>
      <c r="D977">
        <v>9</v>
      </c>
      <c r="E977" t="s">
        <v>899</v>
      </c>
      <c r="F977" t="s">
        <v>901</v>
      </c>
      <c r="G977" t="s">
        <v>911</v>
      </c>
      <c r="H977" s="3" t="str">
        <f>VLOOKUP(A977,'Orders Dataset'!$A:$D,4,FALSE)</f>
        <v>Uttar Pradesh</v>
      </c>
      <c r="I977" s="5" t="str">
        <f>VLOOKUP(A977,'Orders Dataset'!$A:$E,5,FALSE)</f>
        <v>Prayagraj</v>
      </c>
    </row>
    <row r="978" spans="1:9" x14ac:dyDescent="0.25">
      <c r="A978" t="s">
        <v>606</v>
      </c>
      <c r="B978">
        <v>158</v>
      </c>
      <c r="C978">
        <v>38</v>
      </c>
      <c r="D978">
        <v>3</v>
      </c>
      <c r="E978" t="s">
        <v>899</v>
      </c>
      <c r="F978" t="s">
        <v>903</v>
      </c>
      <c r="G978" t="s">
        <v>902</v>
      </c>
      <c r="H978" s="3" t="str">
        <f>VLOOKUP(A978,'Orders Dataset'!$A:$D,4,FALSE)</f>
        <v>Gujarat</v>
      </c>
      <c r="I978" s="5" t="str">
        <f>VLOOKUP(A978,'Orders Dataset'!$A:$E,5,FALSE)</f>
        <v>Surat</v>
      </c>
    </row>
    <row r="979" spans="1:9" x14ac:dyDescent="0.25">
      <c r="A979" t="s">
        <v>286</v>
      </c>
      <c r="B979">
        <v>248</v>
      </c>
      <c r="C979">
        <v>105</v>
      </c>
      <c r="D979">
        <v>2</v>
      </c>
      <c r="E979" t="s">
        <v>889</v>
      </c>
      <c r="F979" t="s">
        <v>898</v>
      </c>
      <c r="G979" t="s">
        <v>911</v>
      </c>
      <c r="H979" s="3" t="str">
        <f>VLOOKUP(A979,'Orders Dataset'!$A:$D,4,FALSE)</f>
        <v>West Bengal</v>
      </c>
      <c r="I979" s="5" t="str">
        <f>VLOOKUP(A979,'Orders Dataset'!$A:$E,5,FALSE)</f>
        <v>Kolkata</v>
      </c>
    </row>
    <row r="980" spans="1:9" x14ac:dyDescent="0.25">
      <c r="A980" t="s">
        <v>52</v>
      </c>
      <c r="B980">
        <v>199</v>
      </c>
      <c r="C980">
        <v>6</v>
      </c>
      <c r="D980">
        <v>2</v>
      </c>
      <c r="E980" t="s">
        <v>899</v>
      </c>
      <c r="F980" t="s">
        <v>901</v>
      </c>
      <c r="G980" t="s">
        <v>902</v>
      </c>
      <c r="H980" s="3" t="str">
        <f>VLOOKUP(A980,'Orders Dataset'!$A:$D,4,FALSE)</f>
        <v>Gujarat</v>
      </c>
      <c r="I980" s="5" t="str">
        <f>VLOOKUP(A980,'Orders Dataset'!$A:$E,5,FALSE)</f>
        <v>Ahmedabad</v>
      </c>
    </row>
    <row r="981" spans="1:9" x14ac:dyDescent="0.25">
      <c r="A981" t="s">
        <v>14</v>
      </c>
      <c r="B981">
        <v>253</v>
      </c>
      <c r="C981">
        <v>-11</v>
      </c>
      <c r="D981">
        <v>1</v>
      </c>
      <c r="E981" t="s">
        <v>899</v>
      </c>
      <c r="F981" t="s">
        <v>900</v>
      </c>
      <c r="G981" t="s">
        <v>911</v>
      </c>
      <c r="H981" s="3" t="str">
        <f>VLOOKUP(A981,'Orders Dataset'!$A:$D,4,FALSE)</f>
        <v>Maharashtra</v>
      </c>
      <c r="I981" s="5" t="str">
        <f>VLOOKUP(A981,'Orders Dataset'!$A:$E,5,FALSE)</f>
        <v>Mumbai</v>
      </c>
    </row>
    <row r="982" spans="1:9" x14ac:dyDescent="0.25">
      <c r="A982" t="s">
        <v>124</v>
      </c>
      <c r="B982">
        <v>257</v>
      </c>
      <c r="C982">
        <v>-252</v>
      </c>
      <c r="D982">
        <v>4</v>
      </c>
      <c r="E982" t="s">
        <v>899</v>
      </c>
      <c r="F982" t="s">
        <v>901</v>
      </c>
      <c r="G982" t="s">
        <v>911</v>
      </c>
      <c r="H982" s="3" t="str">
        <f>VLOOKUP(A982,'Orders Dataset'!$A:$D,4,FALSE)</f>
        <v>Madhya Pradesh</v>
      </c>
      <c r="I982" s="5" t="str">
        <f>VLOOKUP(A982,'Orders Dataset'!$A:$E,5,FALSE)</f>
        <v>Indore</v>
      </c>
    </row>
    <row r="983" spans="1:9" x14ac:dyDescent="0.25">
      <c r="A983" t="s">
        <v>571</v>
      </c>
      <c r="B983">
        <v>193</v>
      </c>
      <c r="C983">
        <v>33</v>
      </c>
      <c r="D983">
        <v>5</v>
      </c>
      <c r="E983" t="s">
        <v>889</v>
      </c>
      <c r="F983" t="s">
        <v>909</v>
      </c>
      <c r="G983" t="s">
        <v>891</v>
      </c>
      <c r="H983" s="3" t="str">
        <f>VLOOKUP(A983,'Orders Dataset'!$A:$D,4,FALSE)</f>
        <v>Rajasthan</v>
      </c>
      <c r="I983" s="5" t="str">
        <f>VLOOKUP(A983,'Orders Dataset'!$A:$E,5,FALSE)</f>
        <v>Jaipur</v>
      </c>
    </row>
    <row r="984" spans="1:9" x14ac:dyDescent="0.25">
      <c r="A984" t="s">
        <v>696</v>
      </c>
      <c r="B984">
        <v>109</v>
      </c>
      <c r="C984">
        <v>35</v>
      </c>
      <c r="D984">
        <v>6</v>
      </c>
      <c r="E984" t="s">
        <v>899</v>
      </c>
      <c r="F984" t="s">
        <v>910</v>
      </c>
      <c r="G984" t="s">
        <v>891</v>
      </c>
      <c r="H984" s="3" t="str">
        <f>VLOOKUP(A984,'Orders Dataset'!$A:$D,4,FALSE)</f>
        <v>Jammu and Kashmir</v>
      </c>
      <c r="I984" s="5" t="str">
        <f>VLOOKUP(A984,'Orders Dataset'!$A:$E,5,FALSE)</f>
        <v>Kashmir</v>
      </c>
    </row>
    <row r="985" spans="1:9" x14ac:dyDescent="0.25">
      <c r="A985" t="s">
        <v>526</v>
      </c>
      <c r="B985">
        <v>214</v>
      </c>
      <c r="C985">
        <v>30</v>
      </c>
      <c r="D985">
        <v>3</v>
      </c>
      <c r="E985" t="s">
        <v>889</v>
      </c>
      <c r="F985" t="s">
        <v>909</v>
      </c>
      <c r="G985" t="s">
        <v>891</v>
      </c>
      <c r="H985" s="3" t="str">
        <f>VLOOKUP(A985,'Orders Dataset'!$A:$D,4,FALSE)</f>
        <v>Maharashtra</v>
      </c>
      <c r="I985" s="5" t="str">
        <f>VLOOKUP(A985,'Orders Dataset'!$A:$E,5,FALSE)</f>
        <v>Mumbai</v>
      </c>
    </row>
    <row r="986" spans="1:9" x14ac:dyDescent="0.25">
      <c r="A986" t="s">
        <v>518</v>
      </c>
      <c r="B986">
        <v>141</v>
      </c>
      <c r="C986">
        <v>7</v>
      </c>
      <c r="D986">
        <v>7</v>
      </c>
      <c r="E986" t="s">
        <v>899</v>
      </c>
      <c r="F986" t="s">
        <v>901</v>
      </c>
      <c r="G986" t="s">
        <v>891</v>
      </c>
      <c r="H986" s="3" t="str">
        <f>VLOOKUP(A986,'Orders Dataset'!$A:$D,4,FALSE)</f>
        <v>Delhi</v>
      </c>
      <c r="I986" s="5" t="str">
        <f>VLOOKUP(A986,'Orders Dataset'!$A:$E,5,FALSE)</f>
        <v>Delhi</v>
      </c>
    </row>
    <row r="987" spans="1:9" x14ac:dyDescent="0.25">
      <c r="A987" t="s">
        <v>9</v>
      </c>
      <c r="B987">
        <v>201</v>
      </c>
      <c r="C987">
        <v>32</v>
      </c>
      <c r="D987">
        <v>4</v>
      </c>
      <c r="E987" t="s">
        <v>892</v>
      </c>
      <c r="F987" t="s">
        <v>912</v>
      </c>
      <c r="G987" t="s">
        <v>902</v>
      </c>
      <c r="H987" s="3" t="str">
        <f>VLOOKUP(A987,'Orders Dataset'!$A:$D,4,FALSE)</f>
        <v>Delhi</v>
      </c>
      <c r="I987" s="5" t="str">
        <f>VLOOKUP(A987,'Orders Dataset'!$A:$E,5,FALSE)</f>
        <v>Delhi</v>
      </c>
    </row>
    <row r="988" spans="1:9" x14ac:dyDescent="0.25">
      <c r="A988" t="s">
        <v>353</v>
      </c>
      <c r="B988">
        <v>54</v>
      </c>
      <c r="C988">
        <v>12</v>
      </c>
      <c r="D988">
        <v>4</v>
      </c>
      <c r="E988" t="s">
        <v>899</v>
      </c>
      <c r="F988" t="s">
        <v>913</v>
      </c>
      <c r="G988" t="s">
        <v>891</v>
      </c>
      <c r="H988" s="3" t="str">
        <f>VLOOKUP(A988,'Orders Dataset'!$A:$D,4,FALSE)</f>
        <v>Karnataka</v>
      </c>
      <c r="I988" s="5" t="str">
        <f>VLOOKUP(A988,'Orders Dataset'!$A:$E,5,FALSE)</f>
        <v>Bangalore</v>
      </c>
    </row>
    <row r="989" spans="1:9" x14ac:dyDescent="0.25">
      <c r="A989" t="s">
        <v>49</v>
      </c>
      <c r="B989">
        <v>83</v>
      </c>
      <c r="C989">
        <v>6</v>
      </c>
      <c r="D989">
        <v>6</v>
      </c>
      <c r="E989" t="s">
        <v>899</v>
      </c>
      <c r="F989" t="s">
        <v>913</v>
      </c>
      <c r="G989" t="s">
        <v>894</v>
      </c>
      <c r="H989" s="3" t="str">
        <f>VLOOKUP(A989,'Orders Dataset'!$A:$D,4,FALSE)</f>
        <v>Uttar Pradesh</v>
      </c>
      <c r="I989" s="5" t="str">
        <f>VLOOKUP(A989,'Orders Dataset'!$A:$E,5,FALSE)</f>
        <v>Prayagraj</v>
      </c>
    </row>
    <row r="990" spans="1:9" x14ac:dyDescent="0.25">
      <c r="A990" t="s">
        <v>416</v>
      </c>
      <c r="B990">
        <v>54</v>
      </c>
      <c r="C990">
        <v>-3</v>
      </c>
      <c r="D990">
        <v>3</v>
      </c>
      <c r="E990" t="s">
        <v>899</v>
      </c>
      <c r="F990" t="s">
        <v>901</v>
      </c>
      <c r="G990" t="s">
        <v>891</v>
      </c>
      <c r="H990" s="3" t="str">
        <f>VLOOKUP(A990,'Orders Dataset'!$A:$D,4,FALSE)</f>
        <v>Maharashtra</v>
      </c>
      <c r="I990" s="5" t="str">
        <f>VLOOKUP(A990,'Orders Dataset'!$A:$E,5,FALSE)</f>
        <v>Mumbai</v>
      </c>
    </row>
    <row r="991" spans="1:9" x14ac:dyDescent="0.25">
      <c r="A991" t="s">
        <v>232</v>
      </c>
      <c r="B991">
        <v>53</v>
      </c>
      <c r="C991">
        <v>5</v>
      </c>
      <c r="D991">
        <v>3</v>
      </c>
      <c r="E991" t="s">
        <v>899</v>
      </c>
      <c r="F991" t="s">
        <v>910</v>
      </c>
      <c r="G991" t="s">
        <v>891</v>
      </c>
      <c r="H991" s="3" t="str">
        <f>VLOOKUP(A991,'Orders Dataset'!$A:$D,4,FALSE)</f>
        <v>Rajasthan</v>
      </c>
      <c r="I991" s="5" t="str">
        <f>VLOOKUP(A991,'Orders Dataset'!$A:$E,5,FALSE)</f>
        <v>Udaipur</v>
      </c>
    </row>
    <row r="992" spans="1:9" x14ac:dyDescent="0.25">
      <c r="A992" t="s">
        <v>265</v>
      </c>
      <c r="B992">
        <v>258</v>
      </c>
      <c r="C992">
        <v>-27</v>
      </c>
      <c r="D992">
        <v>2</v>
      </c>
      <c r="E992" t="s">
        <v>889</v>
      </c>
      <c r="F992" t="s">
        <v>898</v>
      </c>
      <c r="G992" t="s">
        <v>911</v>
      </c>
      <c r="H992" s="3" t="str">
        <f>VLOOKUP(A992,'Orders Dataset'!$A:$D,4,FALSE)</f>
        <v>Bihar</v>
      </c>
      <c r="I992" s="5" t="str">
        <f>VLOOKUP(A992,'Orders Dataset'!$A:$E,5,FALSE)</f>
        <v>Patna</v>
      </c>
    </row>
    <row r="993" spans="1:9" x14ac:dyDescent="0.25">
      <c r="A993" t="s">
        <v>855</v>
      </c>
      <c r="B993">
        <v>199</v>
      </c>
      <c r="C993">
        <v>8</v>
      </c>
      <c r="D993">
        <v>2</v>
      </c>
      <c r="E993" t="s">
        <v>899</v>
      </c>
      <c r="F993" t="s">
        <v>901</v>
      </c>
      <c r="G993" t="s">
        <v>891</v>
      </c>
      <c r="H993" s="3" t="str">
        <f>VLOOKUP(A993,'Orders Dataset'!$A:$D,4,FALSE)</f>
        <v>Maharashtra</v>
      </c>
      <c r="I993" s="5" t="str">
        <f>VLOOKUP(A993,'Orders Dataset'!$A:$E,5,FALSE)</f>
        <v>Pune</v>
      </c>
    </row>
    <row r="994" spans="1:9" x14ac:dyDescent="0.25">
      <c r="A994" t="s">
        <v>358</v>
      </c>
      <c r="B994">
        <v>82</v>
      </c>
      <c r="C994">
        <v>-27</v>
      </c>
      <c r="D994">
        <v>3</v>
      </c>
      <c r="E994" t="s">
        <v>899</v>
      </c>
      <c r="F994" t="s">
        <v>904</v>
      </c>
      <c r="G994" t="s">
        <v>894</v>
      </c>
      <c r="H994" s="3" t="str">
        <f>VLOOKUP(A994,'Orders Dataset'!$A:$D,4,FALSE)</f>
        <v>Madhya Pradesh</v>
      </c>
      <c r="I994" s="5" t="str">
        <f>VLOOKUP(A994,'Orders Dataset'!$A:$E,5,FALSE)</f>
        <v>Indore</v>
      </c>
    </row>
    <row r="995" spans="1:9" x14ac:dyDescent="0.25">
      <c r="A995" t="s">
        <v>360</v>
      </c>
      <c r="B995">
        <v>139</v>
      </c>
      <c r="C995">
        <v>36</v>
      </c>
      <c r="D995">
        <v>3</v>
      </c>
      <c r="E995" t="s">
        <v>899</v>
      </c>
      <c r="F995" t="s">
        <v>907</v>
      </c>
      <c r="G995" t="s">
        <v>891</v>
      </c>
      <c r="H995" s="3" t="str">
        <f>VLOOKUP(A995,'Orders Dataset'!$A:$D,4,FALSE)</f>
        <v>Maharashtra</v>
      </c>
      <c r="I995" s="5" t="str">
        <f>VLOOKUP(A995,'Orders Dataset'!$A:$E,5,FALSE)</f>
        <v>Mumbai</v>
      </c>
    </row>
    <row r="996" spans="1:9" x14ac:dyDescent="0.25">
      <c r="A996" t="s">
        <v>18</v>
      </c>
      <c r="B996">
        <v>53</v>
      </c>
      <c r="C996">
        <v>15</v>
      </c>
      <c r="D996">
        <v>2</v>
      </c>
      <c r="E996" t="s">
        <v>899</v>
      </c>
      <c r="F996" t="s">
        <v>907</v>
      </c>
      <c r="G996" t="s">
        <v>891</v>
      </c>
      <c r="H996" s="3" t="str">
        <f>VLOOKUP(A996,'Orders Dataset'!$A:$D,4,FALSE)</f>
        <v>Madhya Pradesh</v>
      </c>
      <c r="I996" s="5" t="str">
        <f>VLOOKUP(A996,'Orders Dataset'!$A:$E,5,FALSE)</f>
        <v>Indore</v>
      </c>
    </row>
    <row r="997" spans="1:9" x14ac:dyDescent="0.25">
      <c r="A997" t="s">
        <v>608</v>
      </c>
      <c r="B997">
        <v>53</v>
      </c>
      <c r="C997">
        <v>1</v>
      </c>
      <c r="D997">
        <v>4</v>
      </c>
      <c r="E997" t="s">
        <v>899</v>
      </c>
      <c r="F997" t="s">
        <v>907</v>
      </c>
      <c r="G997" t="s">
        <v>891</v>
      </c>
      <c r="H997" s="3" t="str">
        <f>VLOOKUP(A997,'Orders Dataset'!$A:$D,4,FALSE)</f>
        <v>West Bengal</v>
      </c>
      <c r="I997" s="5" t="str">
        <f>VLOOKUP(A997,'Orders Dataset'!$A:$E,5,FALSE)</f>
        <v>Kolkata</v>
      </c>
    </row>
    <row r="998" spans="1:9" x14ac:dyDescent="0.25">
      <c r="A998" t="s">
        <v>709</v>
      </c>
      <c r="B998">
        <v>101</v>
      </c>
      <c r="C998">
        <v>38</v>
      </c>
      <c r="D998">
        <v>2</v>
      </c>
      <c r="E998" t="s">
        <v>892</v>
      </c>
      <c r="F998" t="s">
        <v>912</v>
      </c>
      <c r="G998" t="s">
        <v>891</v>
      </c>
      <c r="H998" s="3" t="str">
        <f>VLOOKUP(A998,'Orders Dataset'!$A:$D,4,FALSE)</f>
        <v>Madhya Pradesh</v>
      </c>
      <c r="I998" s="5" t="str">
        <f>VLOOKUP(A998,'Orders Dataset'!$A:$E,5,FALSE)</f>
        <v>Indore</v>
      </c>
    </row>
    <row r="999" spans="1:9" x14ac:dyDescent="0.25">
      <c r="A999" t="s">
        <v>488</v>
      </c>
      <c r="B999">
        <v>262</v>
      </c>
      <c r="C999">
        <v>215</v>
      </c>
      <c r="D999">
        <v>2</v>
      </c>
      <c r="E999" t="s">
        <v>889</v>
      </c>
      <c r="F999" t="s">
        <v>896</v>
      </c>
      <c r="G999" t="s">
        <v>911</v>
      </c>
      <c r="H999" s="3" t="str">
        <f>VLOOKUP(A999,'Orders Dataset'!$A:$D,4,FALSE)</f>
        <v>Bihar</v>
      </c>
      <c r="I999" s="5" t="str">
        <f>VLOOKUP(A999,'Orders Dataset'!$A:$E,5,FALSE)</f>
        <v>Patna</v>
      </c>
    </row>
    <row r="1000" spans="1:9" x14ac:dyDescent="0.25">
      <c r="A1000" t="s">
        <v>337</v>
      </c>
      <c r="B1000">
        <v>82</v>
      </c>
      <c r="C1000">
        <v>-39</v>
      </c>
      <c r="D1000">
        <v>5</v>
      </c>
      <c r="E1000" t="s">
        <v>899</v>
      </c>
      <c r="F1000" t="s">
        <v>910</v>
      </c>
      <c r="G1000" t="s">
        <v>894</v>
      </c>
      <c r="H1000" s="3" t="str">
        <f>VLOOKUP(A1000,'Orders Dataset'!$A:$D,4,FALSE)</f>
        <v>Madhya Pradesh</v>
      </c>
      <c r="I1000" s="5" t="str">
        <f>VLOOKUP(A1000,'Orders Dataset'!$A:$E,5,FALSE)</f>
        <v>Bhopal</v>
      </c>
    </row>
    <row r="1001" spans="1:9" x14ac:dyDescent="0.25">
      <c r="A1001" t="s">
        <v>241</v>
      </c>
      <c r="B1001">
        <v>154</v>
      </c>
      <c r="C1001">
        <v>39</v>
      </c>
      <c r="D1001">
        <v>3</v>
      </c>
      <c r="E1001" t="s">
        <v>899</v>
      </c>
      <c r="F1001" t="s">
        <v>903</v>
      </c>
      <c r="G1001" t="s">
        <v>891</v>
      </c>
      <c r="H1001" s="3" t="str">
        <f>VLOOKUP(A1001,'Orders Dataset'!$A:$D,4,FALSE)</f>
        <v>Maharashtra</v>
      </c>
      <c r="I1001" s="5" t="str">
        <f>VLOOKUP(A1001,'Orders Dataset'!$A:$E,5,FALSE)</f>
        <v>Pune</v>
      </c>
    </row>
    <row r="1002" spans="1:9" x14ac:dyDescent="0.25">
      <c r="A1002" t="s">
        <v>794</v>
      </c>
      <c r="B1002">
        <v>52</v>
      </c>
      <c r="C1002">
        <v>18</v>
      </c>
      <c r="D1002">
        <v>2</v>
      </c>
      <c r="E1002" t="s">
        <v>899</v>
      </c>
      <c r="F1002" t="s">
        <v>907</v>
      </c>
      <c r="G1002" t="s">
        <v>891</v>
      </c>
      <c r="H1002" s="3" t="str">
        <f>VLOOKUP(A1002,'Orders Dataset'!$A:$D,4,FALSE)</f>
        <v>Gujarat</v>
      </c>
      <c r="I1002" s="5" t="str">
        <f>VLOOKUP(A1002,'Orders Dataset'!$A:$E,5,FALSE)</f>
        <v>Surat</v>
      </c>
    </row>
    <row r="1003" spans="1:9" x14ac:dyDescent="0.25">
      <c r="A1003" t="s">
        <v>98</v>
      </c>
      <c r="B1003">
        <v>1599</v>
      </c>
      <c r="C1003">
        <v>37</v>
      </c>
      <c r="D1003">
        <v>6</v>
      </c>
      <c r="E1003" t="s">
        <v>889</v>
      </c>
      <c r="F1003" t="s">
        <v>890</v>
      </c>
      <c r="G1003" t="s">
        <v>902</v>
      </c>
      <c r="H1003" s="3" t="str">
        <f>VLOOKUP(A1003,'Orders Dataset'!$A:$D,4,FALSE)</f>
        <v>Rajasthan</v>
      </c>
      <c r="I1003" s="5" t="str">
        <f>VLOOKUP(A1003,'Orders Dataset'!$A:$E,5,FALSE)</f>
        <v>Udaipur</v>
      </c>
    </row>
    <row r="1004" spans="1:9" x14ac:dyDescent="0.25">
      <c r="A1004" t="s">
        <v>469</v>
      </c>
      <c r="B1004">
        <v>338</v>
      </c>
      <c r="C1004">
        <v>41</v>
      </c>
      <c r="D1004">
        <v>7</v>
      </c>
      <c r="E1004" t="s">
        <v>899</v>
      </c>
      <c r="F1004" t="s">
        <v>903</v>
      </c>
      <c r="G1004" t="s">
        <v>902</v>
      </c>
      <c r="H1004" s="3" t="str">
        <f>VLOOKUP(A1004,'Orders Dataset'!$A:$D,4,FALSE)</f>
        <v>Delhi</v>
      </c>
      <c r="I1004" s="5" t="str">
        <f>VLOOKUP(A1004,'Orders Dataset'!$A:$E,5,FALSE)</f>
        <v>Delhi</v>
      </c>
    </row>
    <row r="1005" spans="1:9" x14ac:dyDescent="0.25">
      <c r="A1005" t="s">
        <v>271</v>
      </c>
      <c r="B1005">
        <v>51</v>
      </c>
      <c r="C1005">
        <v>-49</v>
      </c>
      <c r="D1005">
        <v>2</v>
      </c>
      <c r="E1005" t="s">
        <v>889</v>
      </c>
      <c r="F1005" t="s">
        <v>890</v>
      </c>
      <c r="G1005" t="s">
        <v>891</v>
      </c>
      <c r="H1005" s="3" t="str">
        <f>VLOOKUP(A1005,'Orders Dataset'!$A:$D,4,FALSE)</f>
        <v>Delhi</v>
      </c>
      <c r="I1005" s="5" t="str">
        <f>VLOOKUP(A1005,'Orders Dataset'!$A:$E,5,FALSE)</f>
        <v>Delhi</v>
      </c>
    </row>
    <row r="1006" spans="1:9" x14ac:dyDescent="0.25">
      <c r="A1006" t="s">
        <v>541</v>
      </c>
      <c r="B1006">
        <v>224</v>
      </c>
      <c r="C1006">
        <v>-81</v>
      </c>
      <c r="D1006">
        <v>3</v>
      </c>
      <c r="E1006" t="s">
        <v>892</v>
      </c>
      <c r="F1006" t="s">
        <v>893</v>
      </c>
      <c r="G1006" t="s">
        <v>891</v>
      </c>
      <c r="H1006" s="3" t="str">
        <f>VLOOKUP(A1006,'Orders Dataset'!$A:$D,4,FALSE)</f>
        <v>Jammu and Kashmir</v>
      </c>
      <c r="I1006" s="5" t="str">
        <f>VLOOKUP(A1006,'Orders Dataset'!$A:$E,5,FALSE)</f>
        <v>Kashmir</v>
      </c>
    </row>
    <row r="1007" spans="1:9" x14ac:dyDescent="0.25">
      <c r="A1007" t="s">
        <v>42</v>
      </c>
      <c r="B1007">
        <v>207</v>
      </c>
      <c r="C1007">
        <v>37</v>
      </c>
      <c r="D1007">
        <v>4</v>
      </c>
      <c r="E1007" t="s">
        <v>899</v>
      </c>
      <c r="F1007" t="s">
        <v>903</v>
      </c>
      <c r="G1007" t="s">
        <v>891</v>
      </c>
      <c r="H1007" s="3" t="str">
        <f>VLOOKUP(A1007,'Orders Dataset'!$A:$D,4,FALSE)</f>
        <v>Maharashtra</v>
      </c>
      <c r="I1007" s="5" t="str">
        <f>VLOOKUP(A1007,'Orders Dataset'!$A:$E,5,FALSE)</f>
        <v>Mumbai</v>
      </c>
    </row>
    <row r="1008" spans="1:9" x14ac:dyDescent="0.25">
      <c r="A1008" t="s">
        <v>796</v>
      </c>
      <c r="B1008">
        <v>51</v>
      </c>
      <c r="C1008">
        <v>14</v>
      </c>
      <c r="D1008">
        <v>2</v>
      </c>
      <c r="E1008" t="s">
        <v>899</v>
      </c>
      <c r="F1008" t="s">
        <v>907</v>
      </c>
      <c r="G1008" t="s">
        <v>891</v>
      </c>
      <c r="H1008" s="3" t="str">
        <f>VLOOKUP(A1008,'Orders Dataset'!$A:$D,4,FALSE)</f>
        <v>Himachal Pradesh</v>
      </c>
      <c r="I1008" s="5" t="str">
        <f>VLOOKUP(A1008,'Orders Dataset'!$A:$E,5,FALSE)</f>
        <v>Simla</v>
      </c>
    </row>
    <row r="1009" spans="1:9" x14ac:dyDescent="0.25">
      <c r="A1009" t="s">
        <v>392</v>
      </c>
      <c r="B1009">
        <v>82</v>
      </c>
      <c r="C1009">
        <v>8</v>
      </c>
      <c r="D1009">
        <v>3</v>
      </c>
      <c r="E1009" t="s">
        <v>889</v>
      </c>
      <c r="F1009" t="s">
        <v>909</v>
      </c>
      <c r="G1009" t="s">
        <v>894</v>
      </c>
      <c r="H1009" s="3" t="str">
        <f>VLOOKUP(A1009,'Orders Dataset'!$A:$D,4,FALSE)</f>
        <v>Jammu and Kashmir</v>
      </c>
      <c r="I1009" s="5" t="str">
        <f>VLOOKUP(A1009,'Orders Dataset'!$A:$E,5,FALSE)</f>
        <v>Kashmir</v>
      </c>
    </row>
    <row r="1010" spans="1:9" x14ac:dyDescent="0.25">
      <c r="A1010" t="s">
        <v>802</v>
      </c>
      <c r="B1010">
        <v>50</v>
      </c>
      <c r="C1010">
        <v>-17</v>
      </c>
      <c r="D1010">
        <v>2</v>
      </c>
      <c r="E1010" t="s">
        <v>899</v>
      </c>
      <c r="F1010" t="s">
        <v>907</v>
      </c>
      <c r="G1010" t="s">
        <v>891</v>
      </c>
      <c r="H1010" s="3" t="str">
        <f>VLOOKUP(A1010,'Orders Dataset'!$A:$D,4,FALSE)</f>
        <v>Goa</v>
      </c>
      <c r="I1010" s="5" t="str">
        <f>VLOOKUP(A1010,'Orders Dataset'!$A:$E,5,FALSE)</f>
        <v>Goa</v>
      </c>
    </row>
    <row r="1011" spans="1:9" x14ac:dyDescent="0.25">
      <c r="A1011" t="s">
        <v>48</v>
      </c>
      <c r="B1011">
        <v>263</v>
      </c>
      <c r="C1011">
        <v>-31</v>
      </c>
      <c r="D1011">
        <v>9</v>
      </c>
      <c r="E1011" t="s">
        <v>889</v>
      </c>
      <c r="F1011" t="s">
        <v>890</v>
      </c>
      <c r="G1011" t="s">
        <v>911</v>
      </c>
      <c r="H1011" s="3" t="str">
        <f>VLOOKUP(A1011,'Orders Dataset'!$A:$D,4,FALSE)</f>
        <v>Uttar Pradesh</v>
      </c>
      <c r="I1011" s="5" t="str">
        <f>VLOOKUP(A1011,'Orders Dataset'!$A:$E,5,FALSE)</f>
        <v>Mathura</v>
      </c>
    </row>
    <row r="1012" spans="1:9" x14ac:dyDescent="0.25">
      <c r="A1012" t="s">
        <v>526</v>
      </c>
      <c r="B1012">
        <v>50</v>
      </c>
      <c r="C1012">
        <v>7</v>
      </c>
      <c r="D1012">
        <v>6</v>
      </c>
      <c r="E1012" t="s">
        <v>899</v>
      </c>
      <c r="F1012" t="s">
        <v>905</v>
      </c>
      <c r="G1012" t="s">
        <v>891</v>
      </c>
      <c r="H1012" s="3" t="str">
        <f>VLOOKUP(A1012,'Orders Dataset'!$A:$D,4,FALSE)</f>
        <v>Maharashtra</v>
      </c>
      <c r="I1012" s="5" t="str">
        <f>VLOOKUP(A1012,'Orders Dataset'!$A:$E,5,FALSE)</f>
        <v>Mumbai</v>
      </c>
    </row>
    <row r="1013" spans="1:9" x14ac:dyDescent="0.25">
      <c r="A1013" t="s">
        <v>423</v>
      </c>
      <c r="B1013">
        <v>245</v>
      </c>
      <c r="C1013">
        <v>-3</v>
      </c>
      <c r="D1013">
        <v>4</v>
      </c>
      <c r="E1013" t="s">
        <v>889</v>
      </c>
      <c r="F1013" t="s">
        <v>898</v>
      </c>
      <c r="G1013" t="s">
        <v>902</v>
      </c>
      <c r="H1013" s="3" t="str">
        <f>VLOOKUP(A1013,'Orders Dataset'!$A:$D,4,FALSE)</f>
        <v>Kerala</v>
      </c>
      <c r="I1013" s="5" t="str">
        <f>VLOOKUP(A1013,'Orders Dataset'!$A:$E,5,FALSE)</f>
        <v>Thiruvananthapuram</v>
      </c>
    </row>
    <row r="1014" spans="1:9" x14ac:dyDescent="0.25">
      <c r="A1014" t="s">
        <v>311</v>
      </c>
      <c r="B1014">
        <v>82</v>
      </c>
      <c r="C1014">
        <v>24</v>
      </c>
      <c r="D1014">
        <v>6</v>
      </c>
      <c r="E1014" t="s">
        <v>899</v>
      </c>
      <c r="F1014" t="s">
        <v>903</v>
      </c>
      <c r="G1014" t="s">
        <v>894</v>
      </c>
      <c r="H1014" s="3" t="str">
        <f>VLOOKUP(A1014,'Orders Dataset'!$A:$D,4,FALSE)</f>
        <v>Madhya Pradesh</v>
      </c>
      <c r="I1014" s="5" t="str">
        <f>VLOOKUP(A1014,'Orders Dataset'!$A:$E,5,FALSE)</f>
        <v>Indore</v>
      </c>
    </row>
    <row r="1015" spans="1:9" x14ac:dyDescent="0.25">
      <c r="A1015" t="s">
        <v>364</v>
      </c>
      <c r="B1015">
        <v>229</v>
      </c>
      <c r="C1015">
        <v>-41</v>
      </c>
      <c r="D1015">
        <v>8</v>
      </c>
      <c r="E1015" t="s">
        <v>889</v>
      </c>
      <c r="F1015" t="s">
        <v>909</v>
      </c>
      <c r="G1015" t="s">
        <v>891</v>
      </c>
      <c r="H1015" s="3" t="str">
        <f>VLOOKUP(A1015,'Orders Dataset'!$A:$D,4,FALSE)</f>
        <v>Jammu and Kashmir</v>
      </c>
      <c r="I1015" s="5" t="str">
        <f>VLOOKUP(A1015,'Orders Dataset'!$A:$E,5,FALSE)</f>
        <v>Kashmir</v>
      </c>
    </row>
    <row r="1016" spans="1:9" x14ac:dyDescent="0.25">
      <c r="A1016" t="s">
        <v>286</v>
      </c>
      <c r="B1016">
        <v>50</v>
      </c>
      <c r="C1016">
        <v>14</v>
      </c>
      <c r="D1016">
        <v>1</v>
      </c>
      <c r="E1016" t="s">
        <v>889</v>
      </c>
      <c r="F1016" t="s">
        <v>890</v>
      </c>
      <c r="G1016" t="s">
        <v>891</v>
      </c>
      <c r="H1016" s="3" t="str">
        <f>VLOOKUP(A1016,'Orders Dataset'!$A:$D,4,FALSE)</f>
        <v>West Bengal</v>
      </c>
      <c r="I1016" s="5" t="str">
        <f>VLOOKUP(A1016,'Orders Dataset'!$A:$E,5,FALSE)</f>
        <v>Kolkata</v>
      </c>
    </row>
    <row r="1017" spans="1:9" x14ac:dyDescent="0.25">
      <c r="A1017" t="s">
        <v>427</v>
      </c>
      <c r="B1017">
        <v>220</v>
      </c>
      <c r="C1017">
        <v>40</v>
      </c>
      <c r="D1017">
        <v>2</v>
      </c>
      <c r="E1017" t="s">
        <v>889</v>
      </c>
      <c r="F1017" t="s">
        <v>909</v>
      </c>
      <c r="G1017" t="s">
        <v>891</v>
      </c>
      <c r="H1017" s="3" t="str">
        <f>VLOOKUP(A1017,'Orders Dataset'!$A:$D,4,FALSE)</f>
        <v>Bihar</v>
      </c>
      <c r="I1017" s="5" t="str">
        <f>VLOOKUP(A1017,'Orders Dataset'!$A:$E,5,FALSE)</f>
        <v>Patna</v>
      </c>
    </row>
    <row r="1018" spans="1:9" x14ac:dyDescent="0.25">
      <c r="A1018" t="s">
        <v>206</v>
      </c>
      <c r="B1018">
        <v>263</v>
      </c>
      <c r="C1018">
        <v>-63</v>
      </c>
      <c r="D1018">
        <v>2</v>
      </c>
      <c r="E1018" t="s">
        <v>889</v>
      </c>
      <c r="F1018" t="s">
        <v>890</v>
      </c>
      <c r="G1018" t="s">
        <v>911</v>
      </c>
      <c r="H1018" s="3" t="str">
        <f>VLOOKUP(A1018,'Orders Dataset'!$A:$D,4,FALSE)</f>
        <v>Jammu and Kashmir</v>
      </c>
      <c r="I1018" s="5" t="str">
        <f>VLOOKUP(A1018,'Orders Dataset'!$A:$E,5,FALSE)</f>
        <v>Kashmir</v>
      </c>
    </row>
    <row r="1019" spans="1:9" x14ac:dyDescent="0.25">
      <c r="A1019" t="s">
        <v>28</v>
      </c>
      <c r="B1019">
        <v>81</v>
      </c>
      <c r="C1019">
        <v>-41</v>
      </c>
      <c r="D1019">
        <v>5</v>
      </c>
      <c r="E1019" t="s">
        <v>899</v>
      </c>
      <c r="F1019" t="s">
        <v>908</v>
      </c>
      <c r="G1019" t="s">
        <v>894</v>
      </c>
      <c r="H1019" s="3" t="str">
        <f>VLOOKUP(A1019,'Orders Dataset'!$A:$D,4,FALSE)</f>
        <v>Maharashtra</v>
      </c>
      <c r="I1019" s="5" t="str">
        <f>VLOOKUP(A1019,'Orders Dataset'!$A:$E,5,FALSE)</f>
        <v>Pune</v>
      </c>
    </row>
    <row r="1020" spans="1:9" x14ac:dyDescent="0.25">
      <c r="A1020" t="s">
        <v>798</v>
      </c>
      <c r="B1020">
        <v>50</v>
      </c>
      <c r="C1020">
        <v>-17</v>
      </c>
      <c r="D1020">
        <v>2</v>
      </c>
      <c r="E1020" t="s">
        <v>899</v>
      </c>
      <c r="F1020" t="s">
        <v>907</v>
      </c>
      <c r="G1020" t="s">
        <v>891</v>
      </c>
      <c r="H1020" s="3" t="str">
        <f>VLOOKUP(A1020,'Orders Dataset'!$A:$D,4,FALSE)</f>
        <v>Haryana</v>
      </c>
      <c r="I1020" s="5" t="str">
        <f>VLOOKUP(A1020,'Orders Dataset'!$A:$E,5,FALSE)</f>
        <v>Chandigarh</v>
      </c>
    </row>
    <row r="1021" spans="1:9" x14ac:dyDescent="0.25">
      <c r="A1021" t="s">
        <v>28</v>
      </c>
      <c r="B1021">
        <v>49</v>
      </c>
      <c r="C1021">
        <v>5</v>
      </c>
      <c r="D1021">
        <v>4</v>
      </c>
      <c r="E1021" t="s">
        <v>899</v>
      </c>
      <c r="F1021" t="s">
        <v>903</v>
      </c>
      <c r="G1021" t="s">
        <v>891</v>
      </c>
      <c r="H1021" s="3" t="str">
        <f>VLOOKUP(A1021,'Orders Dataset'!$A:$D,4,FALSE)</f>
        <v>Maharashtra</v>
      </c>
      <c r="I1021" s="5" t="str">
        <f>VLOOKUP(A1021,'Orders Dataset'!$A:$E,5,FALSE)</f>
        <v>Pune</v>
      </c>
    </row>
    <row r="1022" spans="1:9" x14ac:dyDescent="0.25">
      <c r="A1022" t="s">
        <v>472</v>
      </c>
      <c r="B1022">
        <v>237</v>
      </c>
      <c r="C1022">
        <v>47</v>
      </c>
      <c r="D1022">
        <v>9</v>
      </c>
      <c r="E1022" t="s">
        <v>899</v>
      </c>
      <c r="F1022" t="s">
        <v>910</v>
      </c>
      <c r="G1022" t="s">
        <v>902</v>
      </c>
      <c r="H1022" s="3" t="str">
        <f>VLOOKUP(A1022,'Orders Dataset'!$A:$D,4,FALSE)</f>
        <v>Nagaland</v>
      </c>
      <c r="I1022" s="5" t="str">
        <f>VLOOKUP(A1022,'Orders Dataset'!$A:$E,5,FALSE)</f>
        <v>Kohima</v>
      </c>
    </row>
    <row r="1023" spans="1:9" x14ac:dyDescent="0.25">
      <c r="A1023" t="s">
        <v>377</v>
      </c>
      <c r="B1023">
        <v>264</v>
      </c>
      <c r="C1023">
        <v>-30</v>
      </c>
      <c r="D1023">
        <v>3</v>
      </c>
      <c r="E1023" t="s">
        <v>892</v>
      </c>
      <c r="F1023" t="s">
        <v>912</v>
      </c>
      <c r="G1023" t="s">
        <v>911</v>
      </c>
      <c r="H1023" s="3" t="str">
        <f>VLOOKUP(A1023,'Orders Dataset'!$A:$D,4,FALSE)</f>
        <v>Madhya Pradesh</v>
      </c>
      <c r="I1023" s="5" t="str">
        <f>VLOOKUP(A1023,'Orders Dataset'!$A:$E,5,FALSE)</f>
        <v>Indore</v>
      </c>
    </row>
    <row r="1024" spans="1:9" x14ac:dyDescent="0.25">
      <c r="A1024" t="s">
        <v>260</v>
      </c>
      <c r="B1024">
        <v>49</v>
      </c>
      <c r="C1024">
        <v>3</v>
      </c>
      <c r="D1024">
        <v>1</v>
      </c>
      <c r="E1024" t="s">
        <v>899</v>
      </c>
      <c r="F1024" t="s">
        <v>913</v>
      </c>
      <c r="G1024" t="s">
        <v>891</v>
      </c>
      <c r="H1024" s="3" t="str">
        <f>VLOOKUP(A1024,'Orders Dataset'!$A:$D,4,FALSE)</f>
        <v>Madhya Pradesh</v>
      </c>
      <c r="I1024" s="5" t="str">
        <f>VLOOKUP(A1024,'Orders Dataset'!$A:$E,5,FALSE)</f>
        <v>Indore</v>
      </c>
    </row>
    <row r="1025" spans="1:9" x14ac:dyDescent="0.25">
      <c r="A1025" t="s">
        <v>124</v>
      </c>
      <c r="B1025">
        <v>63</v>
      </c>
      <c r="C1025">
        <v>-24</v>
      </c>
      <c r="D1025">
        <v>6</v>
      </c>
      <c r="E1025" t="s">
        <v>899</v>
      </c>
      <c r="F1025" t="s">
        <v>904</v>
      </c>
      <c r="G1025" t="s">
        <v>891</v>
      </c>
      <c r="H1025" s="3" t="str">
        <f>VLOOKUP(A1025,'Orders Dataset'!$A:$D,4,FALSE)</f>
        <v>Madhya Pradesh</v>
      </c>
      <c r="I1025" s="5" t="str">
        <f>VLOOKUP(A1025,'Orders Dataset'!$A:$E,5,FALSE)</f>
        <v>Indore</v>
      </c>
    </row>
    <row r="1026" spans="1:9" x14ac:dyDescent="0.25">
      <c r="A1026" t="s">
        <v>306</v>
      </c>
      <c r="B1026">
        <v>81</v>
      </c>
      <c r="C1026">
        <v>-51</v>
      </c>
      <c r="D1026">
        <v>7</v>
      </c>
      <c r="E1026" t="s">
        <v>899</v>
      </c>
      <c r="F1026" t="s">
        <v>907</v>
      </c>
      <c r="G1026" t="s">
        <v>894</v>
      </c>
      <c r="H1026" s="3" t="str">
        <f>VLOOKUP(A1026,'Orders Dataset'!$A:$D,4,FALSE)</f>
        <v>Madhya Pradesh</v>
      </c>
      <c r="I1026" s="5" t="str">
        <f>VLOOKUP(A1026,'Orders Dataset'!$A:$E,5,FALSE)</f>
        <v>Indore</v>
      </c>
    </row>
    <row r="1027" spans="1:9" x14ac:dyDescent="0.25">
      <c r="A1027" t="s">
        <v>326</v>
      </c>
      <c r="B1027">
        <v>264</v>
      </c>
      <c r="C1027">
        <v>71</v>
      </c>
      <c r="D1027">
        <v>10</v>
      </c>
      <c r="E1027" t="s">
        <v>892</v>
      </c>
      <c r="F1027" t="s">
        <v>912</v>
      </c>
      <c r="G1027" t="s">
        <v>911</v>
      </c>
      <c r="H1027" s="3" t="str">
        <f>VLOOKUP(A1027,'Orders Dataset'!$A:$D,4,FALSE)</f>
        <v>Haryana</v>
      </c>
      <c r="I1027" s="5" t="str">
        <f>VLOOKUP(A1027,'Orders Dataset'!$A:$E,5,FALSE)</f>
        <v>Chandigarh</v>
      </c>
    </row>
    <row r="1028" spans="1:9" x14ac:dyDescent="0.25">
      <c r="A1028" t="s">
        <v>237</v>
      </c>
      <c r="B1028">
        <v>48</v>
      </c>
      <c r="C1028">
        <v>11</v>
      </c>
      <c r="D1028">
        <v>2</v>
      </c>
      <c r="E1028" t="s">
        <v>899</v>
      </c>
      <c r="F1028" t="s">
        <v>913</v>
      </c>
      <c r="G1028" t="s">
        <v>891</v>
      </c>
      <c r="H1028" s="3" t="str">
        <f>VLOOKUP(A1028,'Orders Dataset'!$A:$D,4,FALSE)</f>
        <v>Gujarat</v>
      </c>
      <c r="I1028" s="5" t="str">
        <f>VLOOKUP(A1028,'Orders Dataset'!$A:$E,5,FALSE)</f>
        <v>Ahmedabad</v>
      </c>
    </row>
    <row r="1029" spans="1:9" x14ac:dyDescent="0.25">
      <c r="A1029" t="s">
        <v>44</v>
      </c>
      <c r="B1029">
        <v>48</v>
      </c>
      <c r="C1029">
        <v>15</v>
      </c>
      <c r="D1029">
        <v>1</v>
      </c>
      <c r="E1029" t="s">
        <v>899</v>
      </c>
      <c r="F1029" t="s">
        <v>903</v>
      </c>
      <c r="G1029" t="s">
        <v>891</v>
      </c>
      <c r="H1029" s="3" t="str">
        <f>VLOOKUP(A1029,'Orders Dataset'!$A:$D,4,FALSE)</f>
        <v>Maharashtra</v>
      </c>
      <c r="I1029" s="5" t="str">
        <f>VLOOKUP(A1029,'Orders Dataset'!$A:$E,5,FALSE)</f>
        <v>Pune</v>
      </c>
    </row>
    <row r="1030" spans="1:9" x14ac:dyDescent="0.25">
      <c r="A1030" t="s">
        <v>226</v>
      </c>
      <c r="B1030">
        <v>245</v>
      </c>
      <c r="C1030">
        <v>-78</v>
      </c>
      <c r="D1030">
        <v>2</v>
      </c>
      <c r="E1030" t="s">
        <v>889</v>
      </c>
      <c r="F1030" t="s">
        <v>896</v>
      </c>
      <c r="G1030" t="s">
        <v>902</v>
      </c>
      <c r="H1030" s="3" t="str">
        <f>VLOOKUP(A1030,'Orders Dataset'!$A:$D,4,FALSE)</f>
        <v>Maharashtra</v>
      </c>
      <c r="I1030" s="5" t="str">
        <f>VLOOKUP(A1030,'Orders Dataset'!$A:$E,5,FALSE)</f>
        <v>Mumbai</v>
      </c>
    </row>
    <row r="1031" spans="1:9" x14ac:dyDescent="0.25">
      <c r="A1031" t="s">
        <v>635</v>
      </c>
      <c r="B1031">
        <v>146</v>
      </c>
      <c r="C1031">
        <v>42</v>
      </c>
      <c r="D1031">
        <v>5</v>
      </c>
      <c r="E1031" t="s">
        <v>899</v>
      </c>
      <c r="F1031" t="s">
        <v>903</v>
      </c>
      <c r="G1031" t="s">
        <v>902</v>
      </c>
      <c r="H1031" s="3" t="str">
        <f>VLOOKUP(A1031,'Orders Dataset'!$A:$D,4,FALSE)</f>
        <v>Gujarat</v>
      </c>
      <c r="I1031" s="5" t="str">
        <f>VLOOKUP(A1031,'Orders Dataset'!$A:$E,5,FALSE)</f>
        <v>Surat</v>
      </c>
    </row>
    <row r="1032" spans="1:9" x14ac:dyDescent="0.25">
      <c r="A1032" t="s">
        <v>279</v>
      </c>
      <c r="B1032">
        <v>245</v>
      </c>
      <c r="C1032">
        <v>10</v>
      </c>
      <c r="D1032">
        <v>2</v>
      </c>
      <c r="E1032" t="s">
        <v>892</v>
      </c>
      <c r="F1032" t="s">
        <v>895</v>
      </c>
      <c r="G1032" t="s">
        <v>891</v>
      </c>
      <c r="H1032" s="3" t="str">
        <f>VLOOKUP(A1032,'Orders Dataset'!$A:$D,4,FALSE)</f>
        <v>Madhya Pradesh</v>
      </c>
      <c r="I1032" s="5" t="str">
        <f>VLOOKUP(A1032,'Orders Dataset'!$A:$E,5,FALSE)</f>
        <v>Indore</v>
      </c>
    </row>
    <row r="1033" spans="1:9" x14ac:dyDescent="0.25">
      <c r="A1033" t="s">
        <v>248</v>
      </c>
      <c r="B1033">
        <v>245</v>
      </c>
      <c r="C1033">
        <v>91</v>
      </c>
      <c r="D1033">
        <v>2</v>
      </c>
      <c r="E1033" t="s">
        <v>892</v>
      </c>
      <c r="F1033" t="s">
        <v>895</v>
      </c>
      <c r="G1033" t="s">
        <v>902</v>
      </c>
      <c r="H1033" s="3" t="str">
        <f>VLOOKUP(A1033,'Orders Dataset'!$A:$D,4,FALSE)</f>
        <v>Delhi</v>
      </c>
      <c r="I1033" s="5" t="str">
        <f>VLOOKUP(A1033,'Orders Dataset'!$A:$E,5,FALSE)</f>
        <v>Delhi</v>
      </c>
    </row>
    <row r="1034" spans="1:9" x14ac:dyDescent="0.25">
      <c r="A1034" t="s">
        <v>55</v>
      </c>
      <c r="B1034">
        <v>80</v>
      </c>
      <c r="C1034">
        <v>3</v>
      </c>
      <c r="D1034">
        <v>3</v>
      </c>
      <c r="E1034" t="s">
        <v>899</v>
      </c>
      <c r="F1034" t="s">
        <v>907</v>
      </c>
      <c r="G1034" t="s">
        <v>894</v>
      </c>
      <c r="H1034" s="3" t="str">
        <f>VLOOKUP(A1034,'Orders Dataset'!$A:$D,4,FALSE)</f>
        <v>Bihar</v>
      </c>
      <c r="I1034" s="5" t="str">
        <f>VLOOKUP(A1034,'Orders Dataset'!$A:$E,5,FALSE)</f>
        <v>Patna</v>
      </c>
    </row>
    <row r="1035" spans="1:9" x14ac:dyDescent="0.25">
      <c r="A1035" t="s">
        <v>185</v>
      </c>
      <c r="B1035">
        <v>269</v>
      </c>
      <c r="C1035">
        <v>33</v>
      </c>
      <c r="D1035">
        <v>5</v>
      </c>
      <c r="E1035" t="s">
        <v>892</v>
      </c>
      <c r="F1035" t="s">
        <v>893</v>
      </c>
      <c r="G1035" t="s">
        <v>911</v>
      </c>
      <c r="H1035" s="3" t="str">
        <f>VLOOKUP(A1035,'Orders Dataset'!$A:$D,4,FALSE)</f>
        <v>Gujarat</v>
      </c>
      <c r="I1035" s="5" t="str">
        <f>VLOOKUP(A1035,'Orders Dataset'!$A:$E,5,FALSE)</f>
        <v>Surat</v>
      </c>
    </row>
    <row r="1036" spans="1:9" x14ac:dyDescent="0.25">
      <c r="A1036" t="s">
        <v>746</v>
      </c>
      <c r="B1036">
        <v>80</v>
      </c>
      <c r="C1036">
        <v>22</v>
      </c>
      <c r="D1036">
        <v>3</v>
      </c>
      <c r="E1036" t="s">
        <v>899</v>
      </c>
      <c r="F1036" t="s">
        <v>907</v>
      </c>
      <c r="G1036" t="s">
        <v>894</v>
      </c>
      <c r="H1036" s="3" t="str">
        <f>VLOOKUP(A1036,'Orders Dataset'!$A:$D,4,FALSE)</f>
        <v>Nagaland</v>
      </c>
      <c r="I1036" s="5" t="str">
        <f>VLOOKUP(A1036,'Orders Dataset'!$A:$E,5,FALSE)</f>
        <v>Kohima</v>
      </c>
    </row>
    <row r="1037" spans="1:9" x14ac:dyDescent="0.25">
      <c r="A1037" t="s">
        <v>397</v>
      </c>
      <c r="B1037">
        <v>284</v>
      </c>
      <c r="C1037">
        <v>44</v>
      </c>
      <c r="D1037">
        <v>6</v>
      </c>
      <c r="E1037" t="s">
        <v>899</v>
      </c>
      <c r="F1037" t="s">
        <v>903</v>
      </c>
      <c r="G1037" t="s">
        <v>891</v>
      </c>
      <c r="H1037" s="3" t="str">
        <f>VLOOKUP(A1037,'Orders Dataset'!$A:$D,4,FALSE)</f>
        <v>Rajasthan</v>
      </c>
      <c r="I1037" s="5" t="str">
        <f>VLOOKUP(A1037,'Orders Dataset'!$A:$E,5,FALSE)</f>
        <v>Jaipur</v>
      </c>
    </row>
    <row r="1038" spans="1:9" x14ac:dyDescent="0.25">
      <c r="A1038" t="s">
        <v>493</v>
      </c>
      <c r="B1038">
        <v>313</v>
      </c>
      <c r="C1038">
        <v>44</v>
      </c>
      <c r="D1038">
        <v>3</v>
      </c>
      <c r="E1038" t="s">
        <v>889</v>
      </c>
      <c r="F1038" t="s">
        <v>890</v>
      </c>
      <c r="G1038" t="s">
        <v>891</v>
      </c>
      <c r="H1038" s="3" t="str">
        <f>VLOOKUP(A1038,'Orders Dataset'!$A:$D,4,FALSE)</f>
        <v>Maharashtra</v>
      </c>
      <c r="I1038" s="5" t="str">
        <f>VLOOKUP(A1038,'Orders Dataset'!$A:$E,5,FALSE)</f>
        <v>Mumbai</v>
      </c>
    </row>
    <row r="1039" spans="1:9" x14ac:dyDescent="0.25">
      <c r="A1039" t="s">
        <v>744</v>
      </c>
      <c r="B1039">
        <v>80</v>
      </c>
      <c r="C1039">
        <v>-26</v>
      </c>
      <c r="D1039">
        <v>9</v>
      </c>
      <c r="E1039" t="s">
        <v>899</v>
      </c>
      <c r="F1039" t="s">
        <v>905</v>
      </c>
      <c r="G1039" t="s">
        <v>894</v>
      </c>
      <c r="H1039" s="3" t="str">
        <f>VLOOKUP(A1039,'Orders Dataset'!$A:$D,4,FALSE)</f>
        <v>Gujarat</v>
      </c>
      <c r="I1039" s="5" t="str">
        <f>VLOOKUP(A1039,'Orders Dataset'!$A:$E,5,FALSE)</f>
        <v>Surat</v>
      </c>
    </row>
    <row r="1040" spans="1:9" x14ac:dyDescent="0.25">
      <c r="A1040" t="s">
        <v>803</v>
      </c>
      <c r="B1040">
        <v>48</v>
      </c>
      <c r="C1040">
        <v>-8</v>
      </c>
      <c r="D1040">
        <v>8</v>
      </c>
      <c r="E1040" t="s">
        <v>899</v>
      </c>
      <c r="F1040" t="s">
        <v>907</v>
      </c>
      <c r="G1040" t="s">
        <v>891</v>
      </c>
      <c r="H1040" s="3" t="str">
        <f>VLOOKUP(A1040,'Orders Dataset'!$A:$D,4,FALSE)</f>
        <v>Himachal Pradesh</v>
      </c>
      <c r="I1040" s="5" t="str">
        <f>VLOOKUP(A1040,'Orders Dataset'!$A:$E,5,FALSE)</f>
        <v>Simla</v>
      </c>
    </row>
    <row r="1041" spans="1:9" x14ac:dyDescent="0.25">
      <c r="A1041" t="s">
        <v>733</v>
      </c>
      <c r="B1041">
        <v>87</v>
      </c>
      <c r="C1041">
        <v>16</v>
      </c>
      <c r="D1041">
        <v>2</v>
      </c>
      <c r="E1041" t="s">
        <v>899</v>
      </c>
      <c r="F1041" t="s">
        <v>901</v>
      </c>
      <c r="G1041" t="s">
        <v>902</v>
      </c>
      <c r="H1041" s="3" t="str">
        <f>VLOOKUP(A1041,'Orders Dataset'!$A:$D,4,FALSE)</f>
        <v>Maharashtra</v>
      </c>
      <c r="I1041" s="5" t="str">
        <f>VLOOKUP(A1041,'Orders Dataset'!$A:$E,5,FALSE)</f>
        <v>Pune</v>
      </c>
    </row>
    <row r="1042" spans="1:9" x14ac:dyDescent="0.25">
      <c r="A1042" t="s">
        <v>214</v>
      </c>
      <c r="B1042">
        <v>47</v>
      </c>
      <c r="C1042">
        <v>-114</v>
      </c>
      <c r="D1042">
        <v>5</v>
      </c>
      <c r="E1042" t="s">
        <v>892</v>
      </c>
      <c r="F1042" t="s">
        <v>912</v>
      </c>
      <c r="G1042" t="s">
        <v>891</v>
      </c>
      <c r="H1042" s="3" t="str">
        <f>VLOOKUP(A1042,'Orders Dataset'!$A:$D,4,FALSE)</f>
        <v>Uttar Pradesh</v>
      </c>
      <c r="I1042" s="5" t="str">
        <f>VLOOKUP(A1042,'Orders Dataset'!$A:$E,5,FALSE)</f>
        <v>Lucknow</v>
      </c>
    </row>
    <row r="1043" spans="1:9" x14ac:dyDescent="0.25">
      <c r="A1043" t="s">
        <v>402</v>
      </c>
      <c r="B1043">
        <v>140</v>
      </c>
      <c r="C1043">
        <v>28</v>
      </c>
      <c r="D1043">
        <v>2</v>
      </c>
      <c r="E1043" t="s">
        <v>889</v>
      </c>
      <c r="F1043" t="s">
        <v>898</v>
      </c>
      <c r="G1043" t="s">
        <v>891</v>
      </c>
      <c r="H1043" s="3" t="str">
        <f>VLOOKUP(A1043,'Orders Dataset'!$A:$D,4,FALSE)</f>
        <v>Maharashtra</v>
      </c>
      <c r="I1043" s="5" t="str">
        <f>VLOOKUP(A1043,'Orders Dataset'!$A:$E,5,FALSE)</f>
        <v>Mumbai</v>
      </c>
    </row>
    <row r="1044" spans="1:9" x14ac:dyDescent="0.25">
      <c r="A1044" t="s">
        <v>478</v>
      </c>
      <c r="B1044">
        <v>47</v>
      </c>
      <c r="C1044">
        <v>1</v>
      </c>
      <c r="D1044">
        <v>2</v>
      </c>
      <c r="E1044" t="s">
        <v>899</v>
      </c>
      <c r="F1044" t="s">
        <v>907</v>
      </c>
      <c r="G1044" t="s">
        <v>891</v>
      </c>
      <c r="H1044" s="3" t="str">
        <f>VLOOKUP(A1044,'Orders Dataset'!$A:$D,4,FALSE)</f>
        <v>Delhi</v>
      </c>
      <c r="I1044" s="5" t="str">
        <f>VLOOKUP(A1044,'Orders Dataset'!$A:$E,5,FALSE)</f>
        <v>Delhi</v>
      </c>
    </row>
    <row r="1045" spans="1:9" x14ac:dyDescent="0.25">
      <c r="A1045" t="s">
        <v>509</v>
      </c>
      <c r="B1045">
        <v>79</v>
      </c>
      <c r="C1045">
        <v>-2</v>
      </c>
      <c r="D1045">
        <v>2</v>
      </c>
      <c r="E1045" t="s">
        <v>892</v>
      </c>
      <c r="F1045" t="s">
        <v>912</v>
      </c>
      <c r="G1045" t="s">
        <v>894</v>
      </c>
      <c r="H1045" s="3" t="str">
        <f>VLOOKUP(A1045,'Orders Dataset'!$A:$D,4,FALSE)</f>
        <v>Maharashtra</v>
      </c>
      <c r="I1045" s="5" t="str">
        <f>VLOOKUP(A1045,'Orders Dataset'!$A:$E,5,FALSE)</f>
        <v>Mumbai</v>
      </c>
    </row>
    <row r="1046" spans="1:9" x14ac:dyDescent="0.25">
      <c r="A1046" t="s">
        <v>339</v>
      </c>
      <c r="B1046">
        <v>78</v>
      </c>
      <c r="C1046">
        <v>-64</v>
      </c>
      <c r="D1046">
        <v>7</v>
      </c>
      <c r="E1046" t="s">
        <v>899</v>
      </c>
      <c r="F1046" t="s">
        <v>907</v>
      </c>
      <c r="G1046" t="s">
        <v>894</v>
      </c>
      <c r="H1046" s="3" t="str">
        <f>VLOOKUP(A1046,'Orders Dataset'!$A:$D,4,FALSE)</f>
        <v>Maharashtra</v>
      </c>
      <c r="I1046" s="5" t="str">
        <f>VLOOKUP(A1046,'Orders Dataset'!$A:$E,5,FALSE)</f>
        <v>Mumbai</v>
      </c>
    </row>
    <row r="1047" spans="1:9" x14ac:dyDescent="0.25">
      <c r="A1047" t="s">
        <v>30</v>
      </c>
      <c r="B1047">
        <v>47</v>
      </c>
      <c r="C1047">
        <v>-3</v>
      </c>
      <c r="D1047">
        <v>2</v>
      </c>
      <c r="E1047" t="s">
        <v>899</v>
      </c>
      <c r="F1047" t="s">
        <v>907</v>
      </c>
      <c r="G1047" t="s">
        <v>891</v>
      </c>
      <c r="H1047" s="3" t="str">
        <f>VLOOKUP(A1047,'Orders Dataset'!$A:$D,4,FALSE)</f>
        <v>Andhra Pradesh</v>
      </c>
      <c r="I1047" s="5" t="str">
        <f>VLOOKUP(A1047,'Orders Dataset'!$A:$E,5,FALSE)</f>
        <v>Hyderabad</v>
      </c>
    </row>
    <row r="1048" spans="1:9" x14ac:dyDescent="0.25">
      <c r="A1048" t="s">
        <v>580</v>
      </c>
      <c r="B1048">
        <v>185</v>
      </c>
      <c r="C1048">
        <v>48</v>
      </c>
      <c r="D1048">
        <v>4</v>
      </c>
      <c r="E1048" t="s">
        <v>899</v>
      </c>
      <c r="F1048" t="s">
        <v>907</v>
      </c>
      <c r="G1048" t="s">
        <v>902</v>
      </c>
      <c r="H1048" s="3" t="str">
        <f>VLOOKUP(A1048,'Orders Dataset'!$A:$D,4,FALSE)</f>
        <v>Sikkim</v>
      </c>
      <c r="I1048" s="5" t="str">
        <f>VLOOKUP(A1048,'Orders Dataset'!$A:$E,5,FALSE)</f>
        <v>Gangtok</v>
      </c>
    </row>
    <row r="1049" spans="1:9" x14ac:dyDescent="0.25">
      <c r="A1049" t="s">
        <v>164</v>
      </c>
      <c r="B1049">
        <v>77</v>
      </c>
      <c r="C1049">
        <v>36</v>
      </c>
      <c r="D1049">
        <v>2</v>
      </c>
      <c r="E1049" t="s">
        <v>899</v>
      </c>
      <c r="F1049" t="s">
        <v>913</v>
      </c>
      <c r="G1049" t="s">
        <v>894</v>
      </c>
      <c r="H1049" s="3" t="str">
        <f>VLOOKUP(A1049,'Orders Dataset'!$A:$D,4,FALSE)</f>
        <v>Andhra Pradesh</v>
      </c>
      <c r="I1049" s="5" t="str">
        <f>VLOOKUP(A1049,'Orders Dataset'!$A:$E,5,FALSE)</f>
        <v>Hyderabad</v>
      </c>
    </row>
    <row r="1050" spans="1:9" x14ac:dyDescent="0.25">
      <c r="A1050" t="s">
        <v>524</v>
      </c>
      <c r="B1050">
        <v>259</v>
      </c>
      <c r="C1050">
        <v>47</v>
      </c>
      <c r="D1050">
        <v>5</v>
      </c>
      <c r="E1050" t="s">
        <v>899</v>
      </c>
      <c r="F1050" t="s">
        <v>903</v>
      </c>
      <c r="G1050" t="s">
        <v>902</v>
      </c>
      <c r="H1050" s="3" t="str">
        <f>VLOOKUP(A1050,'Orders Dataset'!$A:$D,4,FALSE)</f>
        <v>Madhya Pradesh</v>
      </c>
      <c r="I1050" s="5" t="str">
        <f>VLOOKUP(A1050,'Orders Dataset'!$A:$E,5,FALSE)</f>
        <v>Indore</v>
      </c>
    </row>
    <row r="1051" spans="1:9" x14ac:dyDescent="0.25">
      <c r="A1051" t="s">
        <v>757</v>
      </c>
      <c r="B1051">
        <v>75</v>
      </c>
      <c r="C1051">
        <v>0</v>
      </c>
      <c r="D1051">
        <v>7</v>
      </c>
      <c r="E1051" t="s">
        <v>899</v>
      </c>
      <c r="F1051" t="s">
        <v>901</v>
      </c>
      <c r="G1051" t="s">
        <v>894</v>
      </c>
      <c r="H1051" s="3" t="str">
        <f>VLOOKUP(A1051,'Orders Dataset'!$A:$D,4,FALSE)</f>
        <v>West Bengal</v>
      </c>
      <c r="I1051" s="5" t="str">
        <f>VLOOKUP(A1051,'Orders Dataset'!$A:$E,5,FALSE)</f>
        <v>Kolkata</v>
      </c>
    </row>
    <row r="1052" spans="1:9" x14ac:dyDescent="0.25">
      <c r="A1052" t="s">
        <v>219</v>
      </c>
      <c r="B1052">
        <v>75</v>
      </c>
      <c r="C1052">
        <v>0</v>
      </c>
      <c r="D1052">
        <v>3</v>
      </c>
      <c r="E1052" t="s">
        <v>899</v>
      </c>
      <c r="F1052" t="s">
        <v>913</v>
      </c>
      <c r="G1052" t="s">
        <v>894</v>
      </c>
      <c r="H1052" s="3" t="str">
        <f>VLOOKUP(A1052,'Orders Dataset'!$A:$D,4,FALSE)</f>
        <v>Maharashtra</v>
      </c>
      <c r="I1052" s="5" t="str">
        <f>VLOOKUP(A1052,'Orders Dataset'!$A:$E,5,FALSE)</f>
        <v>Mumbai</v>
      </c>
    </row>
    <row r="1053" spans="1:9" x14ac:dyDescent="0.25">
      <c r="A1053" t="s">
        <v>787</v>
      </c>
      <c r="B1053">
        <v>46</v>
      </c>
      <c r="C1053">
        <v>0</v>
      </c>
      <c r="D1053">
        <v>4</v>
      </c>
      <c r="E1053" t="s">
        <v>899</v>
      </c>
      <c r="F1053" t="s">
        <v>908</v>
      </c>
      <c r="G1053" t="s">
        <v>891</v>
      </c>
      <c r="H1053" s="3" t="str">
        <f>VLOOKUP(A1053,'Orders Dataset'!$A:$D,4,FALSE)</f>
        <v>Goa</v>
      </c>
      <c r="I1053" s="5" t="str">
        <f>VLOOKUP(A1053,'Orders Dataset'!$A:$E,5,FALSE)</f>
        <v>Goa</v>
      </c>
    </row>
    <row r="1054" spans="1:9" x14ac:dyDescent="0.25">
      <c r="A1054" t="s">
        <v>495</v>
      </c>
      <c r="B1054">
        <v>46</v>
      </c>
      <c r="C1054">
        <v>13</v>
      </c>
      <c r="D1054">
        <v>3</v>
      </c>
      <c r="E1054" t="s">
        <v>899</v>
      </c>
      <c r="F1054" t="s">
        <v>903</v>
      </c>
      <c r="G1054" t="s">
        <v>891</v>
      </c>
      <c r="H1054" s="3" t="str">
        <f>VLOOKUP(A1054,'Orders Dataset'!$A:$D,4,FALSE)</f>
        <v>Himachal Pradesh</v>
      </c>
      <c r="I1054" s="5" t="str">
        <f>VLOOKUP(A1054,'Orders Dataset'!$A:$E,5,FALSE)</f>
        <v>Simla</v>
      </c>
    </row>
    <row r="1055" spans="1:9" x14ac:dyDescent="0.25">
      <c r="A1055" t="s">
        <v>25</v>
      </c>
      <c r="B1055">
        <v>200</v>
      </c>
      <c r="C1055">
        <v>13</v>
      </c>
      <c r="D1055">
        <v>5</v>
      </c>
      <c r="E1055" t="s">
        <v>889</v>
      </c>
      <c r="F1055" t="s">
        <v>898</v>
      </c>
      <c r="G1055" t="s">
        <v>891</v>
      </c>
      <c r="H1055" s="3" t="str">
        <f>VLOOKUP(A1055,'Orders Dataset'!$A:$D,4,FALSE)</f>
        <v>Maharashtra</v>
      </c>
      <c r="I1055" s="5" t="str">
        <f>VLOOKUP(A1055,'Orders Dataset'!$A:$E,5,FALSE)</f>
        <v>Pune</v>
      </c>
    </row>
    <row r="1056" spans="1:9" x14ac:dyDescent="0.25">
      <c r="A1056" t="s">
        <v>196</v>
      </c>
      <c r="B1056">
        <v>46</v>
      </c>
      <c r="C1056">
        <v>-14</v>
      </c>
      <c r="D1056">
        <v>1</v>
      </c>
      <c r="E1056" t="s">
        <v>889</v>
      </c>
      <c r="F1056" t="s">
        <v>898</v>
      </c>
      <c r="G1056" t="s">
        <v>891</v>
      </c>
      <c r="H1056" s="3" t="str">
        <f>VLOOKUP(A1056,'Orders Dataset'!$A:$D,4,FALSE)</f>
        <v>Maharashtra</v>
      </c>
      <c r="I1056" s="5" t="str">
        <f>VLOOKUP(A1056,'Orders Dataset'!$A:$E,5,FALSE)</f>
        <v>Mumbai</v>
      </c>
    </row>
    <row r="1057" spans="1:9" x14ac:dyDescent="0.25">
      <c r="A1057" t="s">
        <v>668</v>
      </c>
      <c r="B1057">
        <v>126</v>
      </c>
      <c r="C1057">
        <v>52</v>
      </c>
      <c r="D1057">
        <v>4</v>
      </c>
      <c r="E1057" t="s">
        <v>899</v>
      </c>
      <c r="F1057" t="s">
        <v>903</v>
      </c>
      <c r="G1057" t="s">
        <v>902</v>
      </c>
      <c r="H1057" s="3" t="str">
        <f>VLOOKUP(A1057,'Orders Dataset'!$A:$D,4,FALSE)</f>
        <v>Maharashtra</v>
      </c>
      <c r="I1057" s="5" t="str">
        <f>VLOOKUP(A1057,'Orders Dataset'!$A:$E,5,FALSE)</f>
        <v>Mumbai</v>
      </c>
    </row>
    <row r="1058" spans="1:9" x14ac:dyDescent="0.25">
      <c r="A1058" t="s">
        <v>309</v>
      </c>
      <c r="B1058">
        <v>74</v>
      </c>
      <c r="C1058">
        <v>29</v>
      </c>
      <c r="D1058">
        <v>3</v>
      </c>
      <c r="E1058" t="s">
        <v>899</v>
      </c>
      <c r="F1058" t="s">
        <v>907</v>
      </c>
      <c r="G1058" t="s">
        <v>894</v>
      </c>
      <c r="H1058" s="3" t="str">
        <f>VLOOKUP(A1058,'Orders Dataset'!$A:$D,4,FALSE)</f>
        <v>Maharashtra</v>
      </c>
      <c r="I1058" s="5" t="str">
        <f>VLOOKUP(A1058,'Orders Dataset'!$A:$E,5,FALSE)</f>
        <v>Mumbai</v>
      </c>
    </row>
    <row r="1059" spans="1:9" x14ac:dyDescent="0.25">
      <c r="A1059" t="s">
        <v>809</v>
      </c>
      <c r="B1059">
        <v>45</v>
      </c>
      <c r="C1059">
        <v>13</v>
      </c>
      <c r="D1059">
        <v>4</v>
      </c>
      <c r="E1059" t="s">
        <v>899</v>
      </c>
      <c r="F1059" t="s">
        <v>905</v>
      </c>
      <c r="G1059" t="s">
        <v>891</v>
      </c>
      <c r="H1059" s="3" t="str">
        <f>VLOOKUP(A1059,'Orders Dataset'!$A:$D,4,FALSE)</f>
        <v>Bihar</v>
      </c>
      <c r="I1059" s="5" t="str">
        <f>VLOOKUP(A1059,'Orders Dataset'!$A:$E,5,FALSE)</f>
        <v>Patna</v>
      </c>
    </row>
    <row r="1060" spans="1:9" x14ac:dyDescent="0.25">
      <c r="A1060" t="s">
        <v>424</v>
      </c>
      <c r="B1060">
        <v>74</v>
      </c>
      <c r="C1060">
        <v>9</v>
      </c>
      <c r="D1060">
        <v>3</v>
      </c>
      <c r="E1060" t="s">
        <v>899</v>
      </c>
      <c r="F1060" t="s">
        <v>913</v>
      </c>
      <c r="G1060" t="s">
        <v>902</v>
      </c>
      <c r="H1060" s="3" t="str">
        <f>VLOOKUP(A1060,'Orders Dataset'!$A:$D,4,FALSE)</f>
        <v>Karnataka</v>
      </c>
      <c r="I1060" s="5" t="str">
        <f>VLOOKUP(A1060,'Orders Dataset'!$A:$E,5,FALSE)</f>
        <v>Bangalore</v>
      </c>
    </row>
    <row r="1061" spans="1:9" x14ac:dyDescent="0.25">
      <c r="A1061" t="s">
        <v>271</v>
      </c>
      <c r="B1061">
        <v>129</v>
      </c>
      <c r="C1061">
        <v>11</v>
      </c>
      <c r="D1061">
        <v>2</v>
      </c>
      <c r="E1061" t="s">
        <v>889</v>
      </c>
      <c r="F1061" t="s">
        <v>898</v>
      </c>
      <c r="G1061" t="s">
        <v>902</v>
      </c>
      <c r="H1061" s="3" t="str">
        <f>VLOOKUP(A1061,'Orders Dataset'!$A:$D,4,FALSE)</f>
        <v>Delhi</v>
      </c>
      <c r="I1061" s="5" t="str">
        <f>VLOOKUP(A1061,'Orders Dataset'!$A:$E,5,FALSE)</f>
        <v>Delhi</v>
      </c>
    </row>
    <row r="1062" spans="1:9" x14ac:dyDescent="0.25">
      <c r="A1062" t="s">
        <v>580</v>
      </c>
      <c r="B1062">
        <v>122</v>
      </c>
      <c r="C1062">
        <v>50</v>
      </c>
      <c r="D1062">
        <v>7</v>
      </c>
      <c r="E1062" t="s">
        <v>899</v>
      </c>
      <c r="F1062" t="s">
        <v>907</v>
      </c>
      <c r="G1062" t="s">
        <v>902</v>
      </c>
      <c r="H1062" s="3" t="str">
        <f>VLOOKUP(A1062,'Orders Dataset'!$A:$D,4,FALSE)</f>
        <v>Sikkim</v>
      </c>
      <c r="I1062" s="5" t="str">
        <f>VLOOKUP(A1062,'Orders Dataset'!$A:$E,5,FALSE)</f>
        <v>Gangtok</v>
      </c>
    </row>
    <row r="1063" spans="1:9" x14ac:dyDescent="0.25">
      <c r="A1063" t="s">
        <v>387</v>
      </c>
      <c r="B1063">
        <v>74</v>
      </c>
      <c r="C1063">
        <v>-51</v>
      </c>
      <c r="D1063">
        <v>3</v>
      </c>
      <c r="E1063" t="s">
        <v>899</v>
      </c>
      <c r="F1063" t="s">
        <v>907</v>
      </c>
      <c r="G1063" t="s">
        <v>902</v>
      </c>
      <c r="H1063" s="3" t="str">
        <f>VLOOKUP(A1063,'Orders Dataset'!$A:$D,4,FALSE)</f>
        <v>Nagaland</v>
      </c>
      <c r="I1063" s="5" t="str">
        <f>VLOOKUP(A1063,'Orders Dataset'!$A:$E,5,FALSE)</f>
        <v>Kohima</v>
      </c>
    </row>
    <row r="1064" spans="1:9" x14ac:dyDescent="0.25">
      <c r="A1064" t="s">
        <v>434</v>
      </c>
      <c r="B1064">
        <v>278</v>
      </c>
      <c r="C1064">
        <v>39</v>
      </c>
      <c r="D1064">
        <v>5</v>
      </c>
      <c r="E1064" t="s">
        <v>892</v>
      </c>
      <c r="F1064" t="s">
        <v>893</v>
      </c>
      <c r="G1064" t="s">
        <v>911</v>
      </c>
      <c r="H1064" s="3" t="str">
        <f>VLOOKUP(A1064,'Orders Dataset'!$A:$D,4,FALSE)</f>
        <v>Rajasthan</v>
      </c>
      <c r="I1064" s="5" t="str">
        <f>VLOOKUP(A1064,'Orders Dataset'!$A:$E,5,FALSE)</f>
        <v>Jaipur</v>
      </c>
    </row>
    <row r="1065" spans="1:9" x14ac:dyDescent="0.25">
      <c r="A1065" t="s">
        <v>512</v>
      </c>
      <c r="B1065">
        <v>282</v>
      </c>
      <c r="C1065">
        <v>14</v>
      </c>
      <c r="D1065">
        <v>4</v>
      </c>
      <c r="E1065" t="s">
        <v>899</v>
      </c>
      <c r="F1065" t="s">
        <v>900</v>
      </c>
      <c r="G1065" t="s">
        <v>911</v>
      </c>
      <c r="H1065" s="3" t="str">
        <f>VLOOKUP(A1065,'Orders Dataset'!$A:$D,4,FALSE)</f>
        <v>Punjab</v>
      </c>
      <c r="I1065" s="5" t="str">
        <f>VLOOKUP(A1065,'Orders Dataset'!$A:$E,5,FALSE)</f>
        <v>Amritsar</v>
      </c>
    </row>
    <row r="1066" spans="1:9" x14ac:dyDescent="0.25">
      <c r="A1066" t="s">
        <v>349</v>
      </c>
      <c r="B1066">
        <v>45</v>
      </c>
      <c r="C1066">
        <v>0</v>
      </c>
      <c r="D1066">
        <v>2</v>
      </c>
      <c r="E1066" t="s">
        <v>899</v>
      </c>
      <c r="F1066" t="s">
        <v>910</v>
      </c>
      <c r="G1066" t="s">
        <v>891</v>
      </c>
      <c r="H1066" s="3" t="str">
        <f>VLOOKUP(A1066,'Orders Dataset'!$A:$D,4,FALSE)</f>
        <v>West Bengal</v>
      </c>
      <c r="I1066" s="5" t="str">
        <f>VLOOKUP(A1066,'Orders Dataset'!$A:$E,5,FALSE)</f>
        <v>Kolkata</v>
      </c>
    </row>
    <row r="1067" spans="1:9" x14ac:dyDescent="0.25">
      <c r="A1067" t="s">
        <v>189</v>
      </c>
      <c r="B1067">
        <v>45</v>
      </c>
      <c r="C1067">
        <v>6</v>
      </c>
      <c r="D1067">
        <v>3</v>
      </c>
      <c r="E1067" t="s">
        <v>899</v>
      </c>
      <c r="F1067" t="s">
        <v>913</v>
      </c>
      <c r="G1067" t="s">
        <v>891</v>
      </c>
      <c r="H1067" s="3" t="str">
        <f>VLOOKUP(A1067,'Orders Dataset'!$A:$D,4,FALSE)</f>
        <v>Punjab</v>
      </c>
      <c r="I1067" s="5" t="str">
        <f>VLOOKUP(A1067,'Orders Dataset'!$A:$E,5,FALSE)</f>
        <v>Chandigarh</v>
      </c>
    </row>
    <row r="1068" spans="1:9" x14ac:dyDescent="0.25">
      <c r="A1068" t="s">
        <v>770</v>
      </c>
      <c r="B1068">
        <v>45</v>
      </c>
      <c r="C1068">
        <v>16</v>
      </c>
      <c r="D1068">
        <v>3</v>
      </c>
      <c r="E1068" t="s">
        <v>899</v>
      </c>
      <c r="F1068" t="s">
        <v>907</v>
      </c>
      <c r="G1068" t="s">
        <v>891</v>
      </c>
      <c r="H1068" s="3" t="str">
        <f>VLOOKUP(A1068,'Orders Dataset'!$A:$D,4,FALSE)</f>
        <v>Madhya Pradesh</v>
      </c>
      <c r="I1068" s="5" t="str">
        <f>VLOOKUP(A1068,'Orders Dataset'!$A:$E,5,FALSE)</f>
        <v>Indore</v>
      </c>
    </row>
    <row r="1069" spans="1:9" x14ac:dyDescent="0.25">
      <c r="A1069" t="s">
        <v>760</v>
      </c>
      <c r="B1069">
        <v>73</v>
      </c>
      <c r="C1069">
        <v>-36</v>
      </c>
      <c r="D1069">
        <v>3</v>
      </c>
      <c r="E1069" t="s">
        <v>892</v>
      </c>
      <c r="F1069" t="s">
        <v>893</v>
      </c>
      <c r="G1069" t="s">
        <v>902</v>
      </c>
      <c r="H1069" s="3" t="str">
        <f>VLOOKUP(A1069,'Orders Dataset'!$A:$D,4,FALSE)</f>
        <v>Maharashtra</v>
      </c>
      <c r="I1069" s="5" t="str">
        <f>VLOOKUP(A1069,'Orders Dataset'!$A:$E,5,FALSE)</f>
        <v>Mumbai</v>
      </c>
    </row>
    <row r="1070" spans="1:9" x14ac:dyDescent="0.25">
      <c r="A1070" t="s">
        <v>246</v>
      </c>
      <c r="B1070">
        <v>45</v>
      </c>
      <c r="C1070">
        <v>12</v>
      </c>
      <c r="D1070">
        <v>4</v>
      </c>
      <c r="E1070" t="s">
        <v>899</v>
      </c>
      <c r="F1070" t="s">
        <v>903</v>
      </c>
      <c r="G1070" t="s">
        <v>891</v>
      </c>
      <c r="H1070" s="3" t="str">
        <f>VLOOKUP(A1070,'Orders Dataset'!$A:$D,4,FALSE)</f>
        <v>Andhra Pradesh</v>
      </c>
      <c r="I1070" s="5" t="str">
        <f>VLOOKUP(A1070,'Orders Dataset'!$A:$E,5,FALSE)</f>
        <v>Hyderabad</v>
      </c>
    </row>
    <row r="1071" spans="1:9" x14ac:dyDescent="0.25">
      <c r="A1071" t="s">
        <v>202</v>
      </c>
      <c r="B1071">
        <v>72</v>
      </c>
      <c r="C1071">
        <v>-6</v>
      </c>
      <c r="D1071">
        <v>3</v>
      </c>
      <c r="E1071" t="s">
        <v>899</v>
      </c>
      <c r="F1071" t="s">
        <v>901</v>
      </c>
      <c r="G1071" t="s">
        <v>902</v>
      </c>
      <c r="H1071" s="3" t="str">
        <f>VLOOKUP(A1071,'Orders Dataset'!$A:$D,4,FALSE)</f>
        <v>Punjab</v>
      </c>
      <c r="I1071" s="5" t="str">
        <f>VLOOKUP(A1071,'Orders Dataset'!$A:$E,5,FALSE)</f>
        <v>Chandigarh</v>
      </c>
    </row>
    <row r="1072" spans="1:9" x14ac:dyDescent="0.25">
      <c r="A1072" t="s">
        <v>593</v>
      </c>
      <c r="B1072">
        <v>71</v>
      </c>
      <c r="C1072">
        <v>-44</v>
      </c>
      <c r="D1072">
        <v>5</v>
      </c>
      <c r="E1072" t="s">
        <v>889</v>
      </c>
      <c r="F1072" t="s">
        <v>909</v>
      </c>
      <c r="G1072" t="s">
        <v>902</v>
      </c>
      <c r="H1072" s="3" t="str">
        <f>VLOOKUP(A1072,'Orders Dataset'!$A:$D,4,FALSE)</f>
        <v>Punjab</v>
      </c>
      <c r="I1072" s="5" t="str">
        <f>VLOOKUP(A1072,'Orders Dataset'!$A:$E,5,FALSE)</f>
        <v>Amritsar</v>
      </c>
    </row>
    <row r="1073" spans="1:9" x14ac:dyDescent="0.25">
      <c r="A1073" t="s">
        <v>377</v>
      </c>
      <c r="B1073">
        <v>45</v>
      </c>
      <c r="C1073">
        <v>-2</v>
      </c>
      <c r="D1073">
        <v>4</v>
      </c>
      <c r="E1073" t="s">
        <v>899</v>
      </c>
      <c r="F1073" t="s">
        <v>913</v>
      </c>
      <c r="G1073" t="s">
        <v>891</v>
      </c>
      <c r="H1073" s="3" t="str">
        <f>VLOOKUP(A1073,'Orders Dataset'!$A:$D,4,FALSE)</f>
        <v>Madhya Pradesh</v>
      </c>
      <c r="I1073" s="5" t="str">
        <f>VLOOKUP(A1073,'Orders Dataset'!$A:$E,5,FALSE)</f>
        <v>Indore</v>
      </c>
    </row>
    <row r="1074" spans="1:9" x14ac:dyDescent="0.25">
      <c r="A1074" t="s">
        <v>478</v>
      </c>
      <c r="B1074">
        <v>286</v>
      </c>
      <c r="C1074">
        <v>140</v>
      </c>
      <c r="D1074">
        <v>6</v>
      </c>
      <c r="E1074" t="s">
        <v>899</v>
      </c>
      <c r="F1074" t="s">
        <v>913</v>
      </c>
      <c r="G1074" t="s">
        <v>911</v>
      </c>
      <c r="H1074" s="3" t="str">
        <f>VLOOKUP(A1074,'Orders Dataset'!$A:$D,4,FALSE)</f>
        <v>Delhi</v>
      </c>
      <c r="I1074" s="5" t="str">
        <f>VLOOKUP(A1074,'Orders Dataset'!$A:$E,5,FALSE)</f>
        <v>Delhi</v>
      </c>
    </row>
    <row r="1075" spans="1:9" x14ac:dyDescent="0.25">
      <c r="A1075" t="s">
        <v>505</v>
      </c>
      <c r="B1075">
        <v>294</v>
      </c>
      <c r="C1075">
        <v>138</v>
      </c>
      <c r="D1075">
        <v>2</v>
      </c>
      <c r="E1075" t="s">
        <v>889</v>
      </c>
      <c r="F1075" t="s">
        <v>896</v>
      </c>
      <c r="G1075" t="s">
        <v>911</v>
      </c>
      <c r="H1075" s="3" t="str">
        <f>VLOOKUP(A1075,'Orders Dataset'!$A:$D,4,FALSE)</f>
        <v>Madhya Pradesh</v>
      </c>
      <c r="I1075" s="5" t="str">
        <f>VLOOKUP(A1075,'Orders Dataset'!$A:$E,5,FALSE)</f>
        <v>Indore</v>
      </c>
    </row>
    <row r="1076" spans="1:9" x14ac:dyDescent="0.25">
      <c r="A1076" t="s">
        <v>323</v>
      </c>
      <c r="B1076">
        <v>223</v>
      </c>
      <c r="C1076">
        <v>4</v>
      </c>
      <c r="D1076">
        <v>3</v>
      </c>
      <c r="E1076" t="s">
        <v>889</v>
      </c>
      <c r="F1076" t="s">
        <v>898</v>
      </c>
      <c r="G1076" t="s">
        <v>891</v>
      </c>
      <c r="H1076" s="3" t="str">
        <f>VLOOKUP(A1076,'Orders Dataset'!$A:$D,4,FALSE)</f>
        <v>Punjab</v>
      </c>
      <c r="I1076" s="5" t="str">
        <f>VLOOKUP(A1076,'Orders Dataset'!$A:$E,5,FALSE)</f>
        <v>Amritsar</v>
      </c>
    </row>
    <row r="1077" spans="1:9" x14ac:dyDescent="0.25">
      <c r="A1077" t="s">
        <v>859</v>
      </c>
      <c r="B1077">
        <v>20</v>
      </c>
      <c r="C1077">
        <v>-2</v>
      </c>
      <c r="D1077">
        <v>1</v>
      </c>
      <c r="E1077" t="s">
        <v>889</v>
      </c>
      <c r="F1077" t="s">
        <v>909</v>
      </c>
      <c r="G1077" t="s">
        <v>902</v>
      </c>
      <c r="H1077" s="3" t="str">
        <f>VLOOKUP(A1077,'Orders Dataset'!$A:$D,4,FALSE)</f>
        <v>West Bengal</v>
      </c>
      <c r="I1077" s="5" t="str">
        <f>VLOOKUP(A1077,'Orders Dataset'!$A:$E,5,FALSE)</f>
        <v>Kolkata</v>
      </c>
    </row>
    <row r="1078" spans="1:9" x14ac:dyDescent="0.25">
      <c r="A1078" t="s">
        <v>451</v>
      </c>
      <c r="B1078">
        <v>302</v>
      </c>
      <c r="C1078">
        <v>75</v>
      </c>
      <c r="D1078">
        <v>6</v>
      </c>
      <c r="E1078" t="s">
        <v>892</v>
      </c>
      <c r="F1078" t="s">
        <v>912</v>
      </c>
      <c r="G1078" t="s">
        <v>911</v>
      </c>
      <c r="H1078" s="3" t="str">
        <f>VLOOKUP(A1078,'Orders Dataset'!$A:$D,4,FALSE)</f>
        <v>Nagaland</v>
      </c>
      <c r="I1078" s="5" t="str">
        <f>VLOOKUP(A1078,'Orders Dataset'!$A:$E,5,FALSE)</f>
        <v>Kohima</v>
      </c>
    </row>
    <row r="1079" spans="1:9" x14ac:dyDescent="0.25">
      <c r="A1079" t="s">
        <v>518</v>
      </c>
      <c r="B1079">
        <v>113</v>
      </c>
      <c r="C1079">
        <v>28</v>
      </c>
      <c r="D1079">
        <v>2</v>
      </c>
      <c r="E1079" t="s">
        <v>899</v>
      </c>
      <c r="F1079" t="s">
        <v>901</v>
      </c>
      <c r="G1079" t="s">
        <v>902</v>
      </c>
      <c r="H1079" s="3" t="str">
        <f>VLOOKUP(A1079,'Orders Dataset'!$A:$D,4,FALSE)</f>
        <v>Delhi</v>
      </c>
      <c r="I1079" s="5" t="str">
        <f>VLOOKUP(A1079,'Orders Dataset'!$A:$E,5,FALSE)</f>
        <v>Delhi</v>
      </c>
    </row>
    <row r="1080" spans="1:9" x14ac:dyDescent="0.25">
      <c r="A1080" t="s">
        <v>177</v>
      </c>
      <c r="B1080">
        <v>44</v>
      </c>
      <c r="C1080">
        <v>2</v>
      </c>
      <c r="D1080">
        <v>3</v>
      </c>
      <c r="E1080" t="s">
        <v>899</v>
      </c>
      <c r="F1080" t="s">
        <v>903</v>
      </c>
      <c r="G1080" t="s">
        <v>891</v>
      </c>
      <c r="H1080" s="3" t="str">
        <f>VLOOKUP(A1080,'Orders Dataset'!$A:$D,4,FALSE)</f>
        <v>Andhra Pradesh</v>
      </c>
      <c r="I1080" s="5" t="str">
        <f>VLOOKUP(A1080,'Orders Dataset'!$A:$E,5,FALSE)</f>
        <v>Hyderabad</v>
      </c>
    </row>
    <row r="1081" spans="1:9" x14ac:dyDescent="0.25">
      <c r="A1081" t="s">
        <v>496</v>
      </c>
      <c r="B1081">
        <v>305</v>
      </c>
      <c r="C1081">
        <v>-270</v>
      </c>
      <c r="D1081">
        <v>5</v>
      </c>
      <c r="E1081" t="s">
        <v>889</v>
      </c>
      <c r="F1081" t="s">
        <v>890</v>
      </c>
      <c r="G1081" t="s">
        <v>911</v>
      </c>
      <c r="H1081" s="3" t="str">
        <f>VLOOKUP(A1081,'Orders Dataset'!$A:$D,4,FALSE)</f>
        <v>Nagaland</v>
      </c>
      <c r="I1081" s="5" t="str">
        <f>VLOOKUP(A1081,'Orders Dataset'!$A:$E,5,FALSE)</f>
        <v>Kohima</v>
      </c>
    </row>
    <row r="1082" spans="1:9" x14ac:dyDescent="0.25">
      <c r="A1082" t="s">
        <v>219</v>
      </c>
      <c r="B1082">
        <v>306</v>
      </c>
      <c r="C1082">
        <v>-147</v>
      </c>
      <c r="D1082">
        <v>3</v>
      </c>
      <c r="E1082" t="s">
        <v>899</v>
      </c>
      <c r="F1082" t="s">
        <v>901</v>
      </c>
      <c r="G1082" t="s">
        <v>911</v>
      </c>
      <c r="H1082" s="3" t="str">
        <f>VLOOKUP(A1082,'Orders Dataset'!$A:$D,4,FALSE)</f>
        <v>Maharashtra</v>
      </c>
      <c r="I1082" s="5" t="str">
        <f>VLOOKUP(A1082,'Orders Dataset'!$A:$E,5,FALSE)</f>
        <v>Mumbai</v>
      </c>
    </row>
    <row r="1083" spans="1:9" x14ac:dyDescent="0.25">
      <c r="A1083" t="s">
        <v>559</v>
      </c>
      <c r="B1083">
        <v>70</v>
      </c>
      <c r="C1083">
        <v>-64</v>
      </c>
      <c r="D1083">
        <v>5</v>
      </c>
      <c r="E1083" t="s">
        <v>899</v>
      </c>
      <c r="F1083" t="s">
        <v>907</v>
      </c>
      <c r="G1083" t="s">
        <v>902</v>
      </c>
      <c r="H1083" s="3" t="str">
        <f>VLOOKUP(A1083,'Orders Dataset'!$A:$D,4,FALSE)</f>
        <v>Gujarat</v>
      </c>
      <c r="I1083" s="5" t="str">
        <f>VLOOKUP(A1083,'Orders Dataset'!$A:$E,5,FALSE)</f>
        <v>Ahmedabad</v>
      </c>
    </row>
    <row r="1084" spans="1:9" x14ac:dyDescent="0.25">
      <c r="A1084" t="s">
        <v>562</v>
      </c>
      <c r="B1084">
        <v>44</v>
      </c>
      <c r="C1084">
        <v>11</v>
      </c>
      <c r="D1084">
        <v>4</v>
      </c>
      <c r="E1084" t="s">
        <v>899</v>
      </c>
      <c r="F1084" t="s">
        <v>907</v>
      </c>
      <c r="G1084" t="s">
        <v>891</v>
      </c>
      <c r="H1084" s="3" t="str">
        <f>VLOOKUP(A1084,'Orders Dataset'!$A:$D,4,FALSE)</f>
        <v>Madhya Pradesh</v>
      </c>
      <c r="I1084" s="5" t="str">
        <f>VLOOKUP(A1084,'Orders Dataset'!$A:$E,5,FALSE)</f>
        <v>Indore</v>
      </c>
    </row>
    <row r="1085" spans="1:9" x14ac:dyDescent="0.25">
      <c r="A1085" t="s">
        <v>221</v>
      </c>
      <c r="B1085">
        <v>44</v>
      </c>
      <c r="C1085">
        <v>14</v>
      </c>
      <c r="D1085">
        <v>3</v>
      </c>
      <c r="E1085" t="s">
        <v>899</v>
      </c>
      <c r="F1085" t="s">
        <v>903</v>
      </c>
      <c r="G1085" t="s">
        <v>891</v>
      </c>
      <c r="H1085" s="3" t="str">
        <f>VLOOKUP(A1085,'Orders Dataset'!$A:$D,4,FALSE)</f>
        <v>Madhya Pradesh</v>
      </c>
      <c r="I1085" s="5" t="str">
        <f>VLOOKUP(A1085,'Orders Dataset'!$A:$E,5,FALSE)</f>
        <v>Indore</v>
      </c>
    </row>
    <row r="1086" spans="1:9" x14ac:dyDescent="0.25">
      <c r="A1086" t="s">
        <v>488</v>
      </c>
      <c r="B1086">
        <v>319</v>
      </c>
      <c r="C1086">
        <v>312</v>
      </c>
      <c r="D1086">
        <v>5</v>
      </c>
      <c r="E1086" t="s">
        <v>899</v>
      </c>
      <c r="F1086" t="s">
        <v>901</v>
      </c>
      <c r="G1086" t="s">
        <v>911</v>
      </c>
      <c r="H1086" s="3" t="str">
        <f>VLOOKUP(A1086,'Orders Dataset'!$A:$D,4,FALSE)</f>
        <v>Bihar</v>
      </c>
      <c r="I1086" s="5" t="str">
        <f>VLOOKUP(A1086,'Orders Dataset'!$A:$E,5,FALSE)</f>
        <v>Patna</v>
      </c>
    </row>
    <row r="1087" spans="1:9" x14ac:dyDescent="0.25">
      <c r="A1087" t="s">
        <v>452</v>
      </c>
      <c r="B1087">
        <v>287</v>
      </c>
      <c r="C1087">
        <v>-280</v>
      </c>
      <c r="D1087">
        <v>12</v>
      </c>
      <c r="E1087" t="s">
        <v>892</v>
      </c>
      <c r="F1087" t="s">
        <v>893</v>
      </c>
      <c r="G1087" t="s">
        <v>902</v>
      </c>
      <c r="H1087" s="3" t="str">
        <f>VLOOKUP(A1087,'Orders Dataset'!$A:$D,4,FALSE)</f>
        <v>Madhya Pradesh</v>
      </c>
      <c r="I1087" s="5" t="str">
        <f>VLOOKUP(A1087,'Orders Dataset'!$A:$E,5,FALSE)</f>
        <v>Indore</v>
      </c>
    </row>
    <row r="1088" spans="1:9" x14ac:dyDescent="0.25">
      <c r="A1088" t="s">
        <v>237</v>
      </c>
      <c r="B1088">
        <v>44</v>
      </c>
      <c r="C1088">
        <v>10</v>
      </c>
      <c r="D1088">
        <v>3</v>
      </c>
      <c r="E1088" t="s">
        <v>899</v>
      </c>
      <c r="F1088" t="s">
        <v>907</v>
      </c>
      <c r="G1088" t="s">
        <v>891</v>
      </c>
      <c r="H1088" s="3" t="str">
        <f>VLOOKUP(A1088,'Orders Dataset'!$A:$D,4,FALSE)</f>
        <v>Gujarat</v>
      </c>
      <c r="I1088" s="5" t="str">
        <f>VLOOKUP(A1088,'Orders Dataset'!$A:$E,5,FALSE)</f>
        <v>Ahmedabad</v>
      </c>
    </row>
    <row r="1089" spans="1:9" x14ac:dyDescent="0.25">
      <c r="A1089" t="s">
        <v>213</v>
      </c>
      <c r="B1089">
        <v>288</v>
      </c>
      <c r="C1089">
        <v>-180</v>
      </c>
      <c r="D1089">
        <v>4</v>
      </c>
      <c r="E1089" t="s">
        <v>892</v>
      </c>
      <c r="F1089" t="s">
        <v>893</v>
      </c>
      <c r="G1089" t="s">
        <v>891</v>
      </c>
      <c r="H1089" s="3" t="str">
        <f>VLOOKUP(A1089,'Orders Dataset'!$A:$D,4,FALSE)</f>
        <v>Madhya Pradesh</v>
      </c>
      <c r="I1089" s="5" t="str">
        <f>VLOOKUP(A1089,'Orders Dataset'!$A:$E,5,FALSE)</f>
        <v>Bhopal</v>
      </c>
    </row>
    <row r="1090" spans="1:9" x14ac:dyDescent="0.25">
      <c r="A1090" t="s">
        <v>768</v>
      </c>
      <c r="B1090">
        <v>49</v>
      </c>
      <c r="C1090">
        <v>-31</v>
      </c>
      <c r="D1090">
        <v>2</v>
      </c>
      <c r="E1090" t="s">
        <v>899</v>
      </c>
      <c r="F1090" t="s">
        <v>907</v>
      </c>
      <c r="G1090" t="s">
        <v>891</v>
      </c>
      <c r="H1090" s="3" t="str">
        <f>VLOOKUP(A1090,'Orders Dataset'!$A:$D,4,FALSE)</f>
        <v>Madhya Pradesh</v>
      </c>
      <c r="I1090" s="5" t="str">
        <f>VLOOKUP(A1090,'Orders Dataset'!$A:$E,5,FALSE)</f>
        <v>Bhopal</v>
      </c>
    </row>
    <row r="1091" spans="1:9" x14ac:dyDescent="0.25">
      <c r="A1091" t="s">
        <v>313</v>
      </c>
      <c r="B1091">
        <v>43</v>
      </c>
      <c r="C1091">
        <v>-10</v>
      </c>
      <c r="D1091">
        <v>4</v>
      </c>
      <c r="E1091" t="s">
        <v>899</v>
      </c>
      <c r="F1091" t="s">
        <v>905</v>
      </c>
      <c r="G1091" t="s">
        <v>891</v>
      </c>
      <c r="H1091" s="3" t="str">
        <f>VLOOKUP(A1091,'Orders Dataset'!$A:$D,4,FALSE)</f>
        <v>Delhi</v>
      </c>
      <c r="I1091" s="5" t="str">
        <f>VLOOKUP(A1091,'Orders Dataset'!$A:$E,5,FALSE)</f>
        <v>Delhi</v>
      </c>
    </row>
    <row r="1092" spans="1:9" x14ac:dyDescent="0.25">
      <c r="A1092" t="s">
        <v>296</v>
      </c>
      <c r="B1092">
        <v>43</v>
      </c>
      <c r="C1092">
        <v>5</v>
      </c>
      <c r="D1092">
        <v>3</v>
      </c>
      <c r="E1092" t="s">
        <v>899</v>
      </c>
      <c r="F1092" t="s">
        <v>907</v>
      </c>
      <c r="G1092" t="s">
        <v>891</v>
      </c>
      <c r="H1092" s="3" t="str">
        <f>VLOOKUP(A1092,'Orders Dataset'!$A:$D,4,FALSE)</f>
        <v>Madhya Pradesh</v>
      </c>
      <c r="I1092" s="5" t="str">
        <f>VLOOKUP(A1092,'Orders Dataset'!$A:$E,5,FALSE)</f>
        <v>Indore</v>
      </c>
    </row>
    <row r="1093" spans="1:9" x14ac:dyDescent="0.25">
      <c r="A1093" t="s">
        <v>87</v>
      </c>
      <c r="B1093">
        <v>68</v>
      </c>
      <c r="C1093">
        <v>-27</v>
      </c>
      <c r="D1093">
        <v>3</v>
      </c>
      <c r="E1093" t="s">
        <v>889</v>
      </c>
      <c r="F1093" t="s">
        <v>909</v>
      </c>
      <c r="G1093" t="s">
        <v>902</v>
      </c>
      <c r="H1093" s="3" t="str">
        <f>VLOOKUP(A1093,'Orders Dataset'!$A:$D,4,FALSE)</f>
        <v>Madhya Pradesh</v>
      </c>
      <c r="I1093" s="5" t="str">
        <f>VLOOKUP(A1093,'Orders Dataset'!$A:$E,5,FALSE)</f>
        <v>Indore</v>
      </c>
    </row>
    <row r="1094" spans="1:9" x14ac:dyDescent="0.25">
      <c r="A1094" t="s">
        <v>246</v>
      </c>
      <c r="B1094">
        <v>320</v>
      </c>
      <c r="C1094">
        <v>144</v>
      </c>
      <c r="D1094">
        <v>1</v>
      </c>
      <c r="E1094" t="s">
        <v>889</v>
      </c>
      <c r="F1094" t="s">
        <v>896</v>
      </c>
      <c r="G1094" t="s">
        <v>911</v>
      </c>
      <c r="H1094" s="3" t="str">
        <f>VLOOKUP(A1094,'Orders Dataset'!$A:$D,4,FALSE)</f>
        <v>Andhra Pradesh</v>
      </c>
      <c r="I1094" s="5" t="str">
        <f>VLOOKUP(A1094,'Orders Dataset'!$A:$E,5,FALSE)</f>
        <v>Hyderabad</v>
      </c>
    </row>
    <row r="1095" spans="1:9" x14ac:dyDescent="0.25">
      <c r="A1095" t="s">
        <v>187</v>
      </c>
      <c r="B1095">
        <v>67</v>
      </c>
      <c r="C1095">
        <v>2</v>
      </c>
      <c r="D1095">
        <v>4</v>
      </c>
      <c r="E1095" t="s">
        <v>899</v>
      </c>
      <c r="F1095" t="s">
        <v>910</v>
      </c>
      <c r="G1095" t="s">
        <v>902</v>
      </c>
      <c r="H1095" s="3" t="str">
        <f>VLOOKUP(A1095,'Orders Dataset'!$A:$D,4,FALSE)</f>
        <v>Madhya Pradesh</v>
      </c>
      <c r="I1095" s="5" t="str">
        <f>VLOOKUP(A1095,'Orders Dataset'!$A:$E,5,FALSE)</f>
        <v>Bhopal</v>
      </c>
    </row>
    <row r="1096" spans="1:9" x14ac:dyDescent="0.25">
      <c r="A1096" t="s">
        <v>160</v>
      </c>
      <c r="B1096">
        <v>66</v>
      </c>
      <c r="C1096">
        <v>-12</v>
      </c>
      <c r="D1096">
        <v>5</v>
      </c>
      <c r="E1096" t="s">
        <v>899</v>
      </c>
      <c r="F1096" t="s">
        <v>907</v>
      </c>
      <c r="G1096" t="s">
        <v>902</v>
      </c>
      <c r="H1096" s="3" t="str">
        <f>VLOOKUP(A1096,'Orders Dataset'!$A:$D,4,FALSE)</f>
        <v>Gujarat</v>
      </c>
      <c r="I1096" s="5" t="str">
        <f>VLOOKUP(A1096,'Orders Dataset'!$A:$E,5,FALSE)</f>
        <v>Ahmedabad</v>
      </c>
    </row>
    <row r="1097" spans="1:9" x14ac:dyDescent="0.25">
      <c r="A1097" t="s">
        <v>486</v>
      </c>
      <c r="B1097">
        <v>321</v>
      </c>
      <c r="C1097">
        <v>26</v>
      </c>
      <c r="D1097">
        <v>3</v>
      </c>
      <c r="E1097" t="s">
        <v>889</v>
      </c>
      <c r="F1097" t="s">
        <v>896</v>
      </c>
      <c r="G1097" t="s">
        <v>911</v>
      </c>
      <c r="H1097" s="3" t="str">
        <f>VLOOKUP(A1097,'Orders Dataset'!$A:$D,4,FALSE)</f>
        <v>Karnataka</v>
      </c>
      <c r="I1097" s="5" t="str">
        <f>VLOOKUP(A1097,'Orders Dataset'!$A:$E,5,FALSE)</f>
        <v>Bangalore</v>
      </c>
    </row>
    <row r="1098" spans="1:9" x14ac:dyDescent="0.25">
      <c r="A1098" t="s">
        <v>375</v>
      </c>
      <c r="B1098">
        <v>43</v>
      </c>
      <c r="C1098">
        <v>-5</v>
      </c>
      <c r="D1098">
        <v>2</v>
      </c>
      <c r="E1098" t="s">
        <v>899</v>
      </c>
      <c r="F1098" t="s">
        <v>901</v>
      </c>
      <c r="G1098" t="s">
        <v>891</v>
      </c>
      <c r="H1098" s="3" t="str">
        <f>VLOOKUP(A1098,'Orders Dataset'!$A:$D,4,FALSE)</f>
        <v>Maharashtra</v>
      </c>
      <c r="I1098" s="5" t="str">
        <f>VLOOKUP(A1098,'Orders Dataset'!$A:$E,5,FALSE)</f>
        <v>Mumbai</v>
      </c>
    </row>
    <row r="1099" spans="1:9" x14ac:dyDescent="0.25">
      <c r="A1099" t="s">
        <v>643</v>
      </c>
      <c r="B1099">
        <v>114</v>
      </c>
      <c r="C1099">
        <v>-39</v>
      </c>
      <c r="D1099">
        <v>5</v>
      </c>
      <c r="E1099" t="s">
        <v>899</v>
      </c>
      <c r="F1099" t="s">
        <v>904</v>
      </c>
      <c r="G1099" t="s">
        <v>891</v>
      </c>
      <c r="H1099" s="3" t="str">
        <f>VLOOKUP(A1099,'Orders Dataset'!$A:$D,4,FALSE)</f>
        <v>Punjab</v>
      </c>
      <c r="I1099" s="5" t="str">
        <f>VLOOKUP(A1099,'Orders Dataset'!$A:$E,5,FALSE)</f>
        <v>Chandigarh</v>
      </c>
    </row>
    <row r="1100" spans="1:9" x14ac:dyDescent="0.25">
      <c r="A1100" t="s">
        <v>250</v>
      </c>
      <c r="B1100">
        <v>43</v>
      </c>
      <c r="C1100">
        <v>17</v>
      </c>
      <c r="D1100">
        <v>1</v>
      </c>
      <c r="E1100" t="s">
        <v>899</v>
      </c>
      <c r="F1100" t="s">
        <v>901</v>
      </c>
      <c r="G1100" t="s">
        <v>891</v>
      </c>
      <c r="H1100" s="3" t="str">
        <f>VLOOKUP(A1100,'Orders Dataset'!$A:$D,4,FALSE)</f>
        <v>Uttar Pradesh</v>
      </c>
      <c r="I1100" s="5" t="str">
        <f>VLOOKUP(A1100,'Orders Dataset'!$A:$E,5,FALSE)</f>
        <v>Prayagraj</v>
      </c>
    </row>
    <row r="1101" spans="1:9" x14ac:dyDescent="0.25">
      <c r="A1101" t="s">
        <v>375</v>
      </c>
      <c r="B1101">
        <v>43</v>
      </c>
      <c r="C1101">
        <v>21</v>
      </c>
      <c r="D1101">
        <v>3</v>
      </c>
      <c r="E1101" t="s">
        <v>899</v>
      </c>
      <c r="F1101" t="s">
        <v>913</v>
      </c>
      <c r="G1101" t="s">
        <v>891</v>
      </c>
      <c r="H1101" s="3" t="str">
        <f>VLOOKUP(A1101,'Orders Dataset'!$A:$D,4,FALSE)</f>
        <v>Maharashtra</v>
      </c>
      <c r="I1101" s="5" t="str">
        <f>VLOOKUP(A1101,'Orders Dataset'!$A:$E,5,FALSE)</f>
        <v>Mumbai</v>
      </c>
    </row>
    <row r="1102" spans="1:9" x14ac:dyDescent="0.25">
      <c r="A1102" t="s">
        <v>332</v>
      </c>
      <c r="B1102">
        <v>637</v>
      </c>
      <c r="C1102">
        <v>50</v>
      </c>
      <c r="D1102">
        <v>5</v>
      </c>
      <c r="E1102" t="s">
        <v>899</v>
      </c>
      <c r="F1102" t="s">
        <v>901</v>
      </c>
      <c r="G1102" t="s">
        <v>891</v>
      </c>
      <c r="H1102" s="3" t="str">
        <f>VLOOKUP(A1102,'Orders Dataset'!$A:$D,4,FALSE)</f>
        <v>Tamil Nadu</v>
      </c>
      <c r="I1102" s="5" t="str">
        <f>VLOOKUP(A1102,'Orders Dataset'!$A:$E,5,FALSE)</f>
        <v>Chennai</v>
      </c>
    </row>
    <row r="1103" spans="1:9" x14ac:dyDescent="0.25">
      <c r="A1103" t="s">
        <v>472</v>
      </c>
      <c r="B1103">
        <v>300</v>
      </c>
      <c r="C1103">
        <v>42</v>
      </c>
      <c r="D1103">
        <v>2</v>
      </c>
      <c r="E1103" t="s">
        <v>889</v>
      </c>
      <c r="F1103" t="s">
        <v>896</v>
      </c>
      <c r="G1103" t="s">
        <v>891</v>
      </c>
      <c r="H1103" s="3" t="str">
        <f>VLOOKUP(A1103,'Orders Dataset'!$A:$D,4,FALSE)</f>
        <v>Nagaland</v>
      </c>
      <c r="I1103" s="5" t="str">
        <f>VLOOKUP(A1103,'Orders Dataset'!$A:$E,5,FALSE)</f>
        <v>Kohima</v>
      </c>
    </row>
    <row r="1104" spans="1:9" x14ac:dyDescent="0.25">
      <c r="A1104" t="s">
        <v>466</v>
      </c>
      <c r="B1104">
        <v>341</v>
      </c>
      <c r="C1104">
        <v>44</v>
      </c>
      <c r="D1104">
        <v>7</v>
      </c>
      <c r="E1104" t="s">
        <v>892</v>
      </c>
      <c r="F1104" t="s">
        <v>912</v>
      </c>
      <c r="G1104" t="s">
        <v>902</v>
      </c>
      <c r="H1104" s="3" t="str">
        <f>VLOOKUP(A1104,'Orders Dataset'!$A:$D,4,FALSE)</f>
        <v>Maharashtra</v>
      </c>
      <c r="I1104" s="5" t="str">
        <f>VLOOKUP(A1104,'Orders Dataset'!$A:$E,5,FALSE)</f>
        <v>Mumbai</v>
      </c>
    </row>
    <row r="1105" spans="1:9" x14ac:dyDescent="0.25">
      <c r="A1105" t="s">
        <v>666</v>
      </c>
      <c r="B1105">
        <v>102</v>
      </c>
      <c r="C1105">
        <v>0</v>
      </c>
      <c r="D1105">
        <v>3</v>
      </c>
      <c r="E1105" t="s">
        <v>889</v>
      </c>
      <c r="F1105" t="s">
        <v>898</v>
      </c>
      <c r="G1105" t="s">
        <v>891</v>
      </c>
      <c r="H1105" s="3" t="str">
        <f>VLOOKUP(A1105,'Orders Dataset'!$A:$D,4,FALSE)</f>
        <v>Maharashtra</v>
      </c>
      <c r="I1105" s="5" t="str">
        <f>VLOOKUP(A1105,'Orders Dataset'!$A:$E,5,FALSE)</f>
        <v>Mumbai</v>
      </c>
    </row>
    <row r="1106" spans="1:9" x14ac:dyDescent="0.25">
      <c r="A1106" t="s">
        <v>48</v>
      </c>
      <c r="B1106">
        <v>328</v>
      </c>
      <c r="C1106">
        <v>-15</v>
      </c>
      <c r="D1106">
        <v>3</v>
      </c>
      <c r="E1106" t="s">
        <v>889</v>
      </c>
      <c r="F1106" t="s">
        <v>890</v>
      </c>
      <c r="G1106" t="s">
        <v>911</v>
      </c>
      <c r="H1106" s="3" t="str">
        <f>VLOOKUP(A1106,'Orders Dataset'!$A:$D,4,FALSE)</f>
        <v>Uttar Pradesh</v>
      </c>
      <c r="I1106" s="5" t="str">
        <f>VLOOKUP(A1106,'Orders Dataset'!$A:$E,5,FALSE)</f>
        <v>Mathura</v>
      </c>
    </row>
    <row r="1107" spans="1:9" x14ac:dyDescent="0.25">
      <c r="A1107" t="s">
        <v>204</v>
      </c>
      <c r="B1107">
        <v>341</v>
      </c>
      <c r="C1107">
        <v>160</v>
      </c>
      <c r="D1107">
        <v>7</v>
      </c>
      <c r="E1107" t="s">
        <v>899</v>
      </c>
      <c r="F1107" t="s">
        <v>907</v>
      </c>
      <c r="G1107" t="s">
        <v>911</v>
      </c>
      <c r="H1107" s="3" t="str">
        <f>VLOOKUP(A1107,'Orders Dataset'!$A:$D,4,FALSE)</f>
        <v>Maharashtra</v>
      </c>
      <c r="I1107" s="5" t="str">
        <f>VLOOKUP(A1107,'Orders Dataset'!$A:$E,5,FALSE)</f>
        <v>Mumbai</v>
      </c>
    </row>
    <row r="1108" spans="1:9" x14ac:dyDescent="0.25">
      <c r="A1108" t="s">
        <v>772</v>
      </c>
      <c r="B1108">
        <v>62</v>
      </c>
      <c r="C1108">
        <v>11</v>
      </c>
      <c r="D1108">
        <v>7</v>
      </c>
      <c r="E1108" t="s">
        <v>899</v>
      </c>
      <c r="F1108" t="s">
        <v>903</v>
      </c>
      <c r="G1108" t="s">
        <v>902</v>
      </c>
      <c r="H1108" s="3" t="str">
        <f>VLOOKUP(A1108,'Orders Dataset'!$A:$D,4,FALSE)</f>
        <v>Rajasthan</v>
      </c>
      <c r="I1108" s="5" t="str">
        <f>VLOOKUP(A1108,'Orders Dataset'!$A:$E,5,FALSE)</f>
        <v>Jaipur</v>
      </c>
    </row>
    <row r="1109" spans="1:9" x14ac:dyDescent="0.25">
      <c r="A1109" t="s">
        <v>248</v>
      </c>
      <c r="B1109">
        <v>42</v>
      </c>
      <c r="C1109">
        <v>13</v>
      </c>
      <c r="D1109">
        <v>3</v>
      </c>
      <c r="E1109" t="s">
        <v>899</v>
      </c>
      <c r="F1109" t="s">
        <v>908</v>
      </c>
      <c r="G1109" t="s">
        <v>891</v>
      </c>
      <c r="H1109" s="3" t="str">
        <f>VLOOKUP(A1109,'Orders Dataset'!$A:$D,4,FALSE)</f>
        <v>Delhi</v>
      </c>
      <c r="I1109" s="5" t="str">
        <f>VLOOKUP(A1109,'Orders Dataset'!$A:$E,5,FALSE)</f>
        <v>Delhi</v>
      </c>
    </row>
    <row r="1110" spans="1:9" x14ac:dyDescent="0.25">
      <c r="A1110" t="s">
        <v>580</v>
      </c>
      <c r="B1110">
        <v>62</v>
      </c>
      <c r="C1110">
        <v>28</v>
      </c>
      <c r="D1110">
        <v>5</v>
      </c>
      <c r="E1110" t="s">
        <v>899</v>
      </c>
      <c r="F1110" t="s">
        <v>903</v>
      </c>
      <c r="G1110" t="s">
        <v>902</v>
      </c>
      <c r="H1110" s="3" t="str">
        <f>VLOOKUP(A1110,'Orders Dataset'!$A:$D,4,FALSE)</f>
        <v>Sikkim</v>
      </c>
      <c r="I1110" s="5" t="str">
        <f>VLOOKUP(A1110,'Orders Dataset'!$A:$E,5,FALSE)</f>
        <v>Gangtok</v>
      </c>
    </row>
    <row r="1111" spans="1:9" x14ac:dyDescent="0.25">
      <c r="A1111" t="s">
        <v>509</v>
      </c>
      <c r="B1111">
        <v>42</v>
      </c>
      <c r="C1111">
        <v>7</v>
      </c>
      <c r="D1111">
        <v>2</v>
      </c>
      <c r="E1111" t="s">
        <v>899</v>
      </c>
      <c r="F1111" t="s">
        <v>904</v>
      </c>
      <c r="G1111" t="s">
        <v>891</v>
      </c>
      <c r="H1111" s="3" t="str">
        <f>VLOOKUP(A1111,'Orders Dataset'!$A:$D,4,FALSE)</f>
        <v>Maharashtra</v>
      </c>
      <c r="I1111" s="5" t="str">
        <f>VLOOKUP(A1111,'Orders Dataset'!$A:$E,5,FALSE)</f>
        <v>Mumbai</v>
      </c>
    </row>
    <row r="1112" spans="1:9" x14ac:dyDescent="0.25">
      <c r="A1112" t="s">
        <v>813</v>
      </c>
      <c r="B1112">
        <v>42</v>
      </c>
      <c r="C1112">
        <v>-3</v>
      </c>
      <c r="D1112">
        <v>1</v>
      </c>
      <c r="E1112" t="s">
        <v>889</v>
      </c>
      <c r="F1112" t="s">
        <v>890</v>
      </c>
      <c r="G1112" t="s">
        <v>891</v>
      </c>
      <c r="H1112" s="3" t="str">
        <f>VLOOKUP(A1112,'Orders Dataset'!$A:$D,4,FALSE)</f>
        <v>Bihar</v>
      </c>
      <c r="I1112" s="5" t="str">
        <f>VLOOKUP(A1112,'Orders Dataset'!$A:$E,5,FALSE)</f>
        <v>Patna</v>
      </c>
    </row>
    <row r="1113" spans="1:9" x14ac:dyDescent="0.25">
      <c r="A1113" t="s">
        <v>492</v>
      </c>
      <c r="B1113">
        <v>313</v>
      </c>
      <c r="C1113">
        <v>-13</v>
      </c>
      <c r="D1113">
        <v>5</v>
      </c>
      <c r="E1113" t="s">
        <v>892</v>
      </c>
      <c r="F1113" t="s">
        <v>895</v>
      </c>
      <c r="G1113" t="s">
        <v>902</v>
      </c>
      <c r="H1113" s="3" t="str">
        <f>VLOOKUP(A1113,'Orders Dataset'!$A:$D,4,FALSE)</f>
        <v>Uttar Pradesh</v>
      </c>
      <c r="I1113" s="5" t="str">
        <f>VLOOKUP(A1113,'Orders Dataset'!$A:$E,5,FALSE)</f>
        <v>Lucknow</v>
      </c>
    </row>
    <row r="1114" spans="1:9" x14ac:dyDescent="0.25">
      <c r="A1114" t="s">
        <v>216</v>
      </c>
      <c r="B1114">
        <v>109</v>
      </c>
      <c r="C1114">
        <v>52</v>
      </c>
      <c r="D1114">
        <v>2</v>
      </c>
      <c r="E1114" t="s">
        <v>899</v>
      </c>
      <c r="F1114" t="s">
        <v>907</v>
      </c>
      <c r="G1114" t="s">
        <v>902</v>
      </c>
      <c r="H1114" s="3" t="str">
        <f>VLOOKUP(A1114,'Orders Dataset'!$A:$D,4,FALSE)</f>
        <v>Madhya Pradesh</v>
      </c>
      <c r="I1114" s="5" t="str">
        <f>VLOOKUP(A1114,'Orders Dataset'!$A:$E,5,FALSE)</f>
        <v>Indore</v>
      </c>
    </row>
    <row r="1115" spans="1:9" x14ac:dyDescent="0.25">
      <c r="A1115" t="s">
        <v>14</v>
      </c>
      <c r="B1115">
        <v>226</v>
      </c>
      <c r="C1115">
        <v>58</v>
      </c>
      <c r="D1115">
        <v>3</v>
      </c>
      <c r="E1115" t="s">
        <v>889</v>
      </c>
      <c r="F1115" t="s">
        <v>909</v>
      </c>
      <c r="G1115" t="s">
        <v>891</v>
      </c>
      <c r="H1115" s="3" t="str">
        <f>VLOOKUP(A1115,'Orders Dataset'!$A:$D,4,FALSE)</f>
        <v>Maharashtra</v>
      </c>
      <c r="I1115" s="5" t="str">
        <f>VLOOKUP(A1115,'Orders Dataset'!$A:$E,5,FALSE)</f>
        <v>Mumbai</v>
      </c>
    </row>
    <row r="1116" spans="1:9" x14ac:dyDescent="0.25">
      <c r="A1116" t="s">
        <v>191</v>
      </c>
      <c r="B1116">
        <v>62</v>
      </c>
      <c r="C1116">
        <v>-1</v>
      </c>
      <c r="D1116">
        <v>1</v>
      </c>
      <c r="E1116" t="s">
        <v>889</v>
      </c>
      <c r="F1116" t="s">
        <v>898</v>
      </c>
      <c r="G1116" t="s">
        <v>902</v>
      </c>
      <c r="H1116" s="3" t="str">
        <f>VLOOKUP(A1116,'Orders Dataset'!$A:$D,4,FALSE)</f>
        <v>Goa</v>
      </c>
      <c r="I1116" s="5" t="str">
        <f>VLOOKUP(A1116,'Orders Dataset'!$A:$E,5,FALSE)</f>
        <v>Goa</v>
      </c>
    </row>
    <row r="1117" spans="1:9" x14ac:dyDescent="0.25">
      <c r="A1117" t="s">
        <v>200</v>
      </c>
      <c r="B1117">
        <v>61</v>
      </c>
      <c r="C1117">
        <v>-25</v>
      </c>
      <c r="D1117">
        <v>4</v>
      </c>
      <c r="E1117" t="s">
        <v>889</v>
      </c>
      <c r="F1117" t="s">
        <v>909</v>
      </c>
      <c r="G1117" t="s">
        <v>902</v>
      </c>
      <c r="H1117" s="3" t="str">
        <f>VLOOKUP(A1117,'Orders Dataset'!$A:$D,4,FALSE)</f>
        <v>Madhya Pradesh</v>
      </c>
      <c r="I1117" s="5" t="str">
        <f>VLOOKUP(A1117,'Orders Dataset'!$A:$E,5,FALSE)</f>
        <v>Indore</v>
      </c>
    </row>
    <row r="1118" spans="1:9" x14ac:dyDescent="0.25">
      <c r="A1118" t="s">
        <v>271</v>
      </c>
      <c r="B1118">
        <v>222</v>
      </c>
      <c r="C1118">
        <v>74</v>
      </c>
      <c r="D1118">
        <v>5</v>
      </c>
      <c r="E1118" t="s">
        <v>899</v>
      </c>
      <c r="F1118" t="s">
        <v>903</v>
      </c>
      <c r="G1118" t="s">
        <v>891</v>
      </c>
      <c r="H1118" s="3" t="str">
        <f>VLOOKUP(A1118,'Orders Dataset'!$A:$D,4,FALSE)</f>
        <v>Delhi</v>
      </c>
      <c r="I1118" s="5" t="str">
        <f>VLOOKUP(A1118,'Orders Dataset'!$A:$E,5,FALSE)</f>
        <v>Delhi</v>
      </c>
    </row>
    <row r="1119" spans="1:9" x14ac:dyDescent="0.25">
      <c r="A1119" t="s">
        <v>421</v>
      </c>
      <c r="B1119">
        <v>342</v>
      </c>
      <c r="C1119">
        <v>-154</v>
      </c>
      <c r="D1119">
        <v>7</v>
      </c>
      <c r="E1119" t="s">
        <v>892</v>
      </c>
      <c r="F1119" t="s">
        <v>912</v>
      </c>
      <c r="G1119" t="s">
        <v>911</v>
      </c>
      <c r="H1119" s="3" t="str">
        <f>VLOOKUP(A1119,'Orders Dataset'!$A:$D,4,FALSE)</f>
        <v>Maharashtra</v>
      </c>
      <c r="I1119" s="5" t="str">
        <f>VLOOKUP(A1119,'Orders Dataset'!$A:$E,5,FALSE)</f>
        <v>Pune</v>
      </c>
    </row>
    <row r="1120" spans="1:9" x14ac:dyDescent="0.25">
      <c r="A1120" t="s">
        <v>211</v>
      </c>
      <c r="B1120">
        <v>344</v>
      </c>
      <c r="C1120">
        <v>-34</v>
      </c>
      <c r="D1120">
        <v>3</v>
      </c>
      <c r="E1120" t="s">
        <v>899</v>
      </c>
      <c r="F1120" t="s">
        <v>901</v>
      </c>
      <c r="G1120" t="s">
        <v>911</v>
      </c>
      <c r="H1120" s="3" t="str">
        <f>VLOOKUP(A1120,'Orders Dataset'!$A:$D,4,FALSE)</f>
        <v>Haryana</v>
      </c>
      <c r="I1120" s="5" t="str">
        <f>VLOOKUP(A1120,'Orders Dataset'!$A:$E,5,FALSE)</f>
        <v>Chandigarh</v>
      </c>
    </row>
    <row r="1121" spans="1:9" x14ac:dyDescent="0.25">
      <c r="A1121" t="s">
        <v>464</v>
      </c>
      <c r="B1121">
        <v>345</v>
      </c>
      <c r="C1121">
        <v>38</v>
      </c>
      <c r="D1121">
        <v>7</v>
      </c>
      <c r="E1121" t="s">
        <v>899</v>
      </c>
      <c r="F1121" t="s">
        <v>903</v>
      </c>
      <c r="G1121" t="s">
        <v>911</v>
      </c>
      <c r="H1121" s="3" t="str">
        <f>VLOOKUP(A1121,'Orders Dataset'!$A:$D,4,FALSE)</f>
        <v>Haryana</v>
      </c>
      <c r="I1121" s="5" t="str">
        <f>VLOOKUP(A1121,'Orders Dataset'!$A:$E,5,FALSE)</f>
        <v>Chandigarh</v>
      </c>
    </row>
    <row r="1122" spans="1:9" x14ac:dyDescent="0.25">
      <c r="A1122" t="s">
        <v>808</v>
      </c>
      <c r="B1122">
        <v>46</v>
      </c>
      <c r="C1122">
        <v>0</v>
      </c>
      <c r="D1122">
        <v>2</v>
      </c>
      <c r="E1122" t="s">
        <v>889</v>
      </c>
      <c r="F1122" t="s">
        <v>890</v>
      </c>
      <c r="G1122" t="s">
        <v>891</v>
      </c>
      <c r="H1122" s="3" t="str">
        <f>VLOOKUP(A1122,'Orders Dataset'!$A:$D,4,FALSE)</f>
        <v>Madhya Pradesh</v>
      </c>
      <c r="I1122" s="5" t="str">
        <f>VLOOKUP(A1122,'Orders Dataset'!$A:$E,5,FALSE)</f>
        <v>Indore</v>
      </c>
    </row>
    <row r="1123" spans="1:9" x14ac:dyDescent="0.25">
      <c r="A1123" t="s">
        <v>526</v>
      </c>
      <c r="B1123">
        <v>255</v>
      </c>
      <c r="C1123">
        <v>74</v>
      </c>
      <c r="D1123">
        <v>5</v>
      </c>
      <c r="E1123" t="s">
        <v>899</v>
      </c>
      <c r="F1123" t="s">
        <v>903</v>
      </c>
      <c r="G1123" t="s">
        <v>891</v>
      </c>
      <c r="H1123" s="3" t="str">
        <f>VLOOKUP(A1123,'Orders Dataset'!$A:$D,4,FALSE)</f>
        <v>Maharashtra</v>
      </c>
      <c r="I1123" s="5" t="str">
        <f>VLOOKUP(A1123,'Orders Dataset'!$A:$E,5,FALSE)</f>
        <v>Mumbai</v>
      </c>
    </row>
    <row r="1124" spans="1:9" x14ac:dyDescent="0.25">
      <c r="A1124" t="s">
        <v>457</v>
      </c>
      <c r="B1124">
        <v>360</v>
      </c>
      <c r="C1124">
        <v>32</v>
      </c>
      <c r="D1124">
        <v>3</v>
      </c>
      <c r="E1124" t="s">
        <v>899</v>
      </c>
      <c r="F1124" t="s">
        <v>901</v>
      </c>
      <c r="G1124" t="s">
        <v>902</v>
      </c>
      <c r="H1124" s="3" t="str">
        <f>VLOOKUP(A1124,'Orders Dataset'!$A:$D,4,FALSE)</f>
        <v>West Bengal</v>
      </c>
      <c r="I1124" s="5" t="str">
        <f>VLOOKUP(A1124,'Orders Dataset'!$A:$E,5,FALSE)</f>
        <v>Kolkata</v>
      </c>
    </row>
    <row r="1125" spans="1:9" x14ac:dyDescent="0.25">
      <c r="A1125" t="s">
        <v>310</v>
      </c>
      <c r="B1125">
        <v>372</v>
      </c>
      <c r="C1125">
        <v>59</v>
      </c>
      <c r="D1125">
        <v>3</v>
      </c>
      <c r="E1125" t="s">
        <v>889</v>
      </c>
      <c r="F1125" t="s">
        <v>896</v>
      </c>
      <c r="G1125" t="s">
        <v>902</v>
      </c>
      <c r="H1125" s="3" t="str">
        <f>VLOOKUP(A1125,'Orders Dataset'!$A:$D,4,FALSE)</f>
        <v>Uttar Pradesh</v>
      </c>
      <c r="I1125" s="5" t="str">
        <f>VLOOKUP(A1125,'Orders Dataset'!$A:$E,5,FALSE)</f>
        <v>Mathura</v>
      </c>
    </row>
    <row r="1126" spans="1:9" x14ac:dyDescent="0.25">
      <c r="A1126" t="s">
        <v>144</v>
      </c>
      <c r="B1126">
        <v>61</v>
      </c>
      <c r="C1126">
        <v>30</v>
      </c>
      <c r="D1126">
        <v>2</v>
      </c>
      <c r="E1126" t="s">
        <v>899</v>
      </c>
      <c r="F1126" t="s">
        <v>903</v>
      </c>
      <c r="G1126" t="s">
        <v>902</v>
      </c>
      <c r="H1126" s="3" t="str">
        <f>VLOOKUP(A1126,'Orders Dataset'!$A:$D,4,FALSE)</f>
        <v>Madhya Pradesh</v>
      </c>
      <c r="I1126" s="5" t="str">
        <f>VLOOKUP(A1126,'Orders Dataset'!$A:$E,5,FALSE)</f>
        <v>Bhopal</v>
      </c>
    </row>
    <row r="1127" spans="1:9" x14ac:dyDescent="0.25">
      <c r="A1127" t="s">
        <v>691</v>
      </c>
      <c r="B1127">
        <v>42</v>
      </c>
      <c r="C1127">
        <v>12</v>
      </c>
      <c r="D1127">
        <v>5</v>
      </c>
      <c r="E1127" t="s">
        <v>899</v>
      </c>
      <c r="F1127" t="s">
        <v>903</v>
      </c>
      <c r="G1127" t="s">
        <v>891</v>
      </c>
      <c r="H1127" s="3" t="str">
        <f>VLOOKUP(A1127,'Orders Dataset'!$A:$D,4,FALSE)</f>
        <v>Goa</v>
      </c>
      <c r="I1127" s="5" t="str">
        <f>VLOOKUP(A1127,'Orders Dataset'!$A:$E,5,FALSE)</f>
        <v>Goa</v>
      </c>
    </row>
    <row r="1128" spans="1:9" x14ac:dyDescent="0.25">
      <c r="A1128" t="s">
        <v>643</v>
      </c>
      <c r="B1128">
        <v>42</v>
      </c>
      <c r="C1128">
        <v>-26</v>
      </c>
      <c r="D1128">
        <v>2</v>
      </c>
      <c r="E1128" t="s">
        <v>899</v>
      </c>
      <c r="F1128" t="s">
        <v>904</v>
      </c>
      <c r="G1128" t="s">
        <v>891</v>
      </c>
      <c r="H1128" s="3" t="str">
        <f>VLOOKUP(A1128,'Orders Dataset'!$A:$D,4,FALSE)</f>
        <v>Punjab</v>
      </c>
      <c r="I1128" s="5" t="str">
        <f>VLOOKUP(A1128,'Orders Dataset'!$A:$E,5,FALSE)</f>
        <v>Chandigarh</v>
      </c>
    </row>
    <row r="1129" spans="1:9" x14ac:dyDescent="0.25">
      <c r="A1129" t="s">
        <v>773</v>
      </c>
      <c r="B1129">
        <v>61</v>
      </c>
      <c r="C1129">
        <v>25</v>
      </c>
      <c r="D1129">
        <v>4</v>
      </c>
      <c r="E1129" t="s">
        <v>899</v>
      </c>
      <c r="F1129" t="s">
        <v>901</v>
      </c>
      <c r="G1129" t="s">
        <v>902</v>
      </c>
      <c r="H1129" s="3" t="str">
        <f>VLOOKUP(A1129,'Orders Dataset'!$A:$D,4,FALSE)</f>
        <v>Punjab</v>
      </c>
      <c r="I1129" s="5" t="str">
        <f>VLOOKUP(A1129,'Orders Dataset'!$A:$E,5,FALSE)</f>
        <v>Chandigarh</v>
      </c>
    </row>
    <row r="1130" spans="1:9" x14ac:dyDescent="0.25">
      <c r="A1130" t="s">
        <v>59</v>
      </c>
      <c r="B1130">
        <v>41</v>
      </c>
      <c r="C1130">
        <v>11</v>
      </c>
      <c r="D1130">
        <v>6</v>
      </c>
      <c r="E1130" t="s">
        <v>899</v>
      </c>
      <c r="F1130" t="s">
        <v>903</v>
      </c>
      <c r="G1130" t="s">
        <v>891</v>
      </c>
      <c r="H1130" s="3" t="str">
        <f>VLOOKUP(A1130,'Orders Dataset'!$A:$D,4,FALSE)</f>
        <v>Himachal Pradesh</v>
      </c>
      <c r="I1130" s="5" t="str">
        <f>VLOOKUP(A1130,'Orders Dataset'!$A:$E,5,FALSE)</f>
        <v>Simla</v>
      </c>
    </row>
    <row r="1131" spans="1:9" x14ac:dyDescent="0.25">
      <c r="A1131" t="s">
        <v>350</v>
      </c>
      <c r="B1131">
        <v>40</v>
      </c>
      <c r="C1131">
        <v>13</v>
      </c>
      <c r="D1131">
        <v>3</v>
      </c>
      <c r="E1131" t="s">
        <v>899</v>
      </c>
      <c r="F1131" t="s">
        <v>910</v>
      </c>
      <c r="G1131" t="s">
        <v>891</v>
      </c>
      <c r="H1131" s="3" t="str">
        <f>VLOOKUP(A1131,'Orders Dataset'!$A:$D,4,FALSE)</f>
        <v>Punjab</v>
      </c>
      <c r="I1131" s="5" t="str">
        <f>VLOOKUP(A1131,'Orders Dataset'!$A:$E,5,FALSE)</f>
        <v>Chandigarh</v>
      </c>
    </row>
    <row r="1132" spans="1:9" x14ac:dyDescent="0.25">
      <c r="A1132" t="s">
        <v>550</v>
      </c>
      <c r="B1132">
        <v>59</v>
      </c>
      <c r="C1132">
        <v>21</v>
      </c>
      <c r="D1132">
        <v>2</v>
      </c>
      <c r="E1132" t="s">
        <v>899</v>
      </c>
      <c r="F1132" t="s">
        <v>907</v>
      </c>
      <c r="G1132" t="s">
        <v>902</v>
      </c>
      <c r="H1132" s="3" t="str">
        <f>VLOOKUP(A1132,'Orders Dataset'!$A:$D,4,FALSE)</f>
        <v>Bihar</v>
      </c>
      <c r="I1132" s="5" t="str">
        <f>VLOOKUP(A1132,'Orders Dataset'!$A:$E,5,FALSE)</f>
        <v>Patna</v>
      </c>
    </row>
    <row r="1133" spans="1:9" x14ac:dyDescent="0.25">
      <c r="A1133" t="s">
        <v>358</v>
      </c>
      <c r="B1133">
        <v>57</v>
      </c>
      <c r="C1133">
        <v>27</v>
      </c>
      <c r="D1133">
        <v>2</v>
      </c>
      <c r="E1133" t="s">
        <v>899</v>
      </c>
      <c r="F1133" t="s">
        <v>913</v>
      </c>
      <c r="G1133" t="s">
        <v>902</v>
      </c>
      <c r="H1133" s="3" t="str">
        <f>VLOOKUP(A1133,'Orders Dataset'!$A:$D,4,FALSE)</f>
        <v>Madhya Pradesh</v>
      </c>
      <c r="I1133" s="5" t="str">
        <f>VLOOKUP(A1133,'Orders Dataset'!$A:$E,5,FALSE)</f>
        <v>Indore</v>
      </c>
    </row>
    <row r="1134" spans="1:9" x14ac:dyDescent="0.25">
      <c r="A1134" t="s">
        <v>444</v>
      </c>
      <c r="B1134">
        <v>17</v>
      </c>
      <c r="C1134">
        <v>6</v>
      </c>
      <c r="D1134">
        <v>1</v>
      </c>
      <c r="E1134" t="s">
        <v>899</v>
      </c>
      <c r="F1134" t="s">
        <v>907</v>
      </c>
      <c r="G1134" t="s">
        <v>902</v>
      </c>
      <c r="H1134" s="3" t="str">
        <f>VLOOKUP(A1134,'Orders Dataset'!$A:$D,4,FALSE)</f>
        <v>Maharashtra</v>
      </c>
      <c r="I1134" s="5" t="str">
        <f>VLOOKUP(A1134,'Orders Dataset'!$A:$E,5,FALSE)</f>
        <v>Mumbai</v>
      </c>
    </row>
    <row r="1135" spans="1:9" x14ac:dyDescent="0.25">
      <c r="A1135" t="s">
        <v>495</v>
      </c>
      <c r="B1135">
        <v>40</v>
      </c>
      <c r="C1135">
        <v>10</v>
      </c>
      <c r="D1135">
        <v>2</v>
      </c>
      <c r="E1135" t="s">
        <v>899</v>
      </c>
      <c r="F1135" t="s">
        <v>907</v>
      </c>
      <c r="G1135" t="s">
        <v>891</v>
      </c>
      <c r="H1135" s="3" t="str">
        <f>VLOOKUP(A1135,'Orders Dataset'!$A:$D,4,FALSE)</f>
        <v>Himachal Pradesh</v>
      </c>
      <c r="I1135" s="5" t="str">
        <f>VLOOKUP(A1135,'Orders Dataset'!$A:$E,5,FALSE)</f>
        <v>Simla</v>
      </c>
    </row>
    <row r="1136" spans="1:9" x14ac:dyDescent="0.25">
      <c r="A1136" t="s">
        <v>275</v>
      </c>
      <c r="B1136">
        <v>349</v>
      </c>
      <c r="C1136">
        <v>-24</v>
      </c>
      <c r="D1136">
        <v>2</v>
      </c>
      <c r="E1136" t="s">
        <v>899</v>
      </c>
      <c r="F1136" t="s">
        <v>901</v>
      </c>
      <c r="G1136" t="s">
        <v>911</v>
      </c>
      <c r="H1136" s="3" t="str">
        <f>VLOOKUP(A1136,'Orders Dataset'!$A:$D,4,FALSE)</f>
        <v>Maharashtra</v>
      </c>
      <c r="I1136" s="5" t="str">
        <f>VLOOKUP(A1136,'Orders Dataset'!$A:$E,5,FALSE)</f>
        <v>Pune</v>
      </c>
    </row>
    <row r="1137" spans="1:9" x14ac:dyDescent="0.25">
      <c r="A1137" t="s">
        <v>474</v>
      </c>
      <c r="B1137">
        <v>335</v>
      </c>
      <c r="C1137">
        <v>-22</v>
      </c>
      <c r="D1137">
        <v>7</v>
      </c>
      <c r="E1137" t="s">
        <v>892</v>
      </c>
      <c r="F1137" t="s">
        <v>893</v>
      </c>
      <c r="G1137" t="s">
        <v>902</v>
      </c>
      <c r="H1137" s="3" t="str">
        <f>VLOOKUP(A1137,'Orders Dataset'!$A:$D,4,FALSE)</f>
        <v>Maharashtra</v>
      </c>
      <c r="I1137" s="5" t="str">
        <f>VLOOKUP(A1137,'Orders Dataset'!$A:$E,5,FALSE)</f>
        <v>Mumbai</v>
      </c>
    </row>
    <row r="1138" spans="1:9" x14ac:dyDescent="0.25">
      <c r="A1138" t="s">
        <v>421</v>
      </c>
      <c r="B1138">
        <v>40</v>
      </c>
      <c r="C1138">
        <v>16</v>
      </c>
      <c r="D1138">
        <v>3</v>
      </c>
      <c r="E1138" t="s">
        <v>899</v>
      </c>
      <c r="F1138" t="s">
        <v>903</v>
      </c>
      <c r="G1138" t="s">
        <v>891</v>
      </c>
      <c r="H1138" s="3" t="str">
        <f>VLOOKUP(A1138,'Orders Dataset'!$A:$D,4,FALSE)</f>
        <v>Maharashtra</v>
      </c>
      <c r="I1138" s="5" t="str">
        <f>VLOOKUP(A1138,'Orders Dataset'!$A:$E,5,FALSE)</f>
        <v>Pune</v>
      </c>
    </row>
    <row r="1139" spans="1:9" x14ac:dyDescent="0.25">
      <c r="A1139" t="s">
        <v>121</v>
      </c>
      <c r="B1139">
        <v>40</v>
      </c>
      <c r="C1139">
        <v>17</v>
      </c>
      <c r="D1139">
        <v>2</v>
      </c>
      <c r="E1139" t="s">
        <v>899</v>
      </c>
      <c r="F1139" t="s">
        <v>907</v>
      </c>
      <c r="G1139" t="s">
        <v>891</v>
      </c>
      <c r="H1139" s="3" t="str">
        <f>VLOOKUP(A1139,'Orders Dataset'!$A:$D,4,FALSE)</f>
        <v>Punjab</v>
      </c>
      <c r="I1139" s="5" t="str">
        <f>VLOOKUP(A1139,'Orders Dataset'!$A:$E,5,FALSE)</f>
        <v>Chandigarh</v>
      </c>
    </row>
    <row r="1140" spans="1:9" x14ac:dyDescent="0.25">
      <c r="A1140" t="s">
        <v>643</v>
      </c>
      <c r="B1140">
        <v>40</v>
      </c>
      <c r="C1140">
        <v>-7</v>
      </c>
      <c r="D1140">
        <v>3</v>
      </c>
      <c r="E1140" t="s">
        <v>899</v>
      </c>
      <c r="F1140" t="s">
        <v>907</v>
      </c>
      <c r="G1140" t="s">
        <v>891</v>
      </c>
      <c r="H1140" s="3" t="str">
        <f>VLOOKUP(A1140,'Orders Dataset'!$A:$D,4,FALSE)</f>
        <v>Punjab</v>
      </c>
      <c r="I1140" s="5" t="str">
        <f>VLOOKUP(A1140,'Orders Dataset'!$A:$E,5,FALSE)</f>
        <v>Chandigarh</v>
      </c>
    </row>
    <row r="1141" spans="1:9" x14ac:dyDescent="0.25">
      <c r="A1141" t="s">
        <v>271</v>
      </c>
      <c r="B1141">
        <v>352</v>
      </c>
      <c r="C1141">
        <v>74</v>
      </c>
      <c r="D1141">
        <v>8</v>
      </c>
      <c r="E1141" t="s">
        <v>899</v>
      </c>
      <c r="F1141" t="s">
        <v>907</v>
      </c>
      <c r="G1141" t="s">
        <v>911</v>
      </c>
      <c r="H1141" s="3" t="str">
        <f>VLOOKUP(A1141,'Orders Dataset'!$A:$D,4,FALSE)</f>
        <v>Delhi</v>
      </c>
      <c r="I1141" s="5" t="str">
        <f>VLOOKUP(A1141,'Orders Dataset'!$A:$E,5,FALSE)</f>
        <v>Delhi</v>
      </c>
    </row>
    <row r="1142" spans="1:9" x14ac:dyDescent="0.25">
      <c r="A1142" t="s">
        <v>661</v>
      </c>
      <c r="B1142">
        <v>55</v>
      </c>
      <c r="C1142">
        <v>-26</v>
      </c>
      <c r="D1142">
        <v>4</v>
      </c>
      <c r="E1142" t="s">
        <v>899</v>
      </c>
      <c r="F1142" t="s">
        <v>901</v>
      </c>
      <c r="G1142" t="s">
        <v>902</v>
      </c>
      <c r="H1142" s="3" t="str">
        <f>VLOOKUP(A1142,'Orders Dataset'!$A:$D,4,FALSE)</f>
        <v>Punjab</v>
      </c>
      <c r="I1142" s="5" t="str">
        <f>VLOOKUP(A1142,'Orders Dataset'!$A:$E,5,FALSE)</f>
        <v>Chandigarh</v>
      </c>
    </row>
    <row r="1143" spans="1:9" x14ac:dyDescent="0.25">
      <c r="A1143" t="s">
        <v>221</v>
      </c>
      <c r="B1143">
        <v>352</v>
      </c>
      <c r="C1143">
        <v>18</v>
      </c>
      <c r="D1143">
        <v>5</v>
      </c>
      <c r="E1143" t="s">
        <v>899</v>
      </c>
      <c r="F1143" t="s">
        <v>900</v>
      </c>
      <c r="G1143" t="s">
        <v>911</v>
      </c>
      <c r="H1143" s="3" t="str">
        <f>VLOOKUP(A1143,'Orders Dataset'!$A:$D,4,FALSE)</f>
        <v>Madhya Pradesh</v>
      </c>
      <c r="I1143" s="5" t="str">
        <f>VLOOKUP(A1143,'Orders Dataset'!$A:$E,5,FALSE)</f>
        <v>Indore</v>
      </c>
    </row>
    <row r="1144" spans="1:9" x14ac:dyDescent="0.25">
      <c r="A1144" t="s">
        <v>343</v>
      </c>
      <c r="B1144">
        <v>53</v>
      </c>
      <c r="C1144">
        <v>-18</v>
      </c>
      <c r="D1144">
        <v>4</v>
      </c>
      <c r="E1144" t="s">
        <v>899</v>
      </c>
      <c r="F1144" t="s">
        <v>910</v>
      </c>
      <c r="G1144" t="s">
        <v>902</v>
      </c>
      <c r="H1144" s="3" t="str">
        <f>VLOOKUP(A1144,'Orders Dataset'!$A:$D,4,FALSE)</f>
        <v>Maharashtra</v>
      </c>
      <c r="I1144" s="5" t="str">
        <f>VLOOKUP(A1144,'Orders Dataset'!$A:$E,5,FALSE)</f>
        <v>Pune</v>
      </c>
    </row>
    <row r="1145" spans="1:9" x14ac:dyDescent="0.25">
      <c r="A1145" t="s">
        <v>377</v>
      </c>
      <c r="B1145">
        <v>51</v>
      </c>
      <c r="C1145">
        <v>7</v>
      </c>
      <c r="D1145">
        <v>2</v>
      </c>
      <c r="E1145" t="s">
        <v>892</v>
      </c>
      <c r="F1145" t="s">
        <v>912</v>
      </c>
      <c r="G1145" t="s">
        <v>902</v>
      </c>
      <c r="H1145" s="3" t="str">
        <f>VLOOKUP(A1145,'Orders Dataset'!$A:$D,4,FALSE)</f>
        <v>Madhya Pradesh</v>
      </c>
      <c r="I1145" s="5" t="str">
        <f>VLOOKUP(A1145,'Orders Dataset'!$A:$E,5,FALSE)</f>
        <v>Indore</v>
      </c>
    </row>
    <row r="1146" spans="1:9" x14ac:dyDescent="0.25">
      <c r="A1146" t="s">
        <v>777</v>
      </c>
      <c r="B1146">
        <v>40</v>
      </c>
      <c r="C1146">
        <v>-37</v>
      </c>
      <c r="D1146">
        <v>3</v>
      </c>
      <c r="E1146" t="s">
        <v>899</v>
      </c>
      <c r="F1146" t="s">
        <v>907</v>
      </c>
      <c r="G1146" t="s">
        <v>891</v>
      </c>
      <c r="H1146" s="3" t="str">
        <f>VLOOKUP(A1146,'Orders Dataset'!$A:$D,4,FALSE)</f>
        <v>Maharashtra</v>
      </c>
      <c r="I1146" s="5" t="str">
        <f>VLOOKUP(A1146,'Orders Dataset'!$A:$E,5,FALSE)</f>
        <v>Mumbai</v>
      </c>
    </row>
    <row r="1147" spans="1:9" x14ac:dyDescent="0.25">
      <c r="A1147" t="s">
        <v>12</v>
      </c>
      <c r="B1147">
        <v>39</v>
      </c>
      <c r="C1147">
        <v>14</v>
      </c>
      <c r="D1147">
        <v>5</v>
      </c>
      <c r="E1147" t="s">
        <v>899</v>
      </c>
      <c r="F1147" t="s">
        <v>908</v>
      </c>
      <c r="G1147" t="s">
        <v>891</v>
      </c>
      <c r="H1147" s="3" t="str">
        <f>VLOOKUP(A1147,'Orders Dataset'!$A:$D,4,FALSE)</f>
        <v>Uttar Pradesh</v>
      </c>
      <c r="I1147" s="5" t="str">
        <f>VLOOKUP(A1147,'Orders Dataset'!$A:$E,5,FALSE)</f>
        <v>Mathura</v>
      </c>
    </row>
    <row r="1148" spans="1:9" x14ac:dyDescent="0.25">
      <c r="A1148" t="s">
        <v>459</v>
      </c>
      <c r="B1148">
        <v>355</v>
      </c>
      <c r="C1148">
        <v>-4</v>
      </c>
      <c r="D1148">
        <v>2</v>
      </c>
      <c r="E1148" t="s">
        <v>899</v>
      </c>
      <c r="F1148" t="s">
        <v>901</v>
      </c>
      <c r="G1148" t="s">
        <v>911</v>
      </c>
      <c r="H1148" s="3" t="str">
        <f>VLOOKUP(A1148,'Orders Dataset'!$A:$D,4,FALSE)</f>
        <v>Maharashtra</v>
      </c>
      <c r="I1148" s="5" t="str">
        <f>VLOOKUP(A1148,'Orders Dataset'!$A:$E,5,FALSE)</f>
        <v>Mumbai</v>
      </c>
    </row>
    <row r="1149" spans="1:9" x14ac:dyDescent="0.25">
      <c r="A1149" t="s">
        <v>444</v>
      </c>
      <c r="B1149">
        <v>357</v>
      </c>
      <c r="C1149">
        <v>139</v>
      </c>
      <c r="D1149">
        <v>2</v>
      </c>
      <c r="E1149" t="s">
        <v>899</v>
      </c>
      <c r="F1149" t="s">
        <v>901</v>
      </c>
      <c r="G1149" t="s">
        <v>911</v>
      </c>
      <c r="H1149" s="3" t="str">
        <f>VLOOKUP(A1149,'Orders Dataset'!$A:$D,4,FALSE)</f>
        <v>Maharashtra</v>
      </c>
      <c r="I1149" s="5" t="str">
        <f>VLOOKUP(A1149,'Orders Dataset'!$A:$E,5,FALSE)</f>
        <v>Mumbai</v>
      </c>
    </row>
    <row r="1150" spans="1:9" x14ac:dyDescent="0.25">
      <c r="A1150" t="s">
        <v>136</v>
      </c>
      <c r="B1150">
        <v>38</v>
      </c>
      <c r="C1150">
        <v>18</v>
      </c>
      <c r="D1150">
        <v>1</v>
      </c>
      <c r="E1150" t="s">
        <v>899</v>
      </c>
      <c r="F1150" t="s">
        <v>904</v>
      </c>
      <c r="G1150" t="s">
        <v>891</v>
      </c>
      <c r="H1150" s="3" t="str">
        <f>VLOOKUP(A1150,'Orders Dataset'!$A:$D,4,FALSE)</f>
        <v>Madhya Pradesh</v>
      </c>
      <c r="I1150" s="5" t="str">
        <f>VLOOKUP(A1150,'Orders Dataset'!$A:$E,5,FALSE)</f>
        <v>Bhopal</v>
      </c>
    </row>
    <row r="1151" spans="1:9" x14ac:dyDescent="0.25">
      <c r="A1151" t="s">
        <v>397</v>
      </c>
      <c r="B1151">
        <v>38</v>
      </c>
      <c r="C1151">
        <v>9</v>
      </c>
      <c r="D1151">
        <v>2</v>
      </c>
      <c r="E1151" t="s">
        <v>899</v>
      </c>
      <c r="F1151" t="s">
        <v>907</v>
      </c>
      <c r="G1151" t="s">
        <v>891</v>
      </c>
      <c r="H1151" s="3" t="str">
        <f>VLOOKUP(A1151,'Orders Dataset'!$A:$D,4,FALSE)</f>
        <v>Rajasthan</v>
      </c>
      <c r="I1151" s="5" t="str">
        <f>VLOOKUP(A1151,'Orders Dataset'!$A:$E,5,FALSE)</f>
        <v>Jaipur</v>
      </c>
    </row>
    <row r="1152" spans="1:9" x14ac:dyDescent="0.25">
      <c r="A1152" t="s">
        <v>543</v>
      </c>
      <c r="B1152">
        <v>141</v>
      </c>
      <c r="C1152">
        <v>10</v>
      </c>
      <c r="D1152">
        <v>4</v>
      </c>
      <c r="E1152" t="s">
        <v>899</v>
      </c>
      <c r="F1152" t="s">
        <v>913</v>
      </c>
      <c r="G1152" t="s">
        <v>902</v>
      </c>
      <c r="H1152" s="3" t="str">
        <f>VLOOKUP(A1152,'Orders Dataset'!$A:$D,4,FALSE)</f>
        <v>Rajasthan</v>
      </c>
      <c r="I1152" s="5" t="str">
        <f>VLOOKUP(A1152,'Orders Dataset'!$A:$E,5,FALSE)</f>
        <v>Jaipur</v>
      </c>
    </row>
    <row r="1153" spans="1:9" x14ac:dyDescent="0.25">
      <c r="A1153" t="s">
        <v>770</v>
      </c>
      <c r="B1153">
        <v>36</v>
      </c>
      <c r="C1153">
        <v>4</v>
      </c>
      <c r="D1153">
        <v>9</v>
      </c>
      <c r="E1153" t="s">
        <v>899</v>
      </c>
      <c r="F1153" t="s">
        <v>903</v>
      </c>
      <c r="G1153" t="s">
        <v>891</v>
      </c>
      <c r="H1153" s="3" t="str">
        <f>VLOOKUP(A1153,'Orders Dataset'!$A:$D,4,FALSE)</f>
        <v>Madhya Pradesh</v>
      </c>
      <c r="I1153" s="5" t="str">
        <f>VLOOKUP(A1153,'Orders Dataset'!$A:$E,5,FALSE)</f>
        <v>Indore</v>
      </c>
    </row>
    <row r="1154" spans="1:9" x14ac:dyDescent="0.25">
      <c r="A1154" t="s">
        <v>350</v>
      </c>
      <c r="B1154">
        <v>351</v>
      </c>
      <c r="C1154">
        <v>-94</v>
      </c>
      <c r="D1154">
        <v>5</v>
      </c>
      <c r="E1154" t="s">
        <v>889</v>
      </c>
      <c r="F1154" t="s">
        <v>890</v>
      </c>
      <c r="G1154" t="s">
        <v>891</v>
      </c>
      <c r="H1154" s="3" t="str">
        <f>VLOOKUP(A1154,'Orders Dataset'!$A:$D,4,FALSE)</f>
        <v>Punjab</v>
      </c>
      <c r="I1154" s="5" t="str">
        <f>VLOOKUP(A1154,'Orders Dataset'!$A:$E,5,FALSE)</f>
        <v>Chandigarh</v>
      </c>
    </row>
    <row r="1155" spans="1:9" x14ac:dyDescent="0.25">
      <c r="A1155" t="s">
        <v>380</v>
      </c>
      <c r="B1155">
        <v>369</v>
      </c>
      <c r="C1155">
        <v>15</v>
      </c>
      <c r="D1155">
        <v>3</v>
      </c>
      <c r="E1155" t="s">
        <v>889</v>
      </c>
      <c r="F1155" t="s">
        <v>890</v>
      </c>
      <c r="G1155" t="s">
        <v>911</v>
      </c>
      <c r="H1155" s="3" t="str">
        <f>VLOOKUP(A1155,'Orders Dataset'!$A:$D,4,FALSE)</f>
        <v>Jammu and Kashmir</v>
      </c>
      <c r="I1155" s="5" t="str">
        <f>VLOOKUP(A1155,'Orders Dataset'!$A:$E,5,FALSE)</f>
        <v>Kashmir</v>
      </c>
    </row>
    <row r="1156" spans="1:9" x14ac:dyDescent="0.25">
      <c r="A1156" t="s">
        <v>472</v>
      </c>
      <c r="B1156">
        <v>53</v>
      </c>
      <c r="C1156">
        <v>24</v>
      </c>
      <c r="D1156">
        <v>6</v>
      </c>
      <c r="E1156" t="s">
        <v>899</v>
      </c>
      <c r="F1156" t="s">
        <v>903</v>
      </c>
      <c r="G1156" t="s">
        <v>894</v>
      </c>
      <c r="H1156" s="3" t="str">
        <f>VLOOKUP(A1156,'Orders Dataset'!$A:$D,4,FALSE)</f>
        <v>Nagaland</v>
      </c>
      <c r="I1156" s="5" t="str">
        <f>VLOOKUP(A1156,'Orders Dataset'!$A:$E,5,FALSE)</f>
        <v>Kohima</v>
      </c>
    </row>
    <row r="1157" spans="1:9" x14ac:dyDescent="0.25">
      <c r="A1157" t="s">
        <v>410</v>
      </c>
      <c r="B1157">
        <v>371</v>
      </c>
      <c r="C1157">
        <v>115</v>
      </c>
      <c r="D1157">
        <v>1</v>
      </c>
      <c r="E1157" t="s">
        <v>892</v>
      </c>
      <c r="F1157" t="s">
        <v>895</v>
      </c>
      <c r="G1157" t="s">
        <v>911</v>
      </c>
      <c r="H1157" s="3" t="str">
        <f>VLOOKUP(A1157,'Orders Dataset'!$A:$D,4,FALSE)</f>
        <v>Maharashtra</v>
      </c>
      <c r="I1157" s="5" t="str">
        <f>VLOOKUP(A1157,'Orders Dataset'!$A:$E,5,FALSE)</f>
        <v>Mumbai</v>
      </c>
    </row>
    <row r="1158" spans="1:9" x14ac:dyDescent="0.25">
      <c r="A1158" t="s">
        <v>232</v>
      </c>
      <c r="B1158">
        <v>499</v>
      </c>
      <c r="C1158">
        <v>33</v>
      </c>
      <c r="D1158">
        <v>4</v>
      </c>
      <c r="E1158" t="s">
        <v>899</v>
      </c>
      <c r="F1158" t="s">
        <v>901</v>
      </c>
      <c r="G1158" t="s">
        <v>891</v>
      </c>
      <c r="H1158" s="3" t="str">
        <f>VLOOKUP(A1158,'Orders Dataset'!$A:$D,4,FALSE)</f>
        <v>Rajasthan</v>
      </c>
      <c r="I1158" s="5" t="str">
        <f>VLOOKUP(A1158,'Orders Dataset'!$A:$E,5,FALSE)</f>
        <v>Udaipur</v>
      </c>
    </row>
    <row r="1159" spans="1:9" x14ac:dyDescent="0.25">
      <c r="A1159" t="s">
        <v>310</v>
      </c>
      <c r="B1159">
        <v>223</v>
      </c>
      <c r="C1159">
        <v>62</v>
      </c>
      <c r="D1159">
        <v>7</v>
      </c>
      <c r="E1159" t="s">
        <v>899</v>
      </c>
      <c r="F1159" t="s">
        <v>913</v>
      </c>
      <c r="G1159" t="s">
        <v>891</v>
      </c>
      <c r="H1159" s="3" t="str">
        <f>VLOOKUP(A1159,'Orders Dataset'!$A:$D,4,FALSE)</f>
        <v>Uttar Pradesh</v>
      </c>
      <c r="I1159" s="5" t="str">
        <f>VLOOKUP(A1159,'Orders Dataset'!$A:$E,5,FALSE)</f>
        <v>Mathura</v>
      </c>
    </row>
    <row r="1160" spans="1:9" x14ac:dyDescent="0.25">
      <c r="A1160" t="s">
        <v>356</v>
      </c>
      <c r="B1160">
        <v>50</v>
      </c>
      <c r="C1160">
        <v>-4</v>
      </c>
      <c r="D1160">
        <v>6</v>
      </c>
      <c r="E1160" t="s">
        <v>899</v>
      </c>
      <c r="F1160" t="s">
        <v>910</v>
      </c>
      <c r="G1160" t="s">
        <v>894</v>
      </c>
      <c r="H1160" s="3" t="str">
        <f>VLOOKUP(A1160,'Orders Dataset'!$A:$D,4,FALSE)</f>
        <v>Delhi</v>
      </c>
      <c r="I1160" s="5" t="str">
        <f>VLOOKUP(A1160,'Orders Dataset'!$A:$E,5,FALSE)</f>
        <v>Delhi</v>
      </c>
    </row>
    <row r="1161" spans="1:9" x14ac:dyDescent="0.25">
      <c r="A1161" t="s">
        <v>427</v>
      </c>
      <c r="B1161">
        <v>391</v>
      </c>
      <c r="C1161">
        <v>90</v>
      </c>
      <c r="D1161">
        <v>6</v>
      </c>
      <c r="E1161" t="s">
        <v>889</v>
      </c>
      <c r="F1161" t="s">
        <v>898</v>
      </c>
      <c r="G1161" t="s">
        <v>911</v>
      </c>
      <c r="H1161" s="3" t="str">
        <f>VLOOKUP(A1161,'Orders Dataset'!$A:$D,4,FALSE)</f>
        <v>Bihar</v>
      </c>
      <c r="I1161" s="5" t="str">
        <f>VLOOKUP(A1161,'Orders Dataset'!$A:$E,5,FALSE)</f>
        <v>Patna</v>
      </c>
    </row>
    <row r="1162" spans="1:9" x14ac:dyDescent="0.25">
      <c r="A1162" t="s">
        <v>430</v>
      </c>
      <c r="B1162">
        <v>416</v>
      </c>
      <c r="C1162">
        <v>137</v>
      </c>
      <c r="D1162">
        <v>3</v>
      </c>
      <c r="E1162" t="s">
        <v>889</v>
      </c>
      <c r="F1162" t="s">
        <v>898</v>
      </c>
      <c r="G1162" t="s">
        <v>911</v>
      </c>
      <c r="H1162" s="3" t="str">
        <f>VLOOKUP(A1162,'Orders Dataset'!$A:$D,4,FALSE)</f>
        <v>Jammu and Kashmir</v>
      </c>
      <c r="I1162" s="5" t="str">
        <f>VLOOKUP(A1162,'Orders Dataset'!$A:$E,5,FALSE)</f>
        <v>Kashmir</v>
      </c>
    </row>
    <row r="1163" spans="1:9" x14ac:dyDescent="0.25">
      <c r="A1163" t="s">
        <v>219</v>
      </c>
      <c r="B1163">
        <v>424</v>
      </c>
      <c r="C1163">
        <v>-17</v>
      </c>
      <c r="D1163">
        <v>9</v>
      </c>
      <c r="E1163" t="s">
        <v>892</v>
      </c>
      <c r="F1163" t="s">
        <v>893</v>
      </c>
      <c r="G1163" t="s">
        <v>911</v>
      </c>
      <c r="H1163" s="3" t="str">
        <f>VLOOKUP(A1163,'Orders Dataset'!$A:$D,4,FALSE)</f>
        <v>Maharashtra</v>
      </c>
      <c r="I1163" s="5" t="str">
        <f>VLOOKUP(A1163,'Orders Dataset'!$A:$E,5,FALSE)</f>
        <v>Mumbai</v>
      </c>
    </row>
    <row r="1164" spans="1:9" x14ac:dyDescent="0.25">
      <c r="A1164" t="s">
        <v>456</v>
      </c>
      <c r="B1164">
        <v>362</v>
      </c>
      <c r="C1164">
        <v>127</v>
      </c>
      <c r="D1164">
        <v>1</v>
      </c>
      <c r="E1164" t="s">
        <v>892</v>
      </c>
      <c r="F1164" t="s">
        <v>895</v>
      </c>
      <c r="G1164" t="s">
        <v>891</v>
      </c>
      <c r="H1164" s="3" t="str">
        <f>VLOOKUP(A1164,'Orders Dataset'!$A:$D,4,FALSE)</f>
        <v>Andhra Pradesh</v>
      </c>
      <c r="I1164" s="5" t="str">
        <f>VLOOKUP(A1164,'Orders Dataset'!$A:$E,5,FALSE)</f>
        <v>Hyderabad</v>
      </c>
    </row>
    <row r="1165" spans="1:9" x14ac:dyDescent="0.25">
      <c r="A1165" t="s">
        <v>206</v>
      </c>
      <c r="B1165">
        <v>36</v>
      </c>
      <c r="C1165">
        <v>-7</v>
      </c>
      <c r="D1165">
        <v>1</v>
      </c>
      <c r="E1165" t="s">
        <v>889</v>
      </c>
      <c r="F1165" t="s">
        <v>890</v>
      </c>
      <c r="G1165" t="s">
        <v>891</v>
      </c>
      <c r="H1165" s="3" t="str">
        <f>VLOOKUP(A1165,'Orders Dataset'!$A:$D,4,FALSE)</f>
        <v>Jammu and Kashmir</v>
      </c>
      <c r="I1165" s="5" t="str">
        <f>VLOOKUP(A1165,'Orders Dataset'!$A:$E,5,FALSE)</f>
        <v>Kashmir</v>
      </c>
    </row>
    <row r="1166" spans="1:9" x14ac:dyDescent="0.25">
      <c r="A1166" t="s">
        <v>419</v>
      </c>
      <c r="B1166">
        <v>34</v>
      </c>
      <c r="C1166">
        <v>-10</v>
      </c>
      <c r="D1166">
        <v>3</v>
      </c>
      <c r="E1166" t="s">
        <v>899</v>
      </c>
      <c r="F1166" t="s">
        <v>905</v>
      </c>
      <c r="G1166" t="s">
        <v>891</v>
      </c>
      <c r="H1166" s="3" t="str">
        <f>VLOOKUP(A1166,'Orders Dataset'!$A:$D,4,FALSE)</f>
        <v>Gujarat</v>
      </c>
      <c r="I1166" s="5" t="str">
        <f>VLOOKUP(A1166,'Orders Dataset'!$A:$E,5,FALSE)</f>
        <v>Ahmedabad</v>
      </c>
    </row>
    <row r="1167" spans="1:9" x14ac:dyDescent="0.25">
      <c r="A1167" t="s">
        <v>162</v>
      </c>
      <c r="B1167">
        <v>367</v>
      </c>
      <c r="C1167">
        <v>73</v>
      </c>
      <c r="D1167">
        <v>3</v>
      </c>
      <c r="E1167" t="s">
        <v>889</v>
      </c>
      <c r="F1167" t="s">
        <v>890</v>
      </c>
      <c r="G1167" t="s">
        <v>902</v>
      </c>
      <c r="H1167" s="3" t="str">
        <f>VLOOKUP(A1167,'Orders Dataset'!$A:$D,4,FALSE)</f>
        <v>Madhya Pradesh</v>
      </c>
      <c r="I1167" s="5" t="str">
        <f>VLOOKUP(A1167,'Orders Dataset'!$A:$E,5,FALSE)</f>
        <v>Indore</v>
      </c>
    </row>
    <row r="1168" spans="1:9" x14ac:dyDescent="0.25">
      <c r="A1168" t="s">
        <v>352</v>
      </c>
      <c r="B1168">
        <v>425</v>
      </c>
      <c r="C1168">
        <v>208</v>
      </c>
      <c r="D1168">
        <v>7</v>
      </c>
      <c r="E1168" t="s">
        <v>899</v>
      </c>
      <c r="F1168" t="s">
        <v>901</v>
      </c>
      <c r="G1168" t="s">
        <v>911</v>
      </c>
      <c r="H1168" s="3" t="str">
        <f>VLOOKUP(A1168,'Orders Dataset'!$A:$D,4,FALSE)</f>
        <v>Jammu and Kashmir</v>
      </c>
      <c r="I1168" s="5" t="str">
        <f>VLOOKUP(A1168,'Orders Dataset'!$A:$E,5,FALSE)</f>
        <v>Kashmir</v>
      </c>
    </row>
    <row r="1169" spans="1:9" x14ac:dyDescent="0.25">
      <c r="A1169" t="s">
        <v>423</v>
      </c>
      <c r="B1169">
        <v>433</v>
      </c>
      <c r="C1169">
        <v>26</v>
      </c>
      <c r="D1169">
        <v>3</v>
      </c>
      <c r="E1169" t="s">
        <v>889</v>
      </c>
      <c r="F1169" t="s">
        <v>896</v>
      </c>
      <c r="G1169" t="s">
        <v>911</v>
      </c>
      <c r="H1169" s="3" t="str">
        <f>VLOOKUP(A1169,'Orders Dataset'!$A:$D,4,FALSE)</f>
        <v>Kerala</v>
      </c>
      <c r="I1169" s="5" t="str">
        <f>VLOOKUP(A1169,'Orders Dataset'!$A:$E,5,FALSE)</f>
        <v>Thiruvananthapuram</v>
      </c>
    </row>
    <row r="1170" spans="1:9" x14ac:dyDescent="0.25">
      <c r="A1170" t="s">
        <v>410</v>
      </c>
      <c r="B1170">
        <v>460</v>
      </c>
      <c r="C1170">
        <v>31</v>
      </c>
      <c r="D1170">
        <v>3</v>
      </c>
      <c r="E1170" t="s">
        <v>892</v>
      </c>
      <c r="F1170" t="s">
        <v>895</v>
      </c>
      <c r="G1170" t="s">
        <v>911</v>
      </c>
      <c r="H1170" s="3" t="str">
        <f>VLOOKUP(A1170,'Orders Dataset'!$A:$D,4,FALSE)</f>
        <v>Maharashtra</v>
      </c>
      <c r="I1170" s="5" t="str">
        <f>VLOOKUP(A1170,'Orders Dataset'!$A:$E,5,FALSE)</f>
        <v>Mumbai</v>
      </c>
    </row>
    <row r="1171" spans="1:9" x14ac:dyDescent="0.25">
      <c r="A1171" t="s">
        <v>214</v>
      </c>
      <c r="B1171">
        <v>62</v>
      </c>
      <c r="C1171">
        <v>-56</v>
      </c>
      <c r="D1171">
        <v>5</v>
      </c>
      <c r="E1171" t="s">
        <v>899</v>
      </c>
      <c r="F1171" t="s">
        <v>904</v>
      </c>
      <c r="G1171" t="s">
        <v>891</v>
      </c>
      <c r="H1171" s="3" t="str">
        <f>VLOOKUP(A1171,'Orders Dataset'!$A:$D,4,FALSE)</f>
        <v>Uttar Pradesh</v>
      </c>
      <c r="I1171" s="5" t="str">
        <f>VLOOKUP(A1171,'Orders Dataset'!$A:$E,5,FALSE)</f>
        <v>Lucknow</v>
      </c>
    </row>
    <row r="1172" spans="1:9" x14ac:dyDescent="0.25">
      <c r="A1172" t="s">
        <v>246</v>
      </c>
      <c r="B1172">
        <v>50</v>
      </c>
      <c r="C1172">
        <v>16</v>
      </c>
      <c r="D1172">
        <v>1</v>
      </c>
      <c r="E1172" t="s">
        <v>899</v>
      </c>
      <c r="F1172" t="s">
        <v>907</v>
      </c>
      <c r="G1172" t="s">
        <v>894</v>
      </c>
      <c r="H1172" s="3" t="str">
        <f>VLOOKUP(A1172,'Orders Dataset'!$A:$D,4,FALSE)</f>
        <v>Andhra Pradesh</v>
      </c>
      <c r="I1172" s="5" t="str">
        <f>VLOOKUP(A1172,'Orders Dataset'!$A:$E,5,FALSE)</f>
        <v>Hyderabad</v>
      </c>
    </row>
    <row r="1173" spans="1:9" x14ac:dyDescent="0.25">
      <c r="A1173" t="s">
        <v>411</v>
      </c>
      <c r="B1173">
        <v>460</v>
      </c>
      <c r="C1173">
        <v>-143</v>
      </c>
      <c r="D1173">
        <v>3</v>
      </c>
      <c r="E1173" t="s">
        <v>892</v>
      </c>
      <c r="F1173" t="s">
        <v>893</v>
      </c>
      <c r="G1173" t="s">
        <v>911</v>
      </c>
      <c r="H1173" s="3" t="str">
        <f>VLOOKUP(A1173,'Orders Dataset'!$A:$D,4,FALSE)</f>
        <v>Delhi</v>
      </c>
      <c r="I1173" s="5" t="str">
        <f>VLOOKUP(A1173,'Orders Dataset'!$A:$E,5,FALSE)</f>
        <v>Delhi</v>
      </c>
    </row>
    <row r="1174" spans="1:9" x14ac:dyDescent="0.25">
      <c r="A1174" t="s">
        <v>640</v>
      </c>
      <c r="B1174">
        <v>34</v>
      </c>
      <c r="C1174">
        <v>3</v>
      </c>
      <c r="D1174">
        <v>3</v>
      </c>
      <c r="E1174" t="s">
        <v>899</v>
      </c>
      <c r="F1174" t="s">
        <v>901</v>
      </c>
      <c r="G1174" t="s">
        <v>891</v>
      </c>
      <c r="H1174" s="3" t="str">
        <f>VLOOKUP(A1174,'Orders Dataset'!$A:$D,4,FALSE)</f>
        <v>Bihar</v>
      </c>
      <c r="I1174" s="5" t="str">
        <f>VLOOKUP(A1174,'Orders Dataset'!$A:$E,5,FALSE)</f>
        <v>Patna</v>
      </c>
    </row>
    <row r="1175" spans="1:9" x14ac:dyDescent="0.25">
      <c r="A1175" t="s">
        <v>347</v>
      </c>
      <c r="B1175">
        <v>227</v>
      </c>
      <c r="C1175">
        <v>59</v>
      </c>
      <c r="D1175">
        <v>2</v>
      </c>
      <c r="E1175" t="s">
        <v>892</v>
      </c>
      <c r="F1175" t="s">
        <v>912</v>
      </c>
      <c r="G1175" t="s">
        <v>902</v>
      </c>
      <c r="H1175" s="3" t="str">
        <f>VLOOKUP(A1175,'Orders Dataset'!$A:$D,4,FALSE)</f>
        <v>Madhya Pradesh</v>
      </c>
      <c r="I1175" s="5" t="str">
        <f>VLOOKUP(A1175,'Orders Dataset'!$A:$E,5,FALSE)</f>
        <v>Indore</v>
      </c>
    </row>
    <row r="1176" spans="1:9" x14ac:dyDescent="0.25">
      <c r="A1176" t="s">
        <v>405</v>
      </c>
      <c r="B1176">
        <v>469</v>
      </c>
      <c r="C1176">
        <v>33</v>
      </c>
      <c r="D1176">
        <v>4</v>
      </c>
      <c r="E1176" t="s">
        <v>889</v>
      </c>
      <c r="F1176" t="s">
        <v>890</v>
      </c>
      <c r="G1176" t="s">
        <v>911</v>
      </c>
      <c r="H1176" s="3" t="str">
        <f>VLOOKUP(A1176,'Orders Dataset'!$A:$D,4,FALSE)</f>
        <v>Sikkim</v>
      </c>
      <c r="I1176" s="5" t="str">
        <f>VLOOKUP(A1176,'Orders Dataset'!$A:$E,5,FALSE)</f>
        <v>Gangtok</v>
      </c>
    </row>
    <row r="1177" spans="1:9" x14ac:dyDescent="0.25">
      <c r="A1177" t="s">
        <v>472</v>
      </c>
      <c r="B1177">
        <v>103</v>
      </c>
      <c r="C1177">
        <v>46</v>
      </c>
      <c r="D1177">
        <v>2</v>
      </c>
      <c r="E1177" t="s">
        <v>899</v>
      </c>
      <c r="F1177" t="s">
        <v>901</v>
      </c>
      <c r="G1177" t="s">
        <v>902</v>
      </c>
      <c r="H1177" s="3" t="str">
        <f>VLOOKUP(A1177,'Orders Dataset'!$A:$D,4,FALSE)</f>
        <v>Nagaland</v>
      </c>
      <c r="I1177" s="5" t="str">
        <f>VLOOKUP(A1177,'Orders Dataset'!$A:$E,5,FALSE)</f>
        <v>Kohima</v>
      </c>
    </row>
    <row r="1178" spans="1:9" x14ac:dyDescent="0.25">
      <c r="A1178" t="s">
        <v>718</v>
      </c>
      <c r="B1178">
        <v>34</v>
      </c>
      <c r="C1178">
        <v>-13</v>
      </c>
      <c r="D1178">
        <v>5</v>
      </c>
      <c r="E1178" t="s">
        <v>899</v>
      </c>
      <c r="F1178" t="s">
        <v>908</v>
      </c>
      <c r="G1178" t="s">
        <v>891</v>
      </c>
      <c r="H1178" s="3" t="str">
        <f>VLOOKUP(A1178,'Orders Dataset'!$A:$D,4,FALSE)</f>
        <v>Uttar Pradesh</v>
      </c>
      <c r="I1178" s="5" t="str">
        <f>VLOOKUP(A1178,'Orders Dataset'!$A:$E,5,FALSE)</f>
        <v>Lucknow</v>
      </c>
    </row>
    <row r="1179" spans="1:9" x14ac:dyDescent="0.25">
      <c r="A1179" t="s">
        <v>362</v>
      </c>
      <c r="B1179">
        <v>137</v>
      </c>
      <c r="C1179">
        <v>63</v>
      </c>
      <c r="D1179">
        <v>3</v>
      </c>
      <c r="E1179" t="s">
        <v>899</v>
      </c>
      <c r="F1179" t="s">
        <v>907</v>
      </c>
      <c r="G1179" t="s">
        <v>891</v>
      </c>
      <c r="H1179" s="3" t="str">
        <f>VLOOKUP(A1179,'Orders Dataset'!$A:$D,4,FALSE)</f>
        <v>West Bengal</v>
      </c>
      <c r="I1179" s="5" t="str">
        <f>VLOOKUP(A1179,'Orders Dataset'!$A:$E,5,FALSE)</f>
        <v>Kolkata</v>
      </c>
    </row>
    <row r="1180" spans="1:9" x14ac:dyDescent="0.25">
      <c r="A1180" t="s">
        <v>826</v>
      </c>
      <c r="B1180">
        <v>34</v>
      </c>
      <c r="C1180">
        <v>12</v>
      </c>
      <c r="D1180">
        <v>2</v>
      </c>
      <c r="E1180" t="s">
        <v>899</v>
      </c>
      <c r="F1180" t="s">
        <v>907</v>
      </c>
      <c r="G1180" t="s">
        <v>891</v>
      </c>
      <c r="H1180" s="3" t="str">
        <f>VLOOKUP(A1180,'Orders Dataset'!$A:$D,4,FALSE)</f>
        <v>Maharashtra</v>
      </c>
      <c r="I1180" s="5" t="str">
        <f>VLOOKUP(A1180,'Orders Dataset'!$A:$E,5,FALSE)</f>
        <v>Pune</v>
      </c>
    </row>
    <row r="1181" spans="1:9" x14ac:dyDescent="0.25">
      <c r="A1181" t="s">
        <v>402</v>
      </c>
      <c r="B1181">
        <v>474</v>
      </c>
      <c r="C1181">
        <v>56</v>
      </c>
      <c r="D1181">
        <v>4</v>
      </c>
      <c r="E1181" t="s">
        <v>889</v>
      </c>
      <c r="F1181" t="s">
        <v>898</v>
      </c>
      <c r="G1181" t="s">
        <v>911</v>
      </c>
      <c r="H1181" s="3" t="str">
        <f>VLOOKUP(A1181,'Orders Dataset'!$A:$D,4,FALSE)</f>
        <v>Maharashtra</v>
      </c>
      <c r="I1181" s="5" t="str">
        <f>VLOOKUP(A1181,'Orders Dataset'!$A:$E,5,FALSE)</f>
        <v>Mumbai</v>
      </c>
    </row>
    <row r="1182" spans="1:9" x14ac:dyDescent="0.25">
      <c r="A1182" t="s">
        <v>546</v>
      </c>
      <c r="B1182">
        <v>50</v>
      </c>
      <c r="C1182">
        <v>3</v>
      </c>
      <c r="D1182">
        <v>2</v>
      </c>
      <c r="E1182" t="s">
        <v>899</v>
      </c>
      <c r="F1182" t="s">
        <v>907</v>
      </c>
      <c r="G1182" t="s">
        <v>894</v>
      </c>
      <c r="H1182" s="3" t="str">
        <f>VLOOKUP(A1182,'Orders Dataset'!$A:$D,4,FALSE)</f>
        <v>Uttar Pradesh</v>
      </c>
      <c r="I1182" s="5" t="str">
        <f>VLOOKUP(A1182,'Orders Dataset'!$A:$E,5,FALSE)</f>
        <v>Lucknow</v>
      </c>
    </row>
    <row r="1183" spans="1:9" x14ac:dyDescent="0.25">
      <c r="A1183" t="s">
        <v>200</v>
      </c>
      <c r="B1183">
        <v>69</v>
      </c>
      <c r="C1183">
        <v>-67</v>
      </c>
      <c r="D1183">
        <v>4</v>
      </c>
      <c r="E1183" t="s">
        <v>899</v>
      </c>
      <c r="F1183" t="s">
        <v>904</v>
      </c>
      <c r="G1183" t="s">
        <v>902</v>
      </c>
      <c r="H1183" s="3" t="str">
        <f>VLOOKUP(A1183,'Orders Dataset'!$A:$D,4,FALSE)</f>
        <v>Madhya Pradesh</v>
      </c>
      <c r="I1183" s="5" t="str">
        <f>VLOOKUP(A1183,'Orders Dataset'!$A:$E,5,FALSE)</f>
        <v>Indore</v>
      </c>
    </row>
    <row r="1184" spans="1:9" x14ac:dyDescent="0.25">
      <c r="A1184" t="s">
        <v>440</v>
      </c>
      <c r="B1184">
        <v>389</v>
      </c>
      <c r="C1184">
        <v>-83</v>
      </c>
      <c r="D1184">
        <v>3</v>
      </c>
      <c r="E1184" t="s">
        <v>892</v>
      </c>
      <c r="F1184" t="s">
        <v>893</v>
      </c>
      <c r="G1184" t="s">
        <v>902</v>
      </c>
      <c r="H1184" s="3" t="str">
        <f>VLOOKUP(A1184,'Orders Dataset'!$A:$D,4,FALSE)</f>
        <v>Goa</v>
      </c>
      <c r="I1184" s="5" t="str">
        <f>VLOOKUP(A1184,'Orders Dataset'!$A:$E,5,FALSE)</f>
        <v>Goa</v>
      </c>
    </row>
    <row r="1185" spans="1:9" x14ac:dyDescent="0.25">
      <c r="A1185" t="s">
        <v>214</v>
      </c>
      <c r="B1185">
        <v>77</v>
      </c>
      <c r="C1185">
        <v>-43</v>
      </c>
      <c r="D1185">
        <v>8</v>
      </c>
      <c r="E1185" t="s">
        <v>899</v>
      </c>
      <c r="F1185" t="s">
        <v>907</v>
      </c>
      <c r="G1185" t="s">
        <v>891</v>
      </c>
      <c r="H1185" s="3" t="str">
        <f>VLOOKUP(A1185,'Orders Dataset'!$A:$D,4,FALSE)</f>
        <v>Uttar Pradesh</v>
      </c>
      <c r="I1185" s="5" t="str">
        <f>VLOOKUP(A1185,'Orders Dataset'!$A:$E,5,FALSE)</f>
        <v>Lucknow</v>
      </c>
    </row>
    <row r="1186" spans="1:9" x14ac:dyDescent="0.25">
      <c r="A1186" t="s">
        <v>444</v>
      </c>
      <c r="B1186">
        <v>51</v>
      </c>
      <c r="C1186">
        <v>21</v>
      </c>
      <c r="D1186">
        <v>3</v>
      </c>
      <c r="E1186" t="s">
        <v>899</v>
      </c>
      <c r="F1186" t="s">
        <v>910</v>
      </c>
      <c r="G1186" t="s">
        <v>891</v>
      </c>
      <c r="H1186" s="3" t="str">
        <f>VLOOKUP(A1186,'Orders Dataset'!$A:$D,4,FALSE)</f>
        <v>Maharashtra</v>
      </c>
      <c r="I1186" s="5" t="str">
        <f>VLOOKUP(A1186,'Orders Dataset'!$A:$E,5,FALSE)</f>
        <v>Mumbai</v>
      </c>
    </row>
    <row r="1187" spans="1:9" x14ac:dyDescent="0.25">
      <c r="A1187" t="s">
        <v>294</v>
      </c>
      <c r="B1187">
        <v>394</v>
      </c>
      <c r="C1187">
        <v>146</v>
      </c>
      <c r="D1187">
        <v>2</v>
      </c>
      <c r="E1187" t="s">
        <v>892</v>
      </c>
      <c r="F1187" t="s">
        <v>895</v>
      </c>
      <c r="G1187" t="s">
        <v>902</v>
      </c>
      <c r="H1187" s="3" t="str">
        <f>VLOOKUP(A1187,'Orders Dataset'!$A:$D,4,FALSE)</f>
        <v>Madhya Pradesh</v>
      </c>
      <c r="I1187" s="5" t="str">
        <f>VLOOKUP(A1187,'Orders Dataset'!$A:$E,5,FALSE)</f>
        <v>Indore</v>
      </c>
    </row>
    <row r="1188" spans="1:9" x14ac:dyDescent="0.25">
      <c r="A1188" t="s">
        <v>499</v>
      </c>
      <c r="B1188">
        <v>48</v>
      </c>
      <c r="C1188">
        <v>-22</v>
      </c>
      <c r="D1188">
        <v>2</v>
      </c>
      <c r="E1188" t="s">
        <v>899</v>
      </c>
      <c r="F1188" t="s">
        <v>901</v>
      </c>
      <c r="G1188" t="s">
        <v>894</v>
      </c>
      <c r="H1188" s="3" t="str">
        <f>VLOOKUP(A1188,'Orders Dataset'!$A:$D,4,FALSE)</f>
        <v>West Bengal</v>
      </c>
      <c r="I1188" s="5" t="str">
        <f>VLOOKUP(A1188,'Orders Dataset'!$A:$E,5,FALSE)</f>
        <v>Kolkata</v>
      </c>
    </row>
    <row r="1189" spans="1:9" x14ac:dyDescent="0.25">
      <c r="A1189" t="s">
        <v>419</v>
      </c>
      <c r="B1189">
        <v>34</v>
      </c>
      <c r="C1189">
        <v>-12</v>
      </c>
      <c r="D1189">
        <v>5</v>
      </c>
      <c r="E1189" t="s">
        <v>899</v>
      </c>
      <c r="F1189" t="s">
        <v>908</v>
      </c>
      <c r="G1189" t="s">
        <v>891</v>
      </c>
      <c r="H1189" s="3" t="str">
        <f>VLOOKUP(A1189,'Orders Dataset'!$A:$D,4,FALSE)</f>
        <v>Gujarat</v>
      </c>
      <c r="I1189" s="5" t="str">
        <f>VLOOKUP(A1189,'Orders Dataset'!$A:$E,5,FALSE)</f>
        <v>Ahmedabad</v>
      </c>
    </row>
    <row r="1190" spans="1:9" x14ac:dyDescent="0.25">
      <c r="A1190" t="s">
        <v>14</v>
      </c>
      <c r="B1190">
        <v>484</v>
      </c>
      <c r="C1190">
        <v>28</v>
      </c>
      <c r="D1190">
        <v>3</v>
      </c>
      <c r="E1190" t="s">
        <v>889</v>
      </c>
      <c r="F1190" t="s">
        <v>896</v>
      </c>
      <c r="G1190" t="s">
        <v>911</v>
      </c>
      <c r="H1190" s="3" t="str">
        <f>VLOOKUP(A1190,'Orders Dataset'!$A:$D,4,FALSE)</f>
        <v>Maharashtra</v>
      </c>
      <c r="I1190" s="5" t="str">
        <f>VLOOKUP(A1190,'Orders Dataset'!$A:$E,5,FALSE)</f>
        <v>Mumbai</v>
      </c>
    </row>
    <row r="1191" spans="1:9" x14ac:dyDescent="0.25">
      <c r="A1191" t="s">
        <v>559</v>
      </c>
      <c r="B1191">
        <v>47</v>
      </c>
      <c r="C1191">
        <v>-27</v>
      </c>
      <c r="D1191">
        <v>4</v>
      </c>
      <c r="E1191" t="s">
        <v>899</v>
      </c>
      <c r="F1191" t="s">
        <v>901</v>
      </c>
      <c r="G1191" t="s">
        <v>894</v>
      </c>
      <c r="H1191" s="3" t="str">
        <f>VLOOKUP(A1191,'Orders Dataset'!$A:$D,4,FALSE)</f>
        <v>Gujarat</v>
      </c>
      <c r="I1191" s="5" t="str">
        <f>VLOOKUP(A1191,'Orders Dataset'!$A:$E,5,FALSE)</f>
        <v>Ahmedabad</v>
      </c>
    </row>
    <row r="1192" spans="1:9" x14ac:dyDescent="0.25">
      <c r="A1192" t="s">
        <v>25</v>
      </c>
      <c r="B1192">
        <v>45</v>
      </c>
      <c r="C1192">
        <v>8</v>
      </c>
      <c r="D1192">
        <v>4</v>
      </c>
      <c r="E1192" t="s">
        <v>899</v>
      </c>
      <c r="F1192" t="s">
        <v>905</v>
      </c>
      <c r="G1192" t="s">
        <v>894</v>
      </c>
      <c r="H1192" s="3" t="str">
        <f>VLOOKUP(A1192,'Orders Dataset'!$A:$D,4,FALSE)</f>
        <v>Maharashtra</v>
      </c>
      <c r="I1192" s="5" t="str">
        <f>VLOOKUP(A1192,'Orders Dataset'!$A:$E,5,FALSE)</f>
        <v>Pune</v>
      </c>
    </row>
    <row r="1193" spans="1:9" x14ac:dyDescent="0.25">
      <c r="A1193" t="s">
        <v>665</v>
      </c>
      <c r="B1193">
        <v>128</v>
      </c>
      <c r="C1193">
        <v>55</v>
      </c>
      <c r="D1193">
        <v>1</v>
      </c>
      <c r="E1193" t="s">
        <v>899</v>
      </c>
      <c r="F1193" t="s">
        <v>901</v>
      </c>
      <c r="G1193" t="s">
        <v>891</v>
      </c>
      <c r="H1193" s="3" t="str">
        <f>VLOOKUP(A1193,'Orders Dataset'!$A:$D,4,FALSE)</f>
        <v>West Bengal</v>
      </c>
      <c r="I1193" s="5" t="str">
        <f>VLOOKUP(A1193,'Orders Dataset'!$A:$E,5,FALSE)</f>
        <v>Kolkata</v>
      </c>
    </row>
    <row r="1194" spans="1:9" x14ac:dyDescent="0.25">
      <c r="A1194" t="s">
        <v>138</v>
      </c>
      <c r="B1194">
        <v>669</v>
      </c>
      <c r="C1194">
        <v>74</v>
      </c>
      <c r="D1194">
        <v>5</v>
      </c>
      <c r="E1194" t="s">
        <v>892</v>
      </c>
      <c r="F1194" t="s">
        <v>895</v>
      </c>
      <c r="G1194" t="s">
        <v>891</v>
      </c>
      <c r="H1194" s="3" t="str">
        <f>VLOOKUP(A1194,'Orders Dataset'!$A:$D,4,FALSE)</f>
        <v>West Bengal</v>
      </c>
      <c r="I1194" s="5" t="str">
        <f>VLOOKUP(A1194,'Orders Dataset'!$A:$E,5,FALSE)</f>
        <v>Kolkata</v>
      </c>
    </row>
    <row r="1195" spans="1:9" x14ac:dyDescent="0.25">
      <c r="A1195" t="s">
        <v>824</v>
      </c>
      <c r="B1195">
        <v>34</v>
      </c>
      <c r="C1195">
        <v>13</v>
      </c>
      <c r="D1195">
        <v>2</v>
      </c>
      <c r="E1195" t="s">
        <v>899</v>
      </c>
      <c r="F1195" t="s">
        <v>901</v>
      </c>
      <c r="G1195" t="s">
        <v>891</v>
      </c>
      <c r="H1195" s="3" t="str">
        <f>VLOOKUP(A1195,'Orders Dataset'!$A:$D,4,FALSE)</f>
        <v>Karnataka</v>
      </c>
      <c r="I1195" s="5" t="str">
        <f>VLOOKUP(A1195,'Orders Dataset'!$A:$E,5,FALSE)</f>
        <v>Bangalore</v>
      </c>
    </row>
    <row r="1196" spans="1:9" x14ac:dyDescent="0.25">
      <c r="A1196" t="s">
        <v>469</v>
      </c>
      <c r="B1196">
        <v>44</v>
      </c>
      <c r="C1196">
        <v>14</v>
      </c>
      <c r="D1196">
        <v>3</v>
      </c>
      <c r="E1196" t="s">
        <v>899</v>
      </c>
      <c r="F1196" t="s">
        <v>903</v>
      </c>
      <c r="G1196" t="s">
        <v>897</v>
      </c>
      <c r="H1196" s="3" t="str">
        <f>VLOOKUP(A1196,'Orders Dataset'!$A:$D,4,FALSE)</f>
        <v>Delhi</v>
      </c>
      <c r="I1196" s="5" t="str">
        <f>VLOOKUP(A1196,'Orders Dataset'!$A:$E,5,FALSE)</f>
        <v>Delhi</v>
      </c>
    </row>
    <row r="1197" spans="1:9" x14ac:dyDescent="0.25">
      <c r="A1197" t="s">
        <v>91</v>
      </c>
      <c r="B1197">
        <v>33</v>
      </c>
      <c r="C1197">
        <v>1</v>
      </c>
      <c r="D1197">
        <v>2</v>
      </c>
      <c r="E1197" t="s">
        <v>899</v>
      </c>
      <c r="F1197" t="s">
        <v>913</v>
      </c>
      <c r="G1197" t="s">
        <v>891</v>
      </c>
      <c r="H1197" s="3" t="str">
        <f>VLOOKUP(A1197,'Orders Dataset'!$A:$D,4,FALSE)</f>
        <v>Delhi</v>
      </c>
      <c r="I1197" s="5" t="str">
        <f>VLOOKUP(A1197,'Orders Dataset'!$A:$E,5,FALSE)</f>
        <v>Delhi</v>
      </c>
    </row>
    <row r="1198" spans="1:9" x14ac:dyDescent="0.25">
      <c r="A1198" t="s">
        <v>402</v>
      </c>
      <c r="B1198">
        <v>33</v>
      </c>
      <c r="C1198">
        <v>10</v>
      </c>
      <c r="D1198">
        <v>3</v>
      </c>
      <c r="E1198" t="s">
        <v>899</v>
      </c>
      <c r="F1198" t="s">
        <v>903</v>
      </c>
      <c r="G1198" t="s">
        <v>891</v>
      </c>
      <c r="H1198" s="3" t="str">
        <f>VLOOKUP(A1198,'Orders Dataset'!$A:$D,4,FALSE)</f>
        <v>Maharashtra</v>
      </c>
      <c r="I1198" s="5" t="str">
        <f>VLOOKUP(A1198,'Orders Dataset'!$A:$E,5,FALSE)</f>
        <v>Mumbai</v>
      </c>
    </row>
    <row r="1199" spans="1:9" x14ac:dyDescent="0.25">
      <c r="A1199" t="s">
        <v>228</v>
      </c>
      <c r="B1199">
        <v>487</v>
      </c>
      <c r="C1199">
        <v>-23</v>
      </c>
      <c r="D1199">
        <v>3</v>
      </c>
      <c r="E1199" t="s">
        <v>889</v>
      </c>
      <c r="F1199" t="s">
        <v>896</v>
      </c>
      <c r="G1199" t="s">
        <v>911</v>
      </c>
      <c r="H1199" s="3" t="str">
        <f>VLOOKUP(A1199,'Orders Dataset'!$A:$D,4,FALSE)</f>
        <v>Rajasthan</v>
      </c>
      <c r="I1199" s="5" t="str">
        <f>VLOOKUP(A1199,'Orders Dataset'!$A:$E,5,FALSE)</f>
        <v>Udaipur</v>
      </c>
    </row>
    <row r="1200" spans="1:9" x14ac:dyDescent="0.25">
      <c r="A1200" t="s">
        <v>392</v>
      </c>
      <c r="B1200">
        <v>497</v>
      </c>
      <c r="C1200">
        <v>179</v>
      </c>
      <c r="D1200">
        <v>3</v>
      </c>
      <c r="E1200" t="s">
        <v>892</v>
      </c>
      <c r="F1200" t="s">
        <v>893</v>
      </c>
      <c r="G1200" t="s">
        <v>911</v>
      </c>
      <c r="H1200" s="3" t="str">
        <f>VLOOKUP(A1200,'Orders Dataset'!$A:$D,4,FALSE)</f>
        <v>Jammu and Kashmir</v>
      </c>
      <c r="I1200" s="5" t="str">
        <f>VLOOKUP(A1200,'Orders Dataset'!$A:$E,5,FALSE)</f>
        <v>Kashmir</v>
      </c>
    </row>
    <row r="1201" spans="1:9" x14ac:dyDescent="0.25">
      <c r="A1201" t="s">
        <v>216</v>
      </c>
      <c r="B1201">
        <v>508</v>
      </c>
      <c r="C1201">
        <v>203</v>
      </c>
      <c r="D1201">
        <v>2</v>
      </c>
      <c r="E1201" t="s">
        <v>889</v>
      </c>
      <c r="F1201" t="s">
        <v>909</v>
      </c>
      <c r="G1201" t="s">
        <v>911</v>
      </c>
      <c r="H1201" s="3" t="str">
        <f>VLOOKUP(A1201,'Orders Dataset'!$A:$D,4,FALSE)</f>
        <v>Madhya Pradesh</v>
      </c>
      <c r="I1201" s="5" t="str">
        <f>VLOOKUP(A1201,'Orders Dataset'!$A:$E,5,FALSE)</f>
        <v>Indore</v>
      </c>
    </row>
    <row r="1202" spans="1:9" x14ac:dyDescent="0.25">
      <c r="A1202" t="s">
        <v>237</v>
      </c>
      <c r="B1202">
        <v>524</v>
      </c>
      <c r="C1202">
        <v>-25</v>
      </c>
      <c r="D1202">
        <v>2</v>
      </c>
      <c r="E1202" t="s">
        <v>889</v>
      </c>
      <c r="F1202" t="s">
        <v>890</v>
      </c>
      <c r="G1202" t="s">
        <v>911</v>
      </c>
      <c r="H1202" s="3" t="str">
        <f>VLOOKUP(A1202,'Orders Dataset'!$A:$D,4,FALSE)</f>
        <v>Gujarat</v>
      </c>
      <c r="I1202" s="5" t="str">
        <f>VLOOKUP(A1202,'Orders Dataset'!$A:$E,5,FALSE)</f>
        <v>Ahmedabad</v>
      </c>
    </row>
    <row r="1203" spans="1:9" x14ac:dyDescent="0.25">
      <c r="A1203" t="s">
        <v>426</v>
      </c>
      <c r="B1203">
        <v>425</v>
      </c>
      <c r="C1203">
        <v>183</v>
      </c>
      <c r="D1203">
        <v>5</v>
      </c>
      <c r="E1203" t="s">
        <v>889</v>
      </c>
      <c r="F1203" t="s">
        <v>909</v>
      </c>
      <c r="G1203" t="s">
        <v>902</v>
      </c>
      <c r="H1203" s="3" t="str">
        <f>VLOOKUP(A1203,'Orders Dataset'!$A:$D,4,FALSE)</f>
        <v>Karnataka</v>
      </c>
      <c r="I1203" s="5" t="str">
        <f>VLOOKUP(A1203,'Orders Dataset'!$A:$E,5,FALSE)</f>
        <v>Bangalore</v>
      </c>
    </row>
    <row r="1204" spans="1:9" x14ac:dyDescent="0.25">
      <c r="A1204" t="s">
        <v>89</v>
      </c>
      <c r="B1204">
        <v>168</v>
      </c>
      <c r="C1204">
        <v>56</v>
      </c>
      <c r="D1204">
        <v>3</v>
      </c>
      <c r="E1204" t="s">
        <v>899</v>
      </c>
      <c r="F1204" t="s">
        <v>901</v>
      </c>
      <c r="G1204" t="s">
        <v>891</v>
      </c>
      <c r="H1204" s="3" t="str">
        <f>VLOOKUP(A1204,'Orders Dataset'!$A:$D,4,FALSE)</f>
        <v>Maharashtra</v>
      </c>
      <c r="I1204" s="5" t="str">
        <f>VLOOKUP(A1204,'Orders Dataset'!$A:$E,5,FALSE)</f>
        <v>Pune</v>
      </c>
    </row>
    <row r="1205" spans="1:9" x14ac:dyDescent="0.25">
      <c r="A1205" t="s">
        <v>646</v>
      </c>
      <c r="B1205">
        <v>141</v>
      </c>
      <c r="C1205">
        <v>28</v>
      </c>
      <c r="D1205">
        <v>7</v>
      </c>
      <c r="E1205" t="s">
        <v>892</v>
      </c>
      <c r="F1205" t="s">
        <v>912</v>
      </c>
      <c r="G1205" t="s">
        <v>902</v>
      </c>
      <c r="H1205" s="3" t="str">
        <f>VLOOKUP(A1205,'Orders Dataset'!$A:$D,4,FALSE)</f>
        <v>Madhya Pradesh</v>
      </c>
      <c r="I1205" s="5" t="str">
        <f>VLOOKUP(A1205,'Orders Dataset'!$A:$E,5,FALSE)</f>
        <v>Indore</v>
      </c>
    </row>
    <row r="1206" spans="1:9" x14ac:dyDescent="0.25">
      <c r="A1206" t="s">
        <v>311</v>
      </c>
      <c r="B1206">
        <v>429</v>
      </c>
      <c r="C1206">
        <v>17</v>
      </c>
      <c r="D1206">
        <v>3</v>
      </c>
      <c r="E1206" t="s">
        <v>892</v>
      </c>
      <c r="F1206" t="s">
        <v>893</v>
      </c>
      <c r="G1206" t="s">
        <v>902</v>
      </c>
      <c r="H1206" s="3" t="str">
        <f>VLOOKUP(A1206,'Orders Dataset'!$A:$D,4,FALSE)</f>
        <v>Madhya Pradesh</v>
      </c>
      <c r="I1206" s="5" t="str">
        <f>VLOOKUP(A1206,'Orders Dataset'!$A:$E,5,FALSE)</f>
        <v>Indore</v>
      </c>
    </row>
    <row r="1207" spans="1:9" x14ac:dyDescent="0.25">
      <c r="A1207" t="s">
        <v>317</v>
      </c>
      <c r="B1207">
        <v>44</v>
      </c>
      <c r="C1207">
        <v>-8</v>
      </c>
      <c r="D1207">
        <v>3</v>
      </c>
      <c r="E1207" t="s">
        <v>899</v>
      </c>
      <c r="F1207" t="s">
        <v>907</v>
      </c>
      <c r="G1207" t="s">
        <v>897</v>
      </c>
      <c r="H1207" s="3" t="str">
        <f>VLOOKUP(A1207,'Orders Dataset'!$A:$D,4,FALSE)</f>
        <v>Gujarat</v>
      </c>
      <c r="I1207" s="5" t="str">
        <f>VLOOKUP(A1207,'Orders Dataset'!$A:$E,5,FALSE)</f>
        <v>Ahmedabad</v>
      </c>
    </row>
    <row r="1208" spans="1:9" x14ac:dyDescent="0.25">
      <c r="A1208" t="s">
        <v>403</v>
      </c>
      <c r="B1208">
        <v>149</v>
      </c>
      <c r="C1208">
        <v>136</v>
      </c>
      <c r="D1208">
        <v>3</v>
      </c>
      <c r="E1208" t="s">
        <v>899</v>
      </c>
      <c r="F1208" t="s">
        <v>907</v>
      </c>
      <c r="G1208" t="s">
        <v>902</v>
      </c>
      <c r="H1208" s="3" t="str">
        <f>VLOOKUP(A1208,'Orders Dataset'!$A:$D,4,FALSE)</f>
        <v>Maharashtra</v>
      </c>
      <c r="I1208" s="5" t="str">
        <f>VLOOKUP(A1208,'Orders Dataset'!$A:$E,5,FALSE)</f>
        <v>Mumbai</v>
      </c>
    </row>
    <row r="1209" spans="1:9" x14ac:dyDescent="0.25">
      <c r="A1209" t="s">
        <v>63</v>
      </c>
      <c r="B1209">
        <v>44</v>
      </c>
      <c r="C1209">
        <v>-34</v>
      </c>
      <c r="D1209">
        <v>3</v>
      </c>
      <c r="E1209" t="s">
        <v>899</v>
      </c>
      <c r="F1209" t="s">
        <v>907</v>
      </c>
      <c r="G1209" t="s">
        <v>897</v>
      </c>
      <c r="H1209" s="3" t="str">
        <f>VLOOKUP(A1209,'Orders Dataset'!$A:$D,4,FALSE)</f>
        <v>Uttar Pradesh</v>
      </c>
      <c r="I1209" s="5" t="str">
        <f>VLOOKUP(A1209,'Orders Dataset'!$A:$E,5,FALSE)</f>
        <v>Mathura</v>
      </c>
    </row>
    <row r="1210" spans="1:9" x14ac:dyDescent="0.25">
      <c r="A1210" t="s">
        <v>296</v>
      </c>
      <c r="B1210">
        <v>33</v>
      </c>
      <c r="C1210">
        <v>10</v>
      </c>
      <c r="D1210">
        <v>3</v>
      </c>
      <c r="E1210" t="s">
        <v>899</v>
      </c>
      <c r="F1210" t="s">
        <v>903</v>
      </c>
      <c r="G1210" t="s">
        <v>891</v>
      </c>
      <c r="H1210" s="3" t="str">
        <f>VLOOKUP(A1210,'Orders Dataset'!$A:$D,4,FALSE)</f>
        <v>Madhya Pradesh</v>
      </c>
      <c r="I1210" s="5" t="str">
        <f>VLOOKUP(A1210,'Orders Dataset'!$A:$E,5,FALSE)</f>
        <v>Indore</v>
      </c>
    </row>
    <row r="1211" spans="1:9" x14ac:dyDescent="0.25">
      <c r="A1211" t="s">
        <v>427</v>
      </c>
      <c r="B1211">
        <v>33</v>
      </c>
      <c r="C1211">
        <v>9</v>
      </c>
      <c r="D1211">
        <v>2</v>
      </c>
      <c r="E1211" t="s">
        <v>899</v>
      </c>
      <c r="F1211" t="s">
        <v>903</v>
      </c>
      <c r="G1211" t="s">
        <v>891</v>
      </c>
      <c r="H1211" s="3" t="str">
        <f>VLOOKUP(A1211,'Orders Dataset'!$A:$D,4,FALSE)</f>
        <v>Bihar</v>
      </c>
      <c r="I1211" s="5" t="str">
        <f>VLOOKUP(A1211,'Orders Dataset'!$A:$E,5,FALSE)</f>
        <v>Patna</v>
      </c>
    </row>
    <row r="1212" spans="1:9" x14ac:dyDescent="0.25">
      <c r="A1212" t="s">
        <v>144</v>
      </c>
      <c r="B1212">
        <v>442</v>
      </c>
      <c r="C1212">
        <v>31</v>
      </c>
      <c r="D1212">
        <v>2</v>
      </c>
      <c r="E1212" t="s">
        <v>889</v>
      </c>
      <c r="F1212" t="s">
        <v>890</v>
      </c>
      <c r="G1212" t="s">
        <v>902</v>
      </c>
      <c r="H1212" s="3" t="str">
        <f>VLOOKUP(A1212,'Orders Dataset'!$A:$D,4,FALSE)</f>
        <v>Madhya Pradesh</v>
      </c>
      <c r="I1212" s="5" t="str">
        <f>VLOOKUP(A1212,'Orders Dataset'!$A:$E,5,FALSE)</f>
        <v>Bhopal</v>
      </c>
    </row>
    <row r="1213" spans="1:9" x14ac:dyDescent="0.25">
      <c r="A1213" t="s">
        <v>211</v>
      </c>
      <c r="B1213">
        <v>41</v>
      </c>
      <c r="C1213">
        <v>6</v>
      </c>
      <c r="D1213">
        <v>5</v>
      </c>
      <c r="E1213" t="s">
        <v>899</v>
      </c>
      <c r="F1213" t="s">
        <v>905</v>
      </c>
      <c r="G1213" t="s">
        <v>897</v>
      </c>
      <c r="H1213" s="3" t="str">
        <f>VLOOKUP(A1213,'Orders Dataset'!$A:$D,4,FALSE)</f>
        <v>Haryana</v>
      </c>
      <c r="I1213" s="5" t="str">
        <f>VLOOKUP(A1213,'Orders Dataset'!$A:$E,5,FALSE)</f>
        <v>Chandigarh</v>
      </c>
    </row>
    <row r="1214" spans="1:9" x14ac:dyDescent="0.25">
      <c r="A1214" t="s">
        <v>722</v>
      </c>
      <c r="B1214">
        <v>33</v>
      </c>
      <c r="C1214">
        <v>-12</v>
      </c>
      <c r="D1214">
        <v>5</v>
      </c>
      <c r="E1214" t="s">
        <v>899</v>
      </c>
      <c r="F1214" t="s">
        <v>903</v>
      </c>
      <c r="G1214" t="s">
        <v>891</v>
      </c>
      <c r="H1214" s="3" t="str">
        <f>VLOOKUP(A1214,'Orders Dataset'!$A:$D,4,FALSE)</f>
        <v>Madhya Pradesh</v>
      </c>
      <c r="I1214" s="5" t="str">
        <f>VLOOKUP(A1214,'Orders Dataset'!$A:$E,5,FALSE)</f>
        <v>Indore</v>
      </c>
    </row>
    <row r="1215" spans="1:9" x14ac:dyDescent="0.25">
      <c r="A1215" t="s">
        <v>829</v>
      </c>
      <c r="B1215">
        <v>32</v>
      </c>
      <c r="C1215">
        <v>3</v>
      </c>
      <c r="D1215">
        <v>8</v>
      </c>
      <c r="E1215" t="s">
        <v>899</v>
      </c>
      <c r="F1215" t="s">
        <v>903</v>
      </c>
      <c r="G1215" t="s">
        <v>891</v>
      </c>
      <c r="H1215" s="3" t="str">
        <f>VLOOKUP(A1215,'Orders Dataset'!$A:$D,4,FALSE)</f>
        <v>Maharashtra</v>
      </c>
      <c r="I1215" s="5" t="str">
        <f>VLOOKUP(A1215,'Orders Dataset'!$A:$E,5,FALSE)</f>
        <v>Mumbai</v>
      </c>
    </row>
    <row r="1216" spans="1:9" x14ac:dyDescent="0.25">
      <c r="A1216" t="s">
        <v>168</v>
      </c>
      <c r="B1216">
        <v>32</v>
      </c>
      <c r="C1216">
        <v>6</v>
      </c>
      <c r="D1216">
        <v>3</v>
      </c>
      <c r="E1216" t="s">
        <v>899</v>
      </c>
      <c r="F1216" t="s">
        <v>913</v>
      </c>
      <c r="G1216" t="s">
        <v>891</v>
      </c>
      <c r="H1216" s="3" t="str">
        <f>VLOOKUP(A1216,'Orders Dataset'!$A:$D,4,FALSE)</f>
        <v>Rajasthan</v>
      </c>
      <c r="I1216" s="5" t="str">
        <f>VLOOKUP(A1216,'Orders Dataset'!$A:$E,5,FALSE)</f>
        <v>Jaipur</v>
      </c>
    </row>
    <row r="1217" spans="1:9" x14ac:dyDescent="0.25">
      <c r="A1217" t="s">
        <v>451</v>
      </c>
      <c r="B1217">
        <v>179</v>
      </c>
      <c r="C1217">
        <v>77</v>
      </c>
      <c r="D1217">
        <v>1</v>
      </c>
      <c r="E1217" t="s">
        <v>899</v>
      </c>
      <c r="F1217" t="s">
        <v>901</v>
      </c>
      <c r="G1217" t="s">
        <v>902</v>
      </c>
      <c r="H1217" s="3" t="str">
        <f>VLOOKUP(A1217,'Orders Dataset'!$A:$D,4,FALSE)</f>
        <v>Nagaland</v>
      </c>
      <c r="I1217" s="5" t="str">
        <f>VLOOKUP(A1217,'Orders Dataset'!$A:$E,5,FALSE)</f>
        <v>Kohima</v>
      </c>
    </row>
    <row r="1218" spans="1:9" x14ac:dyDescent="0.25">
      <c r="A1218" t="s">
        <v>686</v>
      </c>
      <c r="B1218">
        <v>31</v>
      </c>
      <c r="C1218">
        <v>10</v>
      </c>
      <c r="D1218">
        <v>1</v>
      </c>
      <c r="E1218" t="s">
        <v>899</v>
      </c>
      <c r="F1218" t="s">
        <v>904</v>
      </c>
      <c r="G1218" t="s">
        <v>891</v>
      </c>
      <c r="H1218" s="3" t="str">
        <f>VLOOKUP(A1218,'Orders Dataset'!$A:$D,4,FALSE)</f>
        <v>Gujarat</v>
      </c>
      <c r="I1218" s="5" t="str">
        <f>VLOOKUP(A1218,'Orders Dataset'!$A:$E,5,FALSE)</f>
        <v>Surat</v>
      </c>
    </row>
    <row r="1219" spans="1:9" x14ac:dyDescent="0.25">
      <c r="A1219" t="s">
        <v>552</v>
      </c>
      <c r="B1219">
        <v>140</v>
      </c>
      <c r="C1219">
        <v>68</v>
      </c>
      <c r="D1219">
        <v>5</v>
      </c>
      <c r="E1219" t="s">
        <v>899</v>
      </c>
      <c r="F1219" t="s">
        <v>910</v>
      </c>
      <c r="G1219" t="s">
        <v>891</v>
      </c>
      <c r="H1219" s="3" t="str">
        <f>VLOOKUP(A1219,'Orders Dataset'!$A:$D,4,FALSE)</f>
        <v>Punjab</v>
      </c>
      <c r="I1219" s="5" t="str">
        <f>VLOOKUP(A1219,'Orders Dataset'!$A:$E,5,FALSE)</f>
        <v>Amritsar</v>
      </c>
    </row>
    <row r="1220" spans="1:9" x14ac:dyDescent="0.25">
      <c r="A1220" t="s">
        <v>377</v>
      </c>
      <c r="B1220">
        <v>529</v>
      </c>
      <c r="C1220">
        <v>137</v>
      </c>
      <c r="D1220">
        <v>3</v>
      </c>
      <c r="E1220" t="s">
        <v>889</v>
      </c>
      <c r="F1220" t="s">
        <v>898</v>
      </c>
      <c r="G1220" t="s">
        <v>911</v>
      </c>
      <c r="H1220" s="3" t="str">
        <f>VLOOKUP(A1220,'Orders Dataset'!$A:$D,4,FALSE)</f>
        <v>Madhya Pradesh</v>
      </c>
      <c r="I1220" s="5" t="str">
        <f>VLOOKUP(A1220,'Orders Dataset'!$A:$E,5,FALSE)</f>
        <v>Indore</v>
      </c>
    </row>
    <row r="1221" spans="1:9" x14ac:dyDescent="0.25">
      <c r="A1221" t="s">
        <v>373</v>
      </c>
      <c r="B1221">
        <v>534</v>
      </c>
      <c r="C1221">
        <v>0</v>
      </c>
      <c r="D1221">
        <v>3</v>
      </c>
      <c r="E1221" t="s">
        <v>899</v>
      </c>
      <c r="F1221" t="s">
        <v>901</v>
      </c>
      <c r="G1221" t="s">
        <v>911</v>
      </c>
      <c r="H1221" s="3" t="str">
        <f>VLOOKUP(A1221,'Orders Dataset'!$A:$D,4,FALSE)</f>
        <v>Rajasthan</v>
      </c>
      <c r="I1221" s="5" t="str">
        <f>VLOOKUP(A1221,'Orders Dataset'!$A:$E,5,FALSE)</f>
        <v>Jaipur</v>
      </c>
    </row>
    <row r="1222" spans="1:9" x14ac:dyDescent="0.25">
      <c r="A1222" t="s">
        <v>815</v>
      </c>
      <c r="B1222">
        <v>41</v>
      </c>
      <c r="C1222">
        <v>-6</v>
      </c>
      <c r="D1222">
        <v>1</v>
      </c>
      <c r="E1222" t="s">
        <v>892</v>
      </c>
      <c r="F1222" t="s">
        <v>893</v>
      </c>
      <c r="G1222" t="s">
        <v>897</v>
      </c>
      <c r="H1222" s="3" t="str">
        <f>VLOOKUP(A1222,'Orders Dataset'!$A:$D,4,FALSE)</f>
        <v>Madhya Pradesh</v>
      </c>
      <c r="I1222" s="5" t="str">
        <f>VLOOKUP(A1222,'Orders Dataset'!$A:$E,5,FALSE)</f>
        <v>Indore</v>
      </c>
    </row>
    <row r="1223" spans="1:9" x14ac:dyDescent="0.25">
      <c r="A1223" t="s">
        <v>30</v>
      </c>
      <c r="B1223">
        <v>379</v>
      </c>
      <c r="C1223">
        <v>63</v>
      </c>
      <c r="D1223">
        <v>2</v>
      </c>
      <c r="E1223" t="s">
        <v>899</v>
      </c>
      <c r="F1223" t="s">
        <v>901</v>
      </c>
      <c r="G1223" t="s">
        <v>891</v>
      </c>
      <c r="H1223" s="3" t="str">
        <f>VLOOKUP(A1223,'Orders Dataset'!$A:$D,4,FALSE)</f>
        <v>Andhra Pradesh</v>
      </c>
      <c r="I1223" s="5" t="str">
        <f>VLOOKUP(A1223,'Orders Dataset'!$A:$E,5,FALSE)</f>
        <v>Hyderabad</v>
      </c>
    </row>
    <row r="1224" spans="1:9" x14ac:dyDescent="0.25">
      <c r="A1224" t="s">
        <v>432</v>
      </c>
      <c r="B1224">
        <v>81</v>
      </c>
      <c r="C1224">
        <v>-44</v>
      </c>
      <c r="D1224">
        <v>3</v>
      </c>
      <c r="E1224" t="s">
        <v>899</v>
      </c>
      <c r="F1224" t="s">
        <v>907</v>
      </c>
      <c r="G1224" t="s">
        <v>891</v>
      </c>
      <c r="H1224" s="3" t="str">
        <f>VLOOKUP(A1224,'Orders Dataset'!$A:$D,4,FALSE)</f>
        <v>Maharashtra</v>
      </c>
      <c r="I1224" s="5" t="str">
        <f>VLOOKUP(A1224,'Orders Dataset'!$A:$E,5,FALSE)</f>
        <v>Mumbai</v>
      </c>
    </row>
    <row r="1225" spans="1:9" x14ac:dyDescent="0.25">
      <c r="A1225" t="s">
        <v>124</v>
      </c>
      <c r="B1225">
        <v>40</v>
      </c>
      <c r="C1225">
        <v>-33</v>
      </c>
      <c r="D1225">
        <v>5</v>
      </c>
      <c r="E1225" t="s">
        <v>899</v>
      </c>
      <c r="F1225" t="s">
        <v>903</v>
      </c>
      <c r="G1225" t="s">
        <v>897</v>
      </c>
      <c r="H1225" s="3" t="str">
        <f>VLOOKUP(A1225,'Orders Dataset'!$A:$D,4,FALSE)</f>
        <v>Madhya Pradesh</v>
      </c>
      <c r="I1225" s="5" t="str">
        <f>VLOOKUP(A1225,'Orders Dataset'!$A:$E,5,FALSE)</f>
        <v>Indore</v>
      </c>
    </row>
    <row r="1226" spans="1:9" x14ac:dyDescent="0.25">
      <c r="A1226" t="s">
        <v>286</v>
      </c>
      <c r="B1226">
        <v>40</v>
      </c>
      <c r="C1226">
        <v>18</v>
      </c>
      <c r="D1226">
        <v>1</v>
      </c>
      <c r="E1226" t="s">
        <v>889</v>
      </c>
      <c r="F1226" t="s">
        <v>909</v>
      </c>
      <c r="G1226" t="s">
        <v>897</v>
      </c>
      <c r="H1226" s="3" t="str">
        <f>VLOOKUP(A1226,'Orders Dataset'!$A:$D,4,FALSE)</f>
        <v>West Bengal</v>
      </c>
      <c r="I1226" s="5" t="str">
        <f>VLOOKUP(A1226,'Orders Dataset'!$A:$E,5,FALSE)</f>
        <v>Kolkata</v>
      </c>
    </row>
    <row r="1227" spans="1:9" x14ac:dyDescent="0.25">
      <c r="A1227" t="s">
        <v>126</v>
      </c>
      <c r="B1227">
        <v>534</v>
      </c>
      <c r="C1227">
        <v>0</v>
      </c>
      <c r="D1227">
        <v>3</v>
      </c>
      <c r="E1227" t="s">
        <v>899</v>
      </c>
      <c r="F1227" t="s">
        <v>901</v>
      </c>
      <c r="G1227" t="s">
        <v>911</v>
      </c>
      <c r="H1227" s="3" t="str">
        <f>VLOOKUP(A1227,'Orders Dataset'!$A:$D,4,FALSE)</f>
        <v>Maharashtra</v>
      </c>
      <c r="I1227" s="5" t="str">
        <f>VLOOKUP(A1227,'Orders Dataset'!$A:$E,5,FALSE)</f>
        <v>Pune</v>
      </c>
    </row>
    <row r="1228" spans="1:9" x14ac:dyDescent="0.25">
      <c r="A1228" t="s">
        <v>427</v>
      </c>
      <c r="B1228">
        <v>31</v>
      </c>
      <c r="C1228">
        <v>9</v>
      </c>
      <c r="D1228">
        <v>2</v>
      </c>
      <c r="E1228" t="s">
        <v>899</v>
      </c>
      <c r="F1228" t="s">
        <v>903</v>
      </c>
      <c r="G1228" t="s">
        <v>891</v>
      </c>
      <c r="H1228" s="3" t="str">
        <f>VLOOKUP(A1228,'Orders Dataset'!$A:$D,4,FALSE)</f>
        <v>Bihar</v>
      </c>
      <c r="I1228" s="5" t="str">
        <f>VLOOKUP(A1228,'Orders Dataset'!$A:$E,5,FALSE)</f>
        <v>Patna</v>
      </c>
    </row>
    <row r="1229" spans="1:9" x14ac:dyDescent="0.25">
      <c r="A1229" t="s">
        <v>252</v>
      </c>
      <c r="B1229">
        <v>473</v>
      </c>
      <c r="C1229">
        <v>-113</v>
      </c>
      <c r="D1229">
        <v>9</v>
      </c>
      <c r="E1229" t="s">
        <v>899</v>
      </c>
      <c r="F1229" t="s">
        <v>903</v>
      </c>
      <c r="G1229" t="s">
        <v>902</v>
      </c>
      <c r="H1229" s="3" t="str">
        <f>VLOOKUP(A1229,'Orders Dataset'!$A:$D,4,FALSE)</f>
        <v>Andhra Pradesh</v>
      </c>
      <c r="I1229" s="5" t="str">
        <f>VLOOKUP(A1229,'Orders Dataset'!$A:$E,5,FALSE)</f>
        <v>Hyderabad</v>
      </c>
    </row>
    <row r="1230" spans="1:9" x14ac:dyDescent="0.25">
      <c r="A1230" t="s">
        <v>830</v>
      </c>
      <c r="B1230">
        <v>31</v>
      </c>
      <c r="C1230">
        <v>-10</v>
      </c>
      <c r="D1230">
        <v>3</v>
      </c>
      <c r="E1230" t="s">
        <v>899</v>
      </c>
      <c r="F1230" t="s">
        <v>905</v>
      </c>
      <c r="G1230" t="s">
        <v>891</v>
      </c>
      <c r="H1230" s="3" t="str">
        <f>VLOOKUP(A1230,'Orders Dataset'!$A:$D,4,FALSE)</f>
        <v>Madhya Pradesh</v>
      </c>
      <c r="I1230" s="5" t="str">
        <f>VLOOKUP(A1230,'Orders Dataset'!$A:$E,5,FALSE)</f>
        <v>Indore</v>
      </c>
    </row>
    <row r="1231" spans="1:9" x14ac:dyDescent="0.25">
      <c r="A1231" t="s">
        <v>219</v>
      </c>
      <c r="B1231">
        <v>31</v>
      </c>
      <c r="C1231">
        <v>-3</v>
      </c>
      <c r="D1231">
        <v>4</v>
      </c>
      <c r="E1231" t="s">
        <v>899</v>
      </c>
      <c r="F1231" t="s">
        <v>901</v>
      </c>
      <c r="G1231" t="s">
        <v>891</v>
      </c>
      <c r="H1231" s="3" t="str">
        <f>VLOOKUP(A1231,'Orders Dataset'!$A:$D,4,FALSE)</f>
        <v>Maharashtra</v>
      </c>
      <c r="I1231" s="5" t="str">
        <f>VLOOKUP(A1231,'Orders Dataset'!$A:$E,5,FALSE)</f>
        <v>Mumbai</v>
      </c>
    </row>
    <row r="1232" spans="1:9" x14ac:dyDescent="0.25">
      <c r="A1232" t="s">
        <v>132</v>
      </c>
      <c r="B1232">
        <v>91</v>
      </c>
      <c r="C1232">
        <v>15</v>
      </c>
      <c r="D1232">
        <v>6</v>
      </c>
      <c r="E1232" t="s">
        <v>899</v>
      </c>
      <c r="F1232" t="s">
        <v>910</v>
      </c>
      <c r="G1232" t="s">
        <v>902</v>
      </c>
      <c r="H1232" s="3" t="str">
        <f>VLOOKUP(A1232,'Orders Dataset'!$A:$D,4,FALSE)</f>
        <v>Madhya Pradesh</v>
      </c>
      <c r="I1232" s="5" t="str">
        <f>VLOOKUP(A1232,'Orders Dataset'!$A:$E,5,FALSE)</f>
        <v>Indore</v>
      </c>
    </row>
    <row r="1233" spans="1:9" x14ac:dyDescent="0.25">
      <c r="A1233" t="s">
        <v>273</v>
      </c>
      <c r="B1233">
        <v>30</v>
      </c>
      <c r="C1233">
        <v>-25</v>
      </c>
      <c r="D1233">
        <v>2</v>
      </c>
      <c r="E1233" t="s">
        <v>899</v>
      </c>
      <c r="F1233" t="s">
        <v>910</v>
      </c>
      <c r="G1233" t="s">
        <v>891</v>
      </c>
      <c r="H1233" s="3" t="str">
        <f>VLOOKUP(A1233,'Orders Dataset'!$A:$D,4,FALSE)</f>
        <v>Gujarat</v>
      </c>
      <c r="I1233" s="5" t="str">
        <f>VLOOKUP(A1233,'Orders Dataset'!$A:$E,5,FALSE)</f>
        <v>Ahmedabad</v>
      </c>
    </row>
    <row r="1234" spans="1:9" x14ac:dyDescent="0.25">
      <c r="A1234" t="s">
        <v>662</v>
      </c>
      <c r="B1234">
        <v>30</v>
      </c>
      <c r="C1234">
        <v>6</v>
      </c>
      <c r="D1234">
        <v>1</v>
      </c>
      <c r="E1234" t="s">
        <v>899</v>
      </c>
      <c r="F1234" t="s">
        <v>910</v>
      </c>
      <c r="G1234" t="s">
        <v>891</v>
      </c>
      <c r="H1234" s="3" t="str">
        <f>VLOOKUP(A1234,'Orders Dataset'!$A:$D,4,FALSE)</f>
        <v>Bihar</v>
      </c>
      <c r="I1234" s="5" t="str">
        <f>VLOOKUP(A1234,'Orders Dataset'!$A:$E,5,FALSE)</f>
        <v>Patna</v>
      </c>
    </row>
    <row r="1235" spans="1:9" x14ac:dyDescent="0.25">
      <c r="A1235" t="s">
        <v>48</v>
      </c>
      <c r="B1235">
        <v>40</v>
      </c>
      <c r="C1235">
        <v>0</v>
      </c>
      <c r="D1235">
        <v>3</v>
      </c>
      <c r="E1235" t="s">
        <v>899</v>
      </c>
      <c r="F1235" t="s">
        <v>901</v>
      </c>
      <c r="G1235" t="s">
        <v>897</v>
      </c>
      <c r="H1235" s="3" t="str">
        <f>VLOOKUP(A1235,'Orders Dataset'!$A:$D,4,FALSE)</f>
        <v>Uttar Pradesh</v>
      </c>
      <c r="I1235" s="5" t="str">
        <f>VLOOKUP(A1235,'Orders Dataset'!$A:$E,5,FALSE)</f>
        <v>Mathura</v>
      </c>
    </row>
    <row r="1236" spans="1:9" x14ac:dyDescent="0.25">
      <c r="A1236" t="s">
        <v>375</v>
      </c>
      <c r="B1236">
        <v>534</v>
      </c>
      <c r="C1236">
        <v>5</v>
      </c>
      <c r="D1236">
        <v>2</v>
      </c>
      <c r="E1236" t="s">
        <v>889</v>
      </c>
      <c r="F1236" t="s">
        <v>890</v>
      </c>
      <c r="G1236" t="s">
        <v>911</v>
      </c>
      <c r="H1236" s="3" t="str">
        <f>VLOOKUP(A1236,'Orders Dataset'!$A:$D,4,FALSE)</f>
        <v>Maharashtra</v>
      </c>
      <c r="I1236" s="5" t="str">
        <f>VLOOKUP(A1236,'Orders Dataset'!$A:$E,5,FALSE)</f>
        <v>Mumbai</v>
      </c>
    </row>
    <row r="1237" spans="1:9" x14ac:dyDescent="0.25">
      <c r="A1237" t="s">
        <v>369</v>
      </c>
      <c r="B1237">
        <v>539</v>
      </c>
      <c r="C1237">
        <v>-146</v>
      </c>
      <c r="D1237">
        <v>7</v>
      </c>
      <c r="E1237" t="s">
        <v>892</v>
      </c>
      <c r="F1237" t="s">
        <v>912</v>
      </c>
      <c r="G1237" t="s">
        <v>911</v>
      </c>
      <c r="H1237" s="3" t="str">
        <f>VLOOKUP(A1237,'Orders Dataset'!$A:$D,4,FALSE)</f>
        <v>Madhya Pradesh</v>
      </c>
      <c r="I1237" s="5" t="str">
        <f>VLOOKUP(A1237,'Orders Dataset'!$A:$E,5,FALSE)</f>
        <v>Indore</v>
      </c>
    </row>
    <row r="1238" spans="1:9" x14ac:dyDescent="0.25">
      <c r="A1238" t="s">
        <v>395</v>
      </c>
      <c r="B1238">
        <v>490</v>
      </c>
      <c r="C1238">
        <v>-128</v>
      </c>
      <c r="D1238">
        <v>8</v>
      </c>
      <c r="E1238" t="s">
        <v>892</v>
      </c>
      <c r="F1238" t="s">
        <v>895</v>
      </c>
      <c r="G1238" t="s">
        <v>902</v>
      </c>
      <c r="H1238" s="3" t="str">
        <f>VLOOKUP(A1238,'Orders Dataset'!$A:$D,4,FALSE)</f>
        <v>Maharashtra</v>
      </c>
      <c r="I1238" s="5" t="str">
        <f>VLOOKUP(A1238,'Orders Dataset'!$A:$E,5,FALSE)</f>
        <v>Mumbai</v>
      </c>
    </row>
    <row r="1239" spans="1:9" x14ac:dyDescent="0.25">
      <c r="A1239" t="s">
        <v>122</v>
      </c>
      <c r="B1239">
        <v>163</v>
      </c>
      <c r="C1239">
        <v>81</v>
      </c>
      <c r="D1239">
        <v>2</v>
      </c>
      <c r="E1239" t="s">
        <v>889</v>
      </c>
      <c r="F1239" t="s">
        <v>909</v>
      </c>
      <c r="G1239" t="s">
        <v>891</v>
      </c>
      <c r="H1239" s="3" t="str">
        <f>VLOOKUP(A1239,'Orders Dataset'!$A:$D,4,FALSE)</f>
        <v>Maharashtra</v>
      </c>
      <c r="I1239" s="5" t="str">
        <f>VLOOKUP(A1239,'Orders Dataset'!$A:$E,5,FALSE)</f>
        <v>Pune</v>
      </c>
    </row>
    <row r="1240" spans="1:9" x14ac:dyDescent="0.25">
      <c r="A1240" t="s">
        <v>138</v>
      </c>
      <c r="B1240">
        <v>184</v>
      </c>
      <c r="C1240">
        <v>85</v>
      </c>
      <c r="D1240">
        <v>6</v>
      </c>
      <c r="E1240" t="s">
        <v>899</v>
      </c>
      <c r="F1240" t="s">
        <v>910</v>
      </c>
      <c r="G1240" t="s">
        <v>902</v>
      </c>
      <c r="H1240" s="3" t="str">
        <f>VLOOKUP(A1240,'Orders Dataset'!$A:$D,4,FALSE)</f>
        <v>West Bengal</v>
      </c>
      <c r="I1240" s="5" t="str">
        <f>VLOOKUP(A1240,'Orders Dataset'!$A:$E,5,FALSE)</f>
        <v>Kolkata</v>
      </c>
    </row>
    <row r="1241" spans="1:9" x14ac:dyDescent="0.25">
      <c r="A1241" t="s">
        <v>393</v>
      </c>
      <c r="B1241">
        <v>494</v>
      </c>
      <c r="C1241">
        <v>54</v>
      </c>
      <c r="D1241">
        <v>4</v>
      </c>
      <c r="E1241" t="s">
        <v>892</v>
      </c>
      <c r="F1241" t="s">
        <v>895</v>
      </c>
      <c r="G1241" t="s">
        <v>891</v>
      </c>
      <c r="H1241" s="3" t="str">
        <f>VLOOKUP(A1241,'Orders Dataset'!$A:$D,4,FALSE)</f>
        <v>Himachal Pradesh</v>
      </c>
      <c r="I1241" s="5" t="str">
        <f>VLOOKUP(A1241,'Orders Dataset'!$A:$E,5,FALSE)</f>
        <v>Simla</v>
      </c>
    </row>
    <row r="1242" spans="1:9" x14ac:dyDescent="0.25">
      <c r="A1242" t="s">
        <v>838</v>
      </c>
      <c r="B1242">
        <v>30</v>
      </c>
      <c r="C1242">
        <v>11</v>
      </c>
      <c r="D1242">
        <v>5</v>
      </c>
      <c r="E1242" t="s">
        <v>899</v>
      </c>
      <c r="F1242" t="s">
        <v>903</v>
      </c>
      <c r="G1242" t="s">
        <v>891</v>
      </c>
      <c r="H1242" s="3" t="str">
        <f>VLOOKUP(A1242,'Orders Dataset'!$A:$D,4,FALSE)</f>
        <v>Madhya Pradesh</v>
      </c>
      <c r="I1242" s="5" t="str">
        <f>VLOOKUP(A1242,'Orders Dataset'!$A:$E,5,FALSE)</f>
        <v>Bhopal</v>
      </c>
    </row>
    <row r="1243" spans="1:9" x14ac:dyDescent="0.25">
      <c r="A1243" t="s">
        <v>492</v>
      </c>
      <c r="B1243">
        <v>30</v>
      </c>
      <c r="C1243">
        <v>0</v>
      </c>
      <c r="D1243">
        <v>1</v>
      </c>
      <c r="E1243" t="s">
        <v>899</v>
      </c>
      <c r="F1243" t="s">
        <v>904</v>
      </c>
      <c r="G1243" t="s">
        <v>891</v>
      </c>
      <c r="H1243" s="3" t="str">
        <f>VLOOKUP(A1243,'Orders Dataset'!$A:$D,4,FALSE)</f>
        <v>Uttar Pradesh</v>
      </c>
      <c r="I1243" s="5" t="str">
        <f>VLOOKUP(A1243,'Orders Dataset'!$A:$E,5,FALSE)</f>
        <v>Lucknow</v>
      </c>
    </row>
    <row r="1244" spans="1:9" x14ac:dyDescent="0.25">
      <c r="A1244" t="s">
        <v>315</v>
      </c>
      <c r="B1244">
        <v>39</v>
      </c>
      <c r="C1244">
        <v>-18</v>
      </c>
      <c r="D1244">
        <v>2</v>
      </c>
      <c r="E1244" t="s">
        <v>899</v>
      </c>
      <c r="F1244" t="s">
        <v>908</v>
      </c>
      <c r="G1244" t="s">
        <v>897</v>
      </c>
      <c r="H1244" s="3" t="str">
        <f>VLOOKUP(A1244,'Orders Dataset'!$A:$D,4,FALSE)</f>
        <v>Karnataka</v>
      </c>
      <c r="I1244" s="5" t="str">
        <f>VLOOKUP(A1244,'Orders Dataset'!$A:$E,5,FALSE)</f>
        <v>Bangalore</v>
      </c>
    </row>
    <row r="1245" spans="1:9" x14ac:dyDescent="0.25">
      <c r="A1245" t="s">
        <v>77</v>
      </c>
      <c r="B1245">
        <v>1700</v>
      </c>
      <c r="C1245">
        <v>85</v>
      </c>
      <c r="D1245">
        <v>3</v>
      </c>
      <c r="E1245" t="s">
        <v>899</v>
      </c>
      <c r="F1245" t="s">
        <v>900</v>
      </c>
      <c r="G1245" t="s">
        <v>891</v>
      </c>
      <c r="H1245" s="3" t="str">
        <f>VLOOKUP(A1245,'Orders Dataset'!$A:$D,4,FALSE)</f>
        <v>Maharashtra</v>
      </c>
      <c r="I1245" s="5" t="str">
        <f>VLOOKUP(A1245,'Orders Dataset'!$A:$E,5,FALSE)</f>
        <v>Mumbai</v>
      </c>
    </row>
    <row r="1246" spans="1:9" x14ac:dyDescent="0.25">
      <c r="A1246" t="s">
        <v>213</v>
      </c>
      <c r="B1246">
        <v>332</v>
      </c>
      <c r="C1246">
        <v>-43</v>
      </c>
      <c r="D1246">
        <v>6</v>
      </c>
      <c r="E1246" t="s">
        <v>889</v>
      </c>
      <c r="F1246" t="s">
        <v>898</v>
      </c>
      <c r="G1246" t="s">
        <v>902</v>
      </c>
      <c r="H1246" s="3" t="str">
        <f>VLOOKUP(A1246,'Orders Dataset'!$A:$D,4,FALSE)</f>
        <v>Madhya Pradesh</v>
      </c>
      <c r="I1246" s="5" t="str">
        <f>VLOOKUP(A1246,'Orders Dataset'!$A:$E,5,FALSE)</f>
        <v>Bhopal</v>
      </c>
    </row>
    <row r="1247" spans="1:9" x14ac:dyDescent="0.25">
      <c r="A1247" t="s">
        <v>421</v>
      </c>
      <c r="B1247">
        <v>436</v>
      </c>
      <c r="C1247">
        <v>131</v>
      </c>
      <c r="D1247">
        <v>9</v>
      </c>
      <c r="E1247" t="s">
        <v>899</v>
      </c>
      <c r="F1247" t="s">
        <v>903</v>
      </c>
      <c r="G1247" t="s">
        <v>902</v>
      </c>
      <c r="H1247" s="3" t="str">
        <f>VLOOKUP(A1247,'Orders Dataset'!$A:$D,4,FALSE)</f>
        <v>Maharashtra</v>
      </c>
      <c r="I1247" s="5" t="str">
        <f>VLOOKUP(A1247,'Orders Dataset'!$A:$E,5,FALSE)</f>
        <v>Pune</v>
      </c>
    </row>
    <row r="1248" spans="1:9" x14ac:dyDescent="0.25">
      <c r="A1248" t="s">
        <v>199</v>
      </c>
      <c r="B1248">
        <v>30</v>
      </c>
      <c r="C1248">
        <v>-5</v>
      </c>
      <c r="D1248">
        <v>2</v>
      </c>
      <c r="E1248" t="s">
        <v>892</v>
      </c>
      <c r="F1248" t="s">
        <v>912</v>
      </c>
      <c r="G1248" t="s">
        <v>891</v>
      </c>
      <c r="H1248" s="3" t="str">
        <f>VLOOKUP(A1248,'Orders Dataset'!$A:$D,4,FALSE)</f>
        <v>Bihar</v>
      </c>
      <c r="I1248" s="5" t="str">
        <f>VLOOKUP(A1248,'Orders Dataset'!$A:$E,5,FALSE)</f>
        <v>Patna</v>
      </c>
    </row>
    <row r="1249" spans="1:9" x14ac:dyDescent="0.25">
      <c r="A1249" t="s">
        <v>810</v>
      </c>
      <c r="B1249">
        <v>30</v>
      </c>
      <c r="C1249">
        <v>-10</v>
      </c>
      <c r="D1249">
        <v>2</v>
      </c>
      <c r="E1249" t="s">
        <v>899</v>
      </c>
      <c r="F1249" t="s">
        <v>907</v>
      </c>
      <c r="G1249" t="s">
        <v>891</v>
      </c>
      <c r="H1249" s="3" t="str">
        <f>VLOOKUP(A1249,'Orders Dataset'!$A:$D,4,FALSE)</f>
        <v>Maharashtra</v>
      </c>
      <c r="I1249" s="5" t="str">
        <f>VLOOKUP(A1249,'Orders Dataset'!$A:$E,5,FALSE)</f>
        <v>Mumbai</v>
      </c>
    </row>
    <row r="1250" spans="1:9" x14ac:dyDescent="0.25">
      <c r="A1250" t="s">
        <v>30</v>
      </c>
      <c r="B1250">
        <v>38</v>
      </c>
      <c r="C1250">
        <v>-13</v>
      </c>
      <c r="D1250">
        <v>3</v>
      </c>
      <c r="E1250" t="s">
        <v>899</v>
      </c>
      <c r="F1250" t="s">
        <v>907</v>
      </c>
      <c r="G1250" t="s">
        <v>897</v>
      </c>
      <c r="H1250" s="3" t="str">
        <f>VLOOKUP(A1250,'Orders Dataset'!$A:$D,4,FALSE)</f>
        <v>Andhra Pradesh</v>
      </c>
      <c r="I1250" s="5" t="str">
        <f>VLOOKUP(A1250,'Orders Dataset'!$A:$E,5,FALSE)</f>
        <v>Hyderabad</v>
      </c>
    </row>
    <row r="1251" spans="1:9" x14ac:dyDescent="0.25">
      <c r="A1251" t="s">
        <v>277</v>
      </c>
      <c r="B1251">
        <v>511</v>
      </c>
      <c r="C1251">
        <v>194</v>
      </c>
      <c r="D1251">
        <v>3</v>
      </c>
      <c r="E1251" t="s">
        <v>892</v>
      </c>
      <c r="F1251" t="s">
        <v>893</v>
      </c>
      <c r="G1251" t="s">
        <v>902</v>
      </c>
      <c r="H1251" s="3" t="str">
        <f>VLOOKUP(A1251,'Orders Dataset'!$A:$D,4,FALSE)</f>
        <v>Madhya Pradesh</v>
      </c>
      <c r="I1251" s="5" t="str">
        <f>VLOOKUP(A1251,'Orders Dataset'!$A:$E,5,FALSE)</f>
        <v>Indore</v>
      </c>
    </row>
    <row r="1252" spans="1:9" x14ac:dyDescent="0.25">
      <c r="A1252" t="s">
        <v>73</v>
      </c>
      <c r="B1252">
        <v>37</v>
      </c>
      <c r="C1252">
        <v>-53</v>
      </c>
      <c r="D1252">
        <v>3</v>
      </c>
      <c r="E1252" t="s">
        <v>899</v>
      </c>
      <c r="F1252" t="s">
        <v>901</v>
      </c>
      <c r="G1252" t="s">
        <v>897</v>
      </c>
      <c r="H1252" s="3" t="str">
        <f>VLOOKUP(A1252,'Orders Dataset'!$A:$D,4,FALSE)</f>
        <v>Kerala</v>
      </c>
      <c r="I1252" s="5" t="str">
        <f>VLOOKUP(A1252,'Orders Dataset'!$A:$E,5,FALSE)</f>
        <v>Thiruvananthapuram</v>
      </c>
    </row>
    <row r="1253" spans="1:9" x14ac:dyDescent="0.25">
      <c r="A1253" t="s">
        <v>230</v>
      </c>
      <c r="B1253">
        <v>513</v>
      </c>
      <c r="C1253">
        <v>215</v>
      </c>
      <c r="D1253">
        <v>2</v>
      </c>
      <c r="E1253" t="s">
        <v>889</v>
      </c>
      <c r="F1253" t="s">
        <v>909</v>
      </c>
      <c r="G1253" t="s">
        <v>891</v>
      </c>
      <c r="H1253" s="3" t="str">
        <f>VLOOKUP(A1253,'Orders Dataset'!$A:$D,4,FALSE)</f>
        <v>Goa</v>
      </c>
      <c r="I1253" s="5" t="str">
        <f>VLOOKUP(A1253,'Orders Dataset'!$A:$E,5,FALSE)</f>
        <v>Goa</v>
      </c>
    </row>
    <row r="1254" spans="1:9" x14ac:dyDescent="0.25">
      <c r="A1254" t="s">
        <v>211</v>
      </c>
      <c r="B1254">
        <v>516</v>
      </c>
      <c r="C1254">
        <v>69</v>
      </c>
      <c r="D1254">
        <v>4</v>
      </c>
      <c r="E1254" t="s">
        <v>892</v>
      </c>
      <c r="F1254" t="s">
        <v>895</v>
      </c>
      <c r="G1254" t="s">
        <v>902</v>
      </c>
      <c r="H1254" s="3" t="str">
        <f>VLOOKUP(A1254,'Orders Dataset'!$A:$D,4,FALSE)</f>
        <v>Haryana</v>
      </c>
      <c r="I1254" s="5" t="str">
        <f>VLOOKUP(A1254,'Orders Dataset'!$A:$E,5,FALSE)</f>
        <v>Chandigarh</v>
      </c>
    </row>
    <row r="1255" spans="1:9" x14ac:dyDescent="0.25">
      <c r="A1255" t="s">
        <v>339</v>
      </c>
      <c r="B1255">
        <v>559</v>
      </c>
      <c r="C1255">
        <v>-19</v>
      </c>
      <c r="D1255">
        <v>2</v>
      </c>
      <c r="E1255" t="s">
        <v>899</v>
      </c>
      <c r="F1255" t="s">
        <v>900</v>
      </c>
      <c r="G1255" t="s">
        <v>911</v>
      </c>
      <c r="H1255" s="3" t="str">
        <f>VLOOKUP(A1255,'Orders Dataset'!$A:$D,4,FALSE)</f>
        <v>Maharashtra</v>
      </c>
      <c r="I1255" s="5" t="str">
        <f>VLOOKUP(A1255,'Orders Dataset'!$A:$E,5,FALSE)</f>
        <v>Mumbai</v>
      </c>
    </row>
    <row r="1256" spans="1:9" x14ac:dyDescent="0.25">
      <c r="A1256" t="s">
        <v>841</v>
      </c>
      <c r="B1256">
        <v>29</v>
      </c>
      <c r="C1256">
        <v>-10</v>
      </c>
      <c r="D1256">
        <v>3</v>
      </c>
      <c r="E1256" t="s">
        <v>899</v>
      </c>
      <c r="F1256" t="s">
        <v>905</v>
      </c>
      <c r="G1256" t="s">
        <v>891</v>
      </c>
      <c r="H1256" s="3" t="str">
        <f>VLOOKUP(A1256,'Orders Dataset'!$A:$D,4,FALSE)</f>
        <v>Madhya Pradesh</v>
      </c>
      <c r="I1256" s="5" t="str">
        <f>VLOOKUP(A1256,'Orders Dataset'!$A:$E,5,FALSE)</f>
        <v>Bhopal</v>
      </c>
    </row>
    <row r="1257" spans="1:9" x14ac:dyDescent="0.25">
      <c r="A1257" t="s">
        <v>423</v>
      </c>
      <c r="B1257">
        <v>148</v>
      </c>
      <c r="C1257">
        <v>52</v>
      </c>
      <c r="D1257">
        <v>5</v>
      </c>
      <c r="E1257" t="s">
        <v>899</v>
      </c>
      <c r="F1257" t="s">
        <v>907</v>
      </c>
      <c r="G1257" t="s">
        <v>902</v>
      </c>
      <c r="H1257" s="3" t="str">
        <f>VLOOKUP(A1257,'Orders Dataset'!$A:$D,4,FALSE)</f>
        <v>Kerala</v>
      </c>
      <c r="I1257" s="5" t="str">
        <f>VLOOKUP(A1257,'Orders Dataset'!$A:$E,5,FALSE)</f>
        <v>Thiruvananthapuram</v>
      </c>
    </row>
    <row r="1258" spans="1:9" x14ac:dyDescent="0.25">
      <c r="A1258" t="s">
        <v>360</v>
      </c>
      <c r="B1258">
        <v>559</v>
      </c>
      <c r="C1258">
        <v>-174</v>
      </c>
      <c r="D1258">
        <v>2</v>
      </c>
      <c r="E1258" t="s">
        <v>889</v>
      </c>
      <c r="F1258" t="s">
        <v>890</v>
      </c>
      <c r="G1258" t="s">
        <v>911</v>
      </c>
      <c r="H1258" s="3" t="str">
        <f>VLOOKUP(A1258,'Orders Dataset'!$A:$D,4,FALSE)</f>
        <v>Maharashtra</v>
      </c>
      <c r="I1258" s="5" t="str">
        <f>VLOOKUP(A1258,'Orders Dataset'!$A:$E,5,FALSE)</f>
        <v>Mumbai</v>
      </c>
    </row>
    <row r="1259" spans="1:9" x14ac:dyDescent="0.25">
      <c r="A1259" t="s">
        <v>378</v>
      </c>
      <c r="B1259">
        <v>527</v>
      </c>
      <c r="C1259">
        <v>26</v>
      </c>
      <c r="D1259">
        <v>3</v>
      </c>
      <c r="E1259" t="s">
        <v>889</v>
      </c>
      <c r="F1259" t="s">
        <v>890</v>
      </c>
      <c r="G1259" t="s">
        <v>891</v>
      </c>
      <c r="H1259" s="3" t="str">
        <f>VLOOKUP(A1259,'Orders Dataset'!$A:$D,4,FALSE)</f>
        <v>Bihar</v>
      </c>
      <c r="I1259" s="5" t="str">
        <f>VLOOKUP(A1259,'Orders Dataset'!$A:$E,5,FALSE)</f>
        <v>Patna</v>
      </c>
    </row>
    <row r="1260" spans="1:9" x14ac:dyDescent="0.25">
      <c r="A1260" t="s">
        <v>358</v>
      </c>
      <c r="B1260">
        <v>560</v>
      </c>
      <c r="C1260">
        <v>44</v>
      </c>
      <c r="D1260">
        <v>3</v>
      </c>
      <c r="E1260" t="s">
        <v>899</v>
      </c>
      <c r="F1260" t="s">
        <v>901</v>
      </c>
      <c r="G1260" t="s">
        <v>911</v>
      </c>
      <c r="H1260" s="3" t="str">
        <f>VLOOKUP(A1260,'Orders Dataset'!$A:$D,4,FALSE)</f>
        <v>Madhya Pradesh</v>
      </c>
      <c r="I1260" s="5" t="str">
        <f>VLOOKUP(A1260,'Orders Dataset'!$A:$E,5,FALSE)</f>
        <v>Indore</v>
      </c>
    </row>
    <row r="1261" spans="1:9" x14ac:dyDescent="0.25">
      <c r="A1261" t="s">
        <v>12</v>
      </c>
      <c r="B1261">
        <v>571</v>
      </c>
      <c r="C1261">
        <v>108</v>
      </c>
      <c r="D1261">
        <v>12</v>
      </c>
      <c r="E1261" t="s">
        <v>899</v>
      </c>
      <c r="F1261" t="s">
        <v>907</v>
      </c>
      <c r="G1261" t="s">
        <v>911</v>
      </c>
      <c r="H1261" s="3" t="str">
        <f>VLOOKUP(A1261,'Orders Dataset'!$A:$D,4,FALSE)</f>
        <v>Uttar Pradesh</v>
      </c>
      <c r="I1261" s="5" t="str">
        <f>VLOOKUP(A1261,'Orders Dataset'!$A:$E,5,FALSE)</f>
        <v>Mathura</v>
      </c>
    </row>
    <row r="1262" spans="1:9" x14ac:dyDescent="0.25">
      <c r="A1262" t="s">
        <v>391</v>
      </c>
      <c r="B1262">
        <v>29</v>
      </c>
      <c r="C1262">
        <v>2</v>
      </c>
      <c r="D1262">
        <v>3</v>
      </c>
      <c r="E1262" t="s">
        <v>899</v>
      </c>
      <c r="F1262" t="s">
        <v>905</v>
      </c>
      <c r="G1262" t="s">
        <v>891</v>
      </c>
      <c r="H1262" s="3" t="str">
        <f>VLOOKUP(A1262,'Orders Dataset'!$A:$D,4,FALSE)</f>
        <v>Uttar Pradesh</v>
      </c>
      <c r="I1262" s="5" t="str">
        <f>VLOOKUP(A1262,'Orders Dataset'!$A:$E,5,FALSE)</f>
        <v>Prayagraj</v>
      </c>
    </row>
    <row r="1263" spans="1:9" x14ac:dyDescent="0.25">
      <c r="A1263" t="s">
        <v>378</v>
      </c>
      <c r="B1263">
        <v>29</v>
      </c>
      <c r="C1263">
        <v>3</v>
      </c>
      <c r="D1263">
        <v>2</v>
      </c>
      <c r="E1263" t="s">
        <v>899</v>
      </c>
      <c r="F1263" t="s">
        <v>907</v>
      </c>
      <c r="G1263" t="s">
        <v>891</v>
      </c>
      <c r="H1263" s="3" t="str">
        <f>VLOOKUP(A1263,'Orders Dataset'!$A:$D,4,FALSE)</f>
        <v>Bihar</v>
      </c>
      <c r="I1263" s="5" t="str">
        <f>VLOOKUP(A1263,'Orders Dataset'!$A:$E,5,FALSE)</f>
        <v>Patna</v>
      </c>
    </row>
    <row r="1264" spans="1:9" x14ac:dyDescent="0.25">
      <c r="A1264" t="s">
        <v>499</v>
      </c>
      <c r="B1264">
        <v>29</v>
      </c>
      <c r="C1264">
        <v>-3</v>
      </c>
      <c r="D1264">
        <v>3</v>
      </c>
      <c r="E1264" t="s">
        <v>899</v>
      </c>
      <c r="F1264" t="s">
        <v>901</v>
      </c>
      <c r="G1264" t="s">
        <v>891</v>
      </c>
      <c r="H1264" s="3" t="str">
        <f>VLOOKUP(A1264,'Orders Dataset'!$A:$D,4,FALSE)</f>
        <v>West Bengal</v>
      </c>
      <c r="I1264" s="5" t="str">
        <f>VLOOKUP(A1264,'Orders Dataset'!$A:$E,5,FALSE)</f>
        <v>Kolkata</v>
      </c>
    </row>
    <row r="1265" spans="1:9" x14ac:dyDescent="0.25">
      <c r="A1265" t="s">
        <v>823</v>
      </c>
      <c r="B1265">
        <v>35</v>
      </c>
      <c r="C1265">
        <v>14</v>
      </c>
      <c r="D1265">
        <v>2</v>
      </c>
      <c r="E1265" t="s">
        <v>899</v>
      </c>
      <c r="F1265" t="s">
        <v>907</v>
      </c>
      <c r="G1265" t="s">
        <v>897</v>
      </c>
      <c r="H1265" s="3" t="str">
        <f>VLOOKUP(A1265,'Orders Dataset'!$A:$D,4,FALSE)</f>
        <v>Nagaland</v>
      </c>
      <c r="I1265" s="5" t="str">
        <f>VLOOKUP(A1265,'Orders Dataset'!$A:$E,5,FALSE)</f>
        <v>Kohima</v>
      </c>
    </row>
    <row r="1266" spans="1:9" x14ac:dyDescent="0.25">
      <c r="A1266" t="s">
        <v>52</v>
      </c>
      <c r="B1266">
        <v>579</v>
      </c>
      <c r="C1266">
        <v>139</v>
      </c>
      <c r="D1266">
        <v>3</v>
      </c>
      <c r="E1266" t="s">
        <v>889</v>
      </c>
      <c r="F1266" t="s">
        <v>896</v>
      </c>
      <c r="G1266" t="s">
        <v>911</v>
      </c>
      <c r="H1266" s="3" t="str">
        <f>VLOOKUP(A1266,'Orders Dataset'!$A:$D,4,FALSE)</f>
        <v>Gujarat</v>
      </c>
      <c r="I1266" s="5" t="str">
        <f>VLOOKUP(A1266,'Orders Dataset'!$A:$E,5,FALSE)</f>
        <v>Ahmedabad</v>
      </c>
    </row>
    <row r="1267" spans="1:9" x14ac:dyDescent="0.25">
      <c r="A1267" t="s">
        <v>297</v>
      </c>
      <c r="B1267">
        <v>29</v>
      </c>
      <c r="C1267">
        <v>-24</v>
      </c>
      <c r="D1267">
        <v>4</v>
      </c>
      <c r="E1267" t="s">
        <v>899</v>
      </c>
      <c r="F1267" t="s">
        <v>908</v>
      </c>
      <c r="G1267" t="s">
        <v>891</v>
      </c>
      <c r="H1267" s="3" t="str">
        <f>VLOOKUP(A1267,'Orders Dataset'!$A:$D,4,FALSE)</f>
        <v>Maharashtra</v>
      </c>
      <c r="I1267" s="5" t="str">
        <f>VLOOKUP(A1267,'Orders Dataset'!$A:$E,5,FALSE)</f>
        <v>Mumbai</v>
      </c>
    </row>
    <row r="1268" spans="1:9" x14ac:dyDescent="0.25">
      <c r="A1268" t="s">
        <v>73</v>
      </c>
      <c r="B1268">
        <v>593</v>
      </c>
      <c r="C1268">
        <v>213</v>
      </c>
      <c r="D1268">
        <v>4</v>
      </c>
      <c r="E1268" t="s">
        <v>892</v>
      </c>
      <c r="F1268" t="s">
        <v>895</v>
      </c>
      <c r="G1268" t="s">
        <v>911</v>
      </c>
      <c r="H1268" s="3" t="str">
        <f>VLOOKUP(A1268,'Orders Dataset'!$A:$D,4,FALSE)</f>
        <v>Kerala</v>
      </c>
      <c r="I1268" s="5" t="str">
        <f>VLOOKUP(A1268,'Orders Dataset'!$A:$E,5,FALSE)</f>
        <v>Thiruvananthapuram</v>
      </c>
    </row>
    <row r="1269" spans="1:9" x14ac:dyDescent="0.25">
      <c r="A1269" t="s">
        <v>478</v>
      </c>
      <c r="B1269">
        <v>217</v>
      </c>
      <c r="C1269">
        <v>72</v>
      </c>
      <c r="D1269">
        <v>2</v>
      </c>
      <c r="E1269" t="s">
        <v>892</v>
      </c>
      <c r="F1269" t="s">
        <v>912</v>
      </c>
      <c r="G1269" t="s">
        <v>891</v>
      </c>
      <c r="H1269" s="3" t="str">
        <f>VLOOKUP(A1269,'Orders Dataset'!$A:$D,4,FALSE)</f>
        <v>Delhi</v>
      </c>
      <c r="I1269" s="5" t="str">
        <f>VLOOKUP(A1269,'Orders Dataset'!$A:$E,5,FALSE)</f>
        <v>Delhi</v>
      </c>
    </row>
    <row r="1270" spans="1:9" x14ac:dyDescent="0.25">
      <c r="A1270" t="s">
        <v>460</v>
      </c>
      <c r="B1270">
        <v>353</v>
      </c>
      <c r="C1270">
        <v>90</v>
      </c>
      <c r="D1270">
        <v>8</v>
      </c>
      <c r="E1270" t="s">
        <v>899</v>
      </c>
      <c r="F1270" t="s">
        <v>901</v>
      </c>
      <c r="G1270" t="s">
        <v>891</v>
      </c>
      <c r="H1270" s="3" t="str">
        <f>VLOOKUP(A1270,'Orders Dataset'!$A:$D,4,FALSE)</f>
        <v>Gujarat</v>
      </c>
      <c r="I1270" s="5" t="str">
        <f>VLOOKUP(A1270,'Orders Dataset'!$A:$E,5,FALSE)</f>
        <v>Ahmedabad</v>
      </c>
    </row>
    <row r="1271" spans="1:9" x14ac:dyDescent="0.25">
      <c r="A1271" t="s">
        <v>397</v>
      </c>
      <c r="B1271">
        <v>382</v>
      </c>
      <c r="C1271">
        <v>92</v>
      </c>
      <c r="D1271">
        <v>2</v>
      </c>
      <c r="E1271" t="s">
        <v>889</v>
      </c>
      <c r="F1271" t="s">
        <v>896</v>
      </c>
      <c r="G1271" t="s">
        <v>891</v>
      </c>
      <c r="H1271" s="3" t="str">
        <f>VLOOKUP(A1271,'Orders Dataset'!$A:$D,4,FALSE)</f>
        <v>Rajasthan</v>
      </c>
      <c r="I1271" s="5" t="str">
        <f>VLOOKUP(A1271,'Orders Dataset'!$A:$E,5,FALSE)</f>
        <v>Jaipur</v>
      </c>
    </row>
    <row r="1272" spans="1:9" x14ac:dyDescent="0.25">
      <c r="A1272" t="s">
        <v>313</v>
      </c>
      <c r="B1272">
        <v>597</v>
      </c>
      <c r="C1272">
        <v>93</v>
      </c>
      <c r="D1272">
        <v>4</v>
      </c>
      <c r="E1272" t="s">
        <v>892</v>
      </c>
      <c r="F1272" t="s">
        <v>893</v>
      </c>
      <c r="G1272" t="s">
        <v>911</v>
      </c>
      <c r="H1272" s="3" t="str">
        <f>VLOOKUP(A1272,'Orders Dataset'!$A:$D,4,FALSE)</f>
        <v>Delhi</v>
      </c>
      <c r="I1272" s="5" t="str">
        <f>VLOOKUP(A1272,'Orders Dataset'!$A:$E,5,FALSE)</f>
        <v>Delhi</v>
      </c>
    </row>
    <row r="1273" spans="1:9" x14ac:dyDescent="0.25">
      <c r="A1273" t="s">
        <v>548</v>
      </c>
      <c r="B1273">
        <v>212</v>
      </c>
      <c r="C1273">
        <v>97</v>
      </c>
      <c r="D1273">
        <v>7</v>
      </c>
      <c r="E1273" t="s">
        <v>899</v>
      </c>
      <c r="F1273" t="s">
        <v>903</v>
      </c>
      <c r="G1273" t="s">
        <v>891</v>
      </c>
      <c r="H1273" s="3" t="str">
        <f>VLOOKUP(A1273,'Orders Dataset'!$A:$D,4,FALSE)</f>
        <v>Punjab</v>
      </c>
      <c r="I1273" s="5" t="str">
        <f>VLOOKUP(A1273,'Orders Dataset'!$A:$E,5,FALSE)</f>
        <v>Chandigarh</v>
      </c>
    </row>
    <row r="1274" spans="1:9" x14ac:dyDescent="0.25">
      <c r="A1274" t="s">
        <v>309</v>
      </c>
      <c r="B1274">
        <v>689</v>
      </c>
      <c r="C1274">
        <v>90</v>
      </c>
      <c r="D1274">
        <v>5</v>
      </c>
      <c r="E1274" t="s">
        <v>899</v>
      </c>
      <c r="F1274" t="s">
        <v>901</v>
      </c>
      <c r="G1274" t="s">
        <v>891</v>
      </c>
      <c r="H1274" s="3" t="str">
        <f>VLOOKUP(A1274,'Orders Dataset'!$A:$D,4,FALSE)</f>
        <v>Maharashtra</v>
      </c>
      <c r="I1274" s="5" t="str">
        <f>VLOOKUP(A1274,'Orders Dataset'!$A:$E,5,FALSE)</f>
        <v>Mumbai</v>
      </c>
    </row>
    <row r="1275" spans="1:9" x14ac:dyDescent="0.25">
      <c r="A1275" t="s">
        <v>842</v>
      </c>
      <c r="B1275">
        <v>28</v>
      </c>
      <c r="C1275">
        <v>-10</v>
      </c>
      <c r="D1275">
        <v>3</v>
      </c>
      <c r="E1275" t="s">
        <v>899</v>
      </c>
      <c r="F1275" t="s">
        <v>905</v>
      </c>
      <c r="G1275" t="s">
        <v>891</v>
      </c>
      <c r="H1275" s="3" t="str">
        <f>VLOOKUP(A1275,'Orders Dataset'!$A:$D,4,FALSE)</f>
        <v>Goa</v>
      </c>
      <c r="I1275" s="5" t="str">
        <f>VLOOKUP(A1275,'Orders Dataset'!$A:$E,5,FALSE)</f>
        <v>Goa</v>
      </c>
    </row>
    <row r="1276" spans="1:9" x14ac:dyDescent="0.25">
      <c r="A1276" t="s">
        <v>416</v>
      </c>
      <c r="B1276">
        <v>34</v>
      </c>
      <c r="C1276">
        <v>12</v>
      </c>
      <c r="D1276">
        <v>3</v>
      </c>
      <c r="E1276" t="s">
        <v>899</v>
      </c>
      <c r="F1276" t="s">
        <v>903</v>
      </c>
      <c r="G1276" t="s">
        <v>897</v>
      </c>
      <c r="H1276" s="3" t="str">
        <f>VLOOKUP(A1276,'Orders Dataset'!$A:$D,4,FALSE)</f>
        <v>Maharashtra</v>
      </c>
      <c r="I1276" s="5" t="str">
        <f>VLOOKUP(A1276,'Orders Dataset'!$A:$E,5,FALSE)</f>
        <v>Mumbai</v>
      </c>
    </row>
    <row r="1277" spans="1:9" x14ac:dyDescent="0.25">
      <c r="A1277" t="s">
        <v>138</v>
      </c>
      <c r="B1277">
        <v>600</v>
      </c>
      <c r="C1277">
        <v>-102</v>
      </c>
      <c r="D1277">
        <v>5</v>
      </c>
      <c r="E1277" t="s">
        <v>889</v>
      </c>
      <c r="F1277" t="s">
        <v>890</v>
      </c>
      <c r="G1277" t="s">
        <v>911</v>
      </c>
      <c r="H1277" s="3" t="str">
        <f>VLOOKUP(A1277,'Orders Dataset'!$A:$D,4,FALSE)</f>
        <v>West Bengal</v>
      </c>
      <c r="I1277" s="5" t="str">
        <f>VLOOKUP(A1277,'Orders Dataset'!$A:$E,5,FALSE)</f>
        <v>Kolkata</v>
      </c>
    </row>
    <row r="1278" spans="1:9" x14ac:dyDescent="0.25">
      <c r="A1278" t="s">
        <v>328</v>
      </c>
      <c r="B1278">
        <v>637</v>
      </c>
      <c r="C1278">
        <v>113</v>
      </c>
      <c r="D1278">
        <v>5</v>
      </c>
      <c r="E1278" t="s">
        <v>899</v>
      </c>
      <c r="F1278" t="s">
        <v>901</v>
      </c>
      <c r="G1278" t="s">
        <v>902</v>
      </c>
      <c r="H1278" s="3" t="str">
        <f>VLOOKUP(A1278,'Orders Dataset'!$A:$D,4,FALSE)</f>
        <v>Maharashtra</v>
      </c>
      <c r="I1278" s="5" t="str">
        <f>VLOOKUP(A1278,'Orders Dataset'!$A:$E,5,FALSE)</f>
        <v>Mumbai</v>
      </c>
    </row>
    <row r="1279" spans="1:9" x14ac:dyDescent="0.25">
      <c r="A1279" t="s">
        <v>343</v>
      </c>
      <c r="B1279">
        <v>616</v>
      </c>
      <c r="C1279">
        <v>-69</v>
      </c>
      <c r="D1279">
        <v>7</v>
      </c>
      <c r="E1279" t="s">
        <v>892</v>
      </c>
      <c r="F1279" t="s">
        <v>912</v>
      </c>
      <c r="G1279" t="s">
        <v>911</v>
      </c>
      <c r="H1279" s="3" t="str">
        <f>VLOOKUP(A1279,'Orders Dataset'!$A:$D,4,FALSE)</f>
        <v>Maharashtra</v>
      </c>
      <c r="I1279" s="5" t="str">
        <f>VLOOKUP(A1279,'Orders Dataset'!$A:$E,5,FALSE)</f>
        <v>Pune</v>
      </c>
    </row>
    <row r="1280" spans="1:9" x14ac:dyDescent="0.25">
      <c r="A1280" t="s">
        <v>126</v>
      </c>
      <c r="B1280">
        <v>624</v>
      </c>
      <c r="C1280">
        <v>37</v>
      </c>
      <c r="D1280">
        <v>2</v>
      </c>
      <c r="E1280" t="s">
        <v>889</v>
      </c>
      <c r="F1280" t="s">
        <v>890</v>
      </c>
      <c r="G1280" t="s">
        <v>911</v>
      </c>
      <c r="H1280" s="3" t="str">
        <f>VLOOKUP(A1280,'Orders Dataset'!$A:$D,4,FALSE)</f>
        <v>Maharashtra</v>
      </c>
      <c r="I1280" s="5" t="str">
        <f>VLOOKUP(A1280,'Orders Dataset'!$A:$E,5,FALSE)</f>
        <v>Pune</v>
      </c>
    </row>
    <row r="1281" spans="1:9" x14ac:dyDescent="0.25">
      <c r="A1281" t="s">
        <v>98</v>
      </c>
      <c r="B1281">
        <v>28</v>
      </c>
      <c r="C1281">
        <v>4</v>
      </c>
      <c r="D1281">
        <v>1</v>
      </c>
      <c r="E1281" t="s">
        <v>899</v>
      </c>
      <c r="F1281" t="s">
        <v>910</v>
      </c>
      <c r="G1281" t="s">
        <v>891</v>
      </c>
      <c r="H1281" s="3" t="str">
        <f>VLOOKUP(A1281,'Orders Dataset'!$A:$D,4,FALSE)</f>
        <v>Rajasthan</v>
      </c>
      <c r="I1281" s="5" t="str">
        <f>VLOOKUP(A1281,'Orders Dataset'!$A:$E,5,FALSE)</f>
        <v>Udaipur</v>
      </c>
    </row>
    <row r="1282" spans="1:9" x14ac:dyDescent="0.25">
      <c r="A1282" t="s">
        <v>273</v>
      </c>
      <c r="B1282">
        <v>584</v>
      </c>
      <c r="C1282">
        <v>-444</v>
      </c>
      <c r="D1282">
        <v>7</v>
      </c>
      <c r="E1282" t="s">
        <v>889</v>
      </c>
      <c r="F1282" t="s">
        <v>896</v>
      </c>
      <c r="G1282" t="s">
        <v>902</v>
      </c>
      <c r="H1282" s="3" t="str">
        <f>VLOOKUP(A1282,'Orders Dataset'!$A:$D,4,FALSE)</f>
        <v>Gujarat</v>
      </c>
      <c r="I1282" s="5" t="str">
        <f>VLOOKUP(A1282,'Orders Dataset'!$A:$E,5,FALSE)</f>
        <v>Ahmedabad</v>
      </c>
    </row>
    <row r="1283" spans="1:9" x14ac:dyDescent="0.25">
      <c r="A1283" t="s">
        <v>250</v>
      </c>
      <c r="B1283">
        <v>28</v>
      </c>
      <c r="C1283">
        <v>6</v>
      </c>
      <c r="D1283">
        <v>4</v>
      </c>
      <c r="E1283" t="s">
        <v>899</v>
      </c>
      <c r="F1283" t="s">
        <v>905</v>
      </c>
      <c r="G1283" t="s">
        <v>891</v>
      </c>
      <c r="H1283" s="3" t="str">
        <f>VLOOKUP(A1283,'Orders Dataset'!$A:$D,4,FALSE)</f>
        <v>Uttar Pradesh</v>
      </c>
      <c r="I1283" s="5" t="str">
        <f>VLOOKUP(A1283,'Orders Dataset'!$A:$E,5,FALSE)</f>
        <v>Prayagraj</v>
      </c>
    </row>
    <row r="1284" spans="1:9" x14ac:dyDescent="0.25">
      <c r="A1284" t="s">
        <v>28</v>
      </c>
      <c r="B1284">
        <v>33</v>
      </c>
      <c r="C1284">
        <v>-1</v>
      </c>
      <c r="D1284">
        <v>1</v>
      </c>
      <c r="E1284" t="s">
        <v>899</v>
      </c>
      <c r="F1284" t="s">
        <v>901</v>
      </c>
      <c r="G1284" t="s">
        <v>897</v>
      </c>
      <c r="H1284" s="3" t="str">
        <f>VLOOKUP(A1284,'Orders Dataset'!$A:$D,4,FALSE)</f>
        <v>Maharashtra</v>
      </c>
      <c r="I1284" s="5" t="str">
        <f>VLOOKUP(A1284,'Orders Dataset'!$A:$E,5,FALSE)</f>
        <v>Pune</v>
      </c>
    </row>
    <row r="1285" spans="1:9" x14ac:dyDescent="0.25">
      <c r="A1285" t="s">
        <v>214</v>
      </c>
      <c r="B1285">
        <v>27</v>
      </c>
      <c r="C1285">
        <v>-20</v>
      </c>
      <c r="D1285">
        <v>2</v>
      </c>
      <c r="E1285" t="s">
        <v>899</v>
      </c>
      <c r="F1285" t="s">
        <v>903</v>
      </c>
      <c r="G1285" t="s">
        <v>891</v>
      </c>
      <c r="H1285" s="3" t="str">
        <f>VLOOKUP(A1285,'Orders Dataset'!$A:$D,4,FALSE)</f>
        <v>Uttar Pradesh</v>
      </c>
      <c r="I1285" s="5" t="str">
        <f>VLOOKUP(A1285,'Orders Dataset'!$A:$E,5,FALSE)</f>
        <v>Lucknow</v>
      </c>
    </row>
    <row r="1286" spans="1:9" x14ac:dyDescent="0.25">
      <c r="A1286" t="s">
        <v>36</v>
      </c>
      <c r="B1286">
        <v>27</v>
      </c>
      <c r="C1286">
        <v>5</v>
      </c>
      <c r="D1286">
        <v>2</v>
      </c>
      <c r="E1286" t="s">
        <v>899</v>
      </c>
      <c r="F1286" t="s">
        <v>905</v>
      </c>
      <c r="G1286" t="s">
        <v>891</v>
      </c>
      <c r="H1286" s="3" t="str">
        <f>VLOOKUP(A1286,'Orders Dataset'!$A:$D,4,FALSE)</f>
        <v>Maharashtra</v>
      </c>
      <c r="I1286" s="5" t="str">
        <f>VLOOKUP(A1286,'Orders Dataset'!$A:$E,5,FALSE)</f>
        <v>Mumbai</v>
      </c>
    </row>
    <row r="1287" spans="1:9" x14ac:dyDescent="0.25">
      <c r="A1287" t="s">
        <v>146</v>
      </c>
      <c r="B1287">
        <v>27</v>
      </c>
      <c r="C1287">
        <v>4</v>
      </c>
      <c r="D1287">
        <v>3</v>
      </c>
      <c r="E1287" t="s">
        <v>899</v>
      </c>
      <c r="F1287" t="s">
        <v>905</v>
      </c>
      <c r="G1287" t="s">
        <v>891</v>
      </c>
      <c r="H1287" s="3" t="str">
        <f>VLOOKUP(A1287,'Orders Dataset'!$A:$D,4,FALSE)</f>
        <v>Madhya Pradesh</v>
      </c>
      <c r="I1287" s="5" t="str">
        <f>VLOOKUP(A1287,'Orders Dataset'!$A:$E,5,FALSE)</f>
        <v>Indore</v>
      </c>
    </row>
    <row r="1288" spans="1:9" x14ac:dyDescent="0.25">
      <c r="A1288" t="s">
        <v>333</v>
      </c>
      <c r="B1288">
        <v>635</v>
      </c>
      <c r="C1288">
        <v>-349</v>
      </c>
      <c r="D1288">
        <v>5</v>
      </c>
      <c r="E1288" t="s">
        <v>899</v>
      </c>
      <c r="F1288" t="s">
        <v>901</v>
      </c>
      <c r="G1288" t="s">
        <v>911</v>
      </c>
      <c r="H1288" s="3" t="str">
        <f>VLOOKUP(A1288,'Orders Dataset'!$A:$D,4,FALSE)</f>
        <v>Jammu and Kashmir</v>
      </c>
      <c r="I1288" s="5" t="str">
        <f>VLOOKUP(A1288,'Orders Dataset'!$A:$E,5,FALSE)</f>
        <v>Kashmir</v>
      </c>
    </row>
    <row r="1289" spans="1:9" x14ac:dyDescent="0.25">
      <c r="A1289" t="s">
        <v>347</v>
      </c>
      <c r="B1289">
        <v>598</v>
      </c>
      <c r="C1289">
        <v>166</v>
      </c>
      <c r="D1289">
        <v>4</v>
      </c>
      <c r="E1289" t="s">
        <v>892</v>
      </c>
      <c r="F1289" t="s">
        <v>895</v>
      </c>
      <c r="G1289" t="s">
        <v>902</v>
      </c>
      <c r="H1289" s="3" t="str">
        <f>VLOOKUP(A1289,'Orders Dataset'!$A:$D,4,FALSE)</f>
        <v>Madhya Pradesh</v>
      </c>
      <c r="I1289" s="5" t="str">
        <f>VLOOKUP(A1289,'Orders Dataset'!$A:$E,5,FALSE)</f>
        <v>Indore</v>
      </c>
    </row>
    <row r="1290" spans="1:9" x14ac:dyDescent="0.25">
      <c r="A1290" t="s">
        <v>98</v>
      </c>
      <c r="B1290">
        <v>636</v>
      </c>
      <c r="C1290">
        <v>-204</v>
      </c>
      <c r="D1290">
        <v>2</v>
      </c>
      <c r="E1290" t="s">
        <v>889</v>
      </c>
      <c r="F1290" t="s">
        <v>896</v>
      </c>
      <c r="G1290" t="s">
        <v>911</v>
      </c>
      <c r="H1290" s="3" t="str">
        <f>VLOOKUP(A1290,'Orders Dataset'!$A:$D,4,FALSE)</f>
        <v>Rajasthan</v>
      </c>
      <c r="I1290" s="5" t="str">
        <f>VLOOKUP(A1290,'Orders Dataset'!$A:$E,5,FALSE)</f>
        <v>Udaipur</v>
      </c>
    </row>
    <row r="1291" spans="1:9" x14ac:dyDescent="0.25">
      <c r="A1291" t="s">
        <v>712</v>
      </c>
      <c r="B1291">
        <v>27</v>
      </c>
      <c r="C1291">
        <v>9</v>
      </c>
      <c r="D1291">
        <v>2</v>
      </c>
      <c r="E1291" t="s">
        <v>899</v>
      </c>
      <c r="F1291" t="s">
        <v>903</v>
      </c>
      <c r="G1291" t="s">
        <v>891</v>
      </c>
      <c r="H1291" s="3" t="str">
        <f>VLOOKUP(A1291,'Orders Dataset'!$A:$D,4,FALSE)</f>
        <v>Maharashtra</v>
      </c>
      <c r="I1291" s="5" t="str">
        <f>VLOOKUP(A1291,'Orders Dataset'!$A:$E,5,FALSE)</f>
        <v>Mumbai</v>
      </c>
    </row>
    <row r="1292" spans="1:9" x14ac:dyDescent="0.25">
      <c r="A1292" t="s">
        <v>381</v>
      </c>
      <c r="B1292">
        <v>27</v>
      </c>
      <c r="C1292">
        <v>-6</v>
      </c>
      <c r="D1292">
        <v>4</v>
      </c>
      <c r="E1292" t="s">
        <v>899</v>
      </c>
      <c r="F1292" t="s">
        <v>903</v>
      </c>
      <c r="G1292" t="s">
        <v>891</v>
      </c>
      <c r="H1292" s="3" t="str">
        <f>VLOOKUP(A1292,'Orders Dataset'!$A:$D,4,FALSE)</f>
        <v>Tamil Nadu</v>
      </c>
      <c r="I1292" s="5" t="str">
        <f>VLOOKUP(A1292,'Orders Dataset'!$A:$E,5,FALSE)</f>
        <v>Chennai</v>
      </c>
    </row>
    <row r="1293" spans="1:9" x14ac:dyDescent="0.25">
      <c r="A1293" t="s">
        <v>311</v>
      </c>
      <c r="B1293">
        <v>637</v>
      </c>
      <c r="C1293">
        <v>212</v>
      </c>
      <c r="D1293">
        <v>8</v>
      </c>
      <c r="E1293" t="s">
        <v>889</v>
      </c>
      <c r="F1293" t="s">
        <v>898</v>
      </c>
      <c r="G1293" t="s">
        <v>911</v>
      </c>
      <c r="H1293" s="3" t="str">
        <f>VLOOKUP(A1293,'Orders Dataset'!$A:$D,4,FALSE)</f>
        <v>Madhya Pradesh</v>
      </c>
      <c r="I1293" s="5" t="str">
        <f>VLOOKUP(A1293,'Orders Dataset'!$A:$E,5,FALSE)</f>
        <v>Indore</v>
      </c>
    </row>
    <row r="1294" spans="1:9" x14ac:dyDescent="0.25">
      <c r="A1294" t="s">
        <v>114</v>
      </c>
      <c r="B1294">
        <v>290</v>
      </c>
      <c r="C1294">
        <v>110</v>
      </c>
      <c r="D1294">
        <v>9</v>
      </c>
      <c r="E1294" t="s">
        <v>899</v>
      </c>
      <c r="F1294" t="s">
        <v>907</v>
      </c>
      <c r="G1294" t="s">
        <v>902</v>
      </c>
      <c r="H1294" s="3" t="str">
        <f>VLOOKUP(A1294,'Orders Dataset'!$A:$D,4,FALSE)</f>
        <v>Madhya Pradesh</v>
      </c>
      <c r="I1294" s="5" t="str">
        <f>VLOOKUP(A1294,'Orders Dataset'!$A:$E,5,FALSE)</f>
        <v>Indore</v>
      </c>
    </row>
    <row r="1295" spans="1:9" x14ac:dyDescent="0.25">
      <c r="A1295" t="s">
        <v>843</v>
      </c>
      <c r="B1295">
        <v>27</v>
      </c>
      <c r="C1295">
        <v>-25</v>
      </c>
      <c r="D1295">
        <v>2</v>
      </c>
      <c r="E1295" t="s">
        <v>899</v>
      </c>
      <c r="F1295" t="s">
        <v>907</v>
      </c>
      <c r="G1295" t="s">
        <v>891</v>
      </c>
      <c r="H1295" s="3" t="str">
        <f>VLOOKUP(A1295,'Orders Dataset'!$A:$D,4,FALSE)</f>
        <v>Haryana</v>
      </c>
      <c r="I1295" s="5" t="str">
        <f>VLOOKUP(A1295,'Orders Dataset'!$A:$E,5,FALSE)</f>
        <v>Chandigarh</v>
      </c>
    </row>
    <row r="1296" spans="1:9" x14ac:dyDescent="0.25">
      <c r="A1296" t="s">
        <v>341</v>
      </c>
      <c r="B1296">
        <v>632</v>
      </c>
      <c r="C1296">
        <v>-114</v>
      </c>
      <c r="D1296">
        <v>4</v>
      </c>
      <c r="E1296" t="s">
        <v>892</v>
      </c>
      <c r="F1296" t="s">
        <v>906</v>
      </c>
      <c r="G1296" t="s">
        <v>902</v>
      </c>
      <c r="H1296" s="3" t="str">
        <f>VLOOKUP(A1296,'Orders Dataset'!$A:$D,4,FALSE)</f>
        <v>Madhya Pradesh</v>
      </c>
      <c r="I1296" s="5" t="str">
        <f>VLOOKUP(A1296,'Orders Dataset'!$A:$E,5,FALSE)</f>
        <v>Indore</v>
      </c>
    </row>
    <row r="1297" spans="1:9" x14ac:dyDescent="0.25">
      <c r="A1297" t="s">
        <v>297</v>
      </c>
      <c r="B1297">
        <v>643</v>
      </c>
      <c r="C1297">
        <v>-45</v>
      </c>
      <c r="D1297">
        <v>2</v>
      </c>
      <c r="E1297" t="s">
        <v>889</v>
      </c>
      <c r="F1297" t="s">
        <v>896</v>
      </c>
      <c r="G1297" t="s">
        <v>911</v>
      </c>
      <c r="H1297" s="3" t="str">
        <f>VLOOKUP(A1297,'Orders Dataset'!$A:$D,4,FALSE)</f>
        <v>Maharashtra</v>
      </c>
      <c r="I1297" s="5" t="str">
        <f>VLOOKUP(A1297,'Orders Dataset'!$A:$E,5,FALSE)</f>
        <v>Mumbai</v>
      </c>
    </row>
    <row r="1298" spans="1:9" x14ac:dyDescent="0.25">
      <c r="A1298" t="s">
        <v>70</v>
      </c>
      <c r="B1298">
        <v>652</v>
      </c>
      <c r="C1298">
        <v>13</v>
      </c>
      <c r="D1298">
        <v>6</v>
      </c>
      <c r="E1298" t="s">
        <v>892</v>
      </c>
      <c r="F1298" t="s">
        <v>912</v>
      </c>
      <c r="G1298" t="s">
        <v>911</v>
      </c>
      <c r="H1298" s="3" t="str">
        <f>VLOOKUP(A1298,'Orders Dataset'!$A:$D,4,FALSE)</f>
        <v>Madhya Pradesh</v>
      </c>
      <c r="I1298" s="5" t="str">
        <f>VLOOKUP(A1298,'Orders Dataset'!$A:$E,5,FALSE)</f>
        <v>Bhopal</v>
      </c>
    </row>
    <row r="1299" spans="1:9" x14ac:dyDescent="0.25">
      <c r="A1299" t="s">
        <v>132</v>
      </c>
      <c r="B1299">
        <v>33</v>
      </c>
      <c r="C1299">
        <v>-27</v>
      </c>
      <c r="D1299">
        <v>1</v>
      </c>
      <c r="E1299" t="s">
        <v>892</v>
      </c>
      <c r="F1299" t="s">
        <v>893</v>
      </c>
      <c r="G1299" t="s">
        <v>897</v>
      </c>
      <c r="H1299" s="3" t="str">
        <f>VLOOKUP(A1299,'Orders Dataset'!$A:$D,4,FALSE)</f>
        <v>Madhya Pradesh</v>
      </c>
      <c r="I1299" s="5" t="str">
        <f>VLOOKUP(A1299,'Orders Dataset'!$A:$E,5,FALSE)</f>
        <v>Indore</v>
      </c>
    </row>
    <row r="1300" spans="1:9" x14ac:dyDescent="0.25">
      <c r="A1300" t="s">
        <v>828</v>
      </c>
      <c r="B1300">
        <v>26</v>
      </c>
      <c r="C1300">
        <v>2</v>
      </c>
      <c r="D1300">
        <v>2</v>
      </c>
      <c r="E1300" t="s">
        <v>899</v>
      </c>
      <c r="F1300" t="s">
        <v>903</v>
      </c>
      <c r="G1300" t="s">
        <v>891</v>
      </c>
      <c r="H1300" s="3" t="str">
        <f>VLOOKUP(A1300,'Orders Dataset'!$A:$D,4,FALSE)</f>
        <v>Madhya Pradesh</v>
      </c>
      <c r="I1300" s="5" t="str">
        <f>VLOOKUP(A1300,'Orders Dataset'!$A:$E,5,FALSE)</f>
        <v>Indore</v>
      </c>
    </row>
    <row r="1301" spans="1:9" x14ac:dyDescent="0.25">
      <c r="A1301" t="s">
        <v>335</v>
      </c>
      <c r="B1301">
        <v>633</v>
      </c>
      <c r="C1301">
        <v>-633</v>
      </c>
      <c r="D1301">
        <v>11</v>
      </c>
      <c r="E1301" t="s">
        <v>889</v>
      </c>
      <c r="F1301" t="s">
        <v>909</v>
      </c>
      <c r="G1301" t="s">
        <v>902</v>
      </c>
      <c r="H1301" s="3" t="str">
        <f>VLOOKUP(A1301,'Orders Dataset'!$A:$D,4,FALSE)</f>
        <v>Maharashtra</v>
      </c>
      <c r="I1301" s="5" t="str">
        <f>VLOOKUP(A1301,'Orders Dataset'!$A:$E,5,FALSE)</f>
        <v>Mumbai</v>
      </c>
    </row>
    <row r="1302" spans="1:9" x14ac:dyDescent="0.25">
      <c r="A1302" t="s">
        <v>46</v>
      </c>
      <c r="B1302">
        <v>26</v>
      </c>
      <c r="C1302">
        <v>9</v>
      </c>
      <c r="D1302">
        <v>2</v>
      </c>
      <c r="E1302" t="s">
        <v>899</v>
      </c>
      <c r="F1302" t="s">
        <v>908</v>
      </c>
      <c r="G1302" t="s">
        <v>891</v>
      </c>
      <c r="H1302" s="3" t="str">
        <f>VLOOKUP(A1302,'Orders Dataset'!$A:$D,4,FALSE)</f>
        <v>Uttar Pradesh</v>
      </c>
      <c r="I1302" s="5" t="str">
        <f>VLOOKUP(A1302,'Orders Dataset'!$A:$E,5,FALSE)</f>
        <v>Mathura</v>
      </c>
    </row>
    <row r="1303" spans="1:9" x14ac:dyDescent="0.25">
      <c r="A1303" t="s">
        <v>232</v>
      </c>
      <c r="B1303">
        <v>191</v>
      </c>
      <c r="C1303">
        <v>93</v>
      </c>
      <c r="D1303">
        <v>4</v>
      </c>
      <c r="E1303" t="s">
        <v>899</v>
      </c>
      <c r="F1303" t="s">
        <v>913</v>
      </c>
      <c r="G1303" t="s">
        <v>902</v>
      </c>
      <c r="H1303" s="3" t="str">
        <f>VLOOKUP(A1303,'Orders Dataset'!$A:$D,4,FALSE)</f>
        <v>Rajasthan</v>
      </c>
      <c r="I1303" s="5" t="str">
        <f>VLOOKUP(A1303,'Orders Dataset'!$A:$E,5,FALSE)</f>
        <v>Udaipur</v>
      </c>
    </row>
    <row r="1304" spans="1:9" x14ac:dyDescent="0.25">
      <c r="A1304" t="s">
        <v>239</v>
      </c>
      <c r="B1304">
        <v>887</v>
      </c>
      <c r="C1304">
        <v>80</v>
      </c>
      <c r="D1304">
        <v>3</v>
      </c>
      <c r="E1304" t="s">
        <v>889</v>
      </c>
      <c r="F1304" t="s">
        <v>896</v>
      </c>
      <c r="G1304" t="s">
        <v>902</v>
      </c>
      <c r="H1304" s="3" t="str">
        <f>VLOOKUP(A1304,'Orders Dataset'!$A:$D,4,FALSE)</f>
        <v>Karnataka</v>
      </c>
      <c r="I1304" s="5" t="str">
        <f>VLOOKUP(A1304,'Orders Dataset'!$A:$E,5,FALSE)</f>
        <v>Bangalore</v>
      </c>
    </row>
    <row r="1305" spans="1:9" x14ac:dyDescent="0.25">
      <c r="A1305" t="s">
        <v>330</v>
      </c>
      <c r="B1305">
        <v>637</v>
      </c>
      <c r="C1305">
        <v>261</v>
      </c>
      <c r="D1305">
        <v>2</v>
      </c>
      <c r="E1305" t="s">
        <v>889</v>
      </c>
      <c r="F1305" t="s">
        <v>896</v>
      </c>
      <c r="G1305" t="s">
        <v>891</v>
      </c>
      <c r="H1305" s="3" t="str">
        <f>VLOOKUP(A1305,'Orders Dataset'!$A:$D,4,FALSE)</f>
        <v>Maharashtra</v>
      </c>
      <c r="I1305" s="5" t="str">
        <f>VLOOKUP(A1305,'Orders Dataset'!$A:$E,5,FALSE)</f>
        <v>Mumbai</v>
      </c>
    </row>
    <row r="1306" spans="1:9" x14ac:dyDescent="0.25">
      <c r="A1306" t="s">
        <v>317</v>
      </c>
      <c r="B1306">
        <v>670</v>
      </c>
      <c r="C1306">
        <v>15</v>
      </c>
      <c r="D1306">
        <v>5</v>
      </c>
      <c r="E1306" t="s">
        <v>892</v>
      </c>
      <c r="F1306" t="s">
        <v>895</v>
      </c>
      <c r="G1306" t="s">
        <v>911</v>
      </c>
      <c r="H1306" s="3" t="str">
        <f>VLOOKUP(A1306,'Orders Dataset'!$A:$D,4,FALSE)</f>
        <v>Gujarat</v>
      </c>
      <c r="I1306" s="5" t="str">
        <f>VLOOKUP(A1306,'Orders Dataset'!$A:$E,5,FALSE)</f>
        <v>Ahmedabad</v>
      </c>
    </row>
    <row r="1307" spans="1:9" x14ac:dyDescent="0.25">
      <c r="A1307" t="s">
        <v>110</v>
      </c>
      <c r="B1307">
        <v>26</v>
      </c>
      <c r="C1307">
        <v>7</v>
      </c>
      <c r="D1307">
        <v>4</v>
      </c>
      <c r="E1307" t="s">
        <v>899</v>
      </c>
      <c r="F1307" t="s">
        <v>903</v>
      </c>
      <c r="G1307" t="s">
        <v>891</v>
      </c>
      <c r="H1307" s="3" t="str">
        <f>VLOOKUP(A1307,'Orders Dataset'!$A:$D,4,FALSE)</f>
        <v>Gujarat</v>
      </c>
      <c r="I1307" s="5" t="str">
        <f>VLOOKUP(A1307,'Orders Dataset'!$A:$E,5,FALSE)</f>
        <v>Ahmedabad</v>
      </c>
    </row>
    <row r="1308" spans="1:9" x14ac:dyDescent="0.25">
      <c r="A1308" t="s">
        <v>138</v>
      </c>
      <c r="B1308">
        <v>676</v>
      </c>
      <c r="C1308">
        <v>195</v>
      </c>
      <c r="D1308">
        <v>5</v>
      </c>
      <c r="E1308" t="s">
        <v>892</v>
      </c>
      <c r="F1308" t="s">
        <v>895</v>
      </c>
      <c r="G1308" t="s">
        <v>911</v>
      </c>
      <c r="H1308" s="3" t="str">
        <f>VLOOKUP(A1308,'Orders Dataset'!$A:$D,4,FALSE)</f>
        <v>West Bengal</v>
      </c>
      <c r="I1308" s="5" t="str">
        <f>VLOOKUP(A1308,'Orders Dataset'!$A:$E,5,FALSE)</f>
        <v>Kolkata</v>
      </c>
    </row>
    <row r="1309" spans="1:9" x14ac:dyDescent="0.25">
      <c r="A1309" t="s">
        <v>848</v>
      </c>
      <c r="B1309">
        <v>26</v>
      </c>
      <c r="C1309">
        <v>12</v>
      </c>
      <c r="D1309">
        <v>3</v>
      </c>
      <c r="E1309" t="s">
        <v>899</v>
      </c>
      <c r="F1309" t="s">
        <v>903</v>
      </c>
      <c r="G1309" t="s">
        <v>891</v>
      </c>
      <c r="H1309" s="3" t="str">
        <f>VLOOKUP(A1309,'Orders Dataset'!$A:$D,4,FALSE)</f>
        <v>Karnataka</v>
      </c>
      <c r="I1309" s="5" t="str">
        <f>VLOOKUP(A1309,'Orders Dataset'!$A:$E,5,FALSE)</f>
        <v>Bangalore</v>
      </c>
    </row>
    <row r="1310" spans="1:9" x14ac:dyDescent="0.25">
      <c r="A1310" t="s">
        <v>755</v>
      </c>
      <c r="B1310">
        <v>26</v>
      </c>
      <c r="C1310">
        <v>-24</v>
      </c>
      <c r="D1310">
        <v>1</v>
      </c>
      <c r="E1310" t="s">
        <v>899</v>
      </c>
      <c r="F1310" t="s">
        <v>907</v>
      </c>
      <c r="G1310" t="s">
        <v>891</v>
      </c>
      <c r="H1310" s="3" t="str">
        <f>VLOOKUP(A1310,'Orders Dataset'!$A:$D,4,FALSE)</f>
        <v>Maharashtra</v>
      </c>
      <c r="I1310" s="5" t="str">
        <f>VLOOKUP(A1310,'Orders Dataset'!$A:$E,5,FALSE)</f>
        <v>Mumbai</v>
      </c>
    </row>
    <row r="1311" spans="1:9" x14ac:dyDescent="0.25">
      <c r="A1311" t="s">
        <v>269</v>
      </c>
      <c r="B1311">
        <v>25</v>
      </c>
      <c r="C1311">
        <v>7</v>
      </c>
      <c r="D1311">
        <v>2</v>
      </c>
      <c r="E1311" t="s">
        <v>899</v>
      </c>
      <c r="F1311" t="s">
        <v>907</v>
      </c>
      <c r="G1311" t="s">
        <v>891</v>
      </c>
      <c r="H1311" s="3" t="str">
        <f>VLOOKUP(A1311,'Orders Dataset'!$A:$D,4,FALSE)</f>
        <v>Karnataka</v>
      </c>
      <c r="I1311" s="5" t="str">
        <f>VLOOKUP(A1311,'Orders Dataset'!$A:$E,5,FALSE)</f>
        <v>Bangalore</v>
      </c>
    </row>
    <row r="1312" spans="1:9" x14ac:dyDescent="0.25">
      <c r="A1312" t="s">
        <v>136</v>
      </c>
      <c r="B1312">
        <v>24</v>
      </c>
      <c r="C1312">
        <v>-30</v>
      </c>
      <c r="D1312">
        <v>1</v>
      </c>
      <c r="E1312" t="s">
        <v>892</v>
      </c>
      <c r="F1312" t="s">
        <v>893</v>
      </c>
      <c r="G1312" t="s">
        <v>891</v>
      </c>
      <c r="H1312" s="3" t="str">
        <f>VLOOKUP(A1312,'Orders Dataset'!$A:$D,4,FALSE)</f>
        <v>Madhya Pradesh</v>
      </c>
      <c r="I1312" s="5" t="str">
        <f>VLOOKUP(A1312,'Orders Dataset'!$A:$E,5,FALSE)</f>
        <v>Bhopal</v>
      </c>
    </row>
    <row r="1313" spans="1:9" x14ac:dyDescent="0.25">
      <c r="A1313" t="s">
        <v>356</v>
      </c>
      <c r="B1313">
        <v>32</v>
      </c>
      <c r="C1313">
        <v>-12</v>
      </c>
      <c r="D1313">
        <v>1</v>
      </c>
      <c r="E1313" t="s">
        <v>892</v>
      </c>
      <c r="F1313" t="s">
        <v>893</v>
      </c>
      <c r="G1313" t="s">
        <v>897</v>
      </c>
      <c r="H1313" s="3" t="str">
        <f>VLOOKUP(A1313,'Orders Dataset'!$A:$D,4,FALSE)</f>
        <v>Delhi</v>
      </c>
      <c r="I1313" s="5" t="str">
        <f>VLOOKUP(A1313,'Orders Dataset'!$A:$E,5,FALSE)</f>
        <v>Delhi</v>
      </c>
    </row>
    <row r="1314" spans="1:9" x14ac:dyDescent="0.25">
      <c r="A1314" t="s">
        <v>226</v>
      </c>
      <c r="B1314">
        <v>31</v>
      </c>
      <c r="C1314">
        <v>-2</v>
      </c>
      <c r="D1314">
        <v>2</v>
      </c>
      <c r="E1314" t="s">
        <v>899</v>
      </c>
      <c r="F1314" t="s">
        <v>901</v>
      </c>
      <c r="G1314" t="s">
        <v>897</v>
      </c>
      <c r="H1314" s="3" t="str">
        <f>VLOOKUP(A1314,'Orders Dataset'!$A:$D,4,FALSE)</f>
        <v>Maharashtra</v>
      </c>
      <c r="I1314" s="5" t="str">
        <f>VLOOKUP(A1314,'Orders Dataset'!$A:$E,5,FALSE)</f>
        <v>Mumbai</v>
      </c>
    </row>
    <row r="1315" spans="1:9" x14ac:dyDescent="0.25">
      <c r="A1315" t="s">
        <v>126</v>
      </c>
      <c r="B1315">
        <v>651</v>
      </c>
      <c r="C1315">
        <v>169</v>
      </c>
      <c r="D1315">
        <v>5</v>
      </c>
      <c r="E1315" t="s">
        <v>889</v>
      </c>
      <c r="F1315" t="s">
        <v>896</v>
      </c>
      <c r="G1315" t="s">
        <v>891</v>
      </c>
      <c r="H1315" s="3" t="str">
        <f>VLOOKUP(A1315,'Orders Dataset'!$A:$D,4,FALSE)</f>
        <v>Maharashtra</v>
      </c>
      <c r="I1315" s="5" t="str">
        <f>VLOOKUP(A1315,'Orders Dataset'!$A:$E,5,FALSE)</f>
        <v>Pune</v>
      </c>
    </row>
    <row r="1316" spans="1:9" x14ac:dyDescent="0.25">
      <c r="A1316" t="s">
        <v>484</v>
      </c>
      <c r="B1316">
        <v>326</v>
      </c>
      <c r="C1316">
        <v>107</v>
      </c>
      <c r="D1316">
        <v>3</v>
      </c>
      <c r="E1316" t="s">
        <v>892</v>
      </c>
      <c r="F1316" t="s">
        <v>912</v>
      </c>
      <c r="G1316" t="s">
        <v>902</v>
      </c>
      <c r="H1316" s="3" t="str">
        <f>VLOOKUP(A1316,'Orders Dataset'!$A:$D,4,FALSE)</f>
        <v>Tamil Nadu</v>
      </c>
      <c r="I1316" s="5" t="str">
        <f>VLOOKUP(A1316,'Orders Dataset'!$A:$E,5,FALSE)</f>
        <v>Chennai</v>
      </c>
    </row>
    <row r="1317" spans="1:9" x14ac:dyDescent="0.25">
      <c r="A1317" t="s">
        <v>828</v>
      </c>
      <c r="B1317">
        <v>30</v>
      </c>
      <c r="C1317">
        <v>-6</v>
      </c>
      <c r="D1317">
        <v>2</v>
      </c>
      <c r="E1317" t="s">
        <v>899</v>
      </c>
      <c r="F1317" t="s">
        <v>903</v>
      </c>
      <c r="G1317" t="s">
        <v>902</v>
      </c>
      <c r="H1317" s="3" t="str">
        <f>VLOOKUP(A1317,'Orders Dataset'!$A:$D,4,FALSE)</f>
        <v>Madhya Pradesh</v>
      </c>
      <c r="I1317" s="5" t="str">
        <f>VLOOKUP(A1317,'Orders Dataset'!$A:$E,5,FALSE)</f>
        <v>Indore</v>
      </c>
    </row>
    <row r="1318" spans="1:9" x14ac:dyDescent="0.25">
      <c r="A1318" t="s">
        <v>286</v>
      </c>
      <c r="B1318">
        <v>30</v>
      </c>
      <c r="C1318">
        <v>5</v>
      </c>
      <c r="D1318">
        <v>2</v>
      </c>
      <c r="E1318" t="s">
        <v>899</v>
      </c>
      <c r="F1318" t="s">
        <v>904</v>
      </c>
      <c r="G1318" t="s">
        <v>902</v>
      </c>
      <c r="H1318" s="3" t="str">
        <f>VLOOKUP(A1318,'Orders Dataset'!$A:$D,4,FALSE)</f>
        <v>West Bengal</v>
      </c>
      <c r="I1318" s="5" t="str">
        <f>VLOOKUP(A1318,'Orders Dataset'!$A:$E,5,FALSE)</f>
        <v>Kolkata</v>
      </c>
    </row>
    <row r="1319" spans="1:9" x14ac:dyDescent="0.25">
      <c r="A1319" t="s">
        <v>318</v>
      </c>
      <c r="B1319">
        <v>662</v>
      </c>
      <c r="C1319">
        <v>240</v>
      </c>
      <c r="D1319">
        <v>2</v>
      </c>
      <c r="E1319" t="s">
        <v>892</v>
      </c>
      <c r="F1319" t="s">
        <v>895</v>
      </c>
      <c r="G1319" t="s">
        <v>891</v>
      </c>
      <c r="H1319" s="3" t="str">
        <f>VLOOKUP(A1319,'Orders Dataset'!$A:$D,4,FALSE)</f>
        <v>Rajasthan</v>
      </c>
      <c r="I1319" s="5" t="str">
        <f>VLOOKUP(A1319,'Orders Dataset'!$A:$E,5,FALSE)</f>
        <v>Udaipur</v>
      </c>
    </row>
    <row r="1320" spans="1:9" x14ac:dyDescent="0.25">
      <c r="A1320" t="s">
        <v>488</v>
      </c>
      <c r="B1320">
        <v>30</v>
      </c>
      <c r="C1320">
        <v>-23</v>
      </c>
      <c r="D1320">
        <v>2</v>
      </c>
      <c r="E1320" t="s">
        <v>899</v>
      </c>
      <c r="F1320" t="s">
        <v>901</v>
      </c>
      <c r="G1320" t="s">
        <v>902</v>
      </c>
      <c r="H1320" s="3" t="str">
        <f>VLOOKUP(A1320,'Orders Dataset'!$A:$D,4,FALSE)</f>
        <v>Bihar</v>
      </c>
      <c r="I1320" s="5" t="str">
        <f>VLOOKUP(A1320,'Orders Dataset'!$A:$E,5,FALSE)</f>
        <v>Patna</v>
      </c>
    </row>
    <row r="1321" spans="1:9" x14ac:dyDescent="0.25">
      <c r="A1321" t="s">
        <v>114</v>
      </c>
      <c r="B1321">
        <v>29</v>
      </c>
      <c r="C1321">
        <v>9</v>
      </c>
      <c r="D1321">
        <v>3</v>
      </c>
      <c r="E1321" t="s">
        <v>899</v>
      </c>
      <c r="F1321" t="s">
        <v>901</v>
      </c>
      <c r="G1321" t="s">
        <v>902</v>
      </c>
      <c r="H1321" s="3" t="str">
        <f>VLOOKUP(A1321,'Orders Dataset'!$A:$D,4,FALSE)</f>
        <v>Madhya Pradesh</v>
      </c>
      <c r="I1321" s="5" t="str">
        <f>VLOOKUP(A1321,'Orders Dataset'!$A:$E,5,FALSE)</f>
        <v>Indore</v>
      </c>
    </row>
    <row r="1322" spans="1:9" x14ac:dyDescent="0.25">
      <c r="A1322" t="s">
        <v>339</v>
      </c>
      <c r="B1322">
        <v>28</v>
      </c>
      <c r="C1322">
        <v>1</v>
      </c>
      <c r="D1322">
        <v>1</v>
      </c>
      <c r="E1322" t="s">
        <v>889</v>
      </c>
      <c r="F1322" t="s">
        <v>909</v>
      </c>
      <c r="G1322" t="s">
        <v>902</v>
      </c>
      <c r="H1322" s="3" t="str">
        <f>VLOOKUP(A1322,'Orders Dataset'!$A:$D,4,FALSE)</f>
        <v>Maharashtra</v>
      </c>
      <c r="I1322" s="5" t="str">
        <f>VLOOKUP(A1322,'Orders Dataset'!$A:$E,5,FALSE)</f>
        <v>Mumbai</v>
      </c>
    </row>
    <row r="1323" spans="1:9" x14ac:dyDescent="0.25">
      <c r="A1323" t="s">
        <v>142</v>
      </c>
      <c r="B1323">
        <v>28</v>
      </c>
      <c r="C1323">
        <v>-3</v>
      </c>
      <c r="D1323">
        <v>2</v>
      </c>
      <c r="E1323" t="s">
        <v>899</v>
      </c>
      <c r="F1323" t="s">
        <v>901</v>
      </c>
      <c r="G1323" t="s">
        <v>902</v>
      </c>
      <c r="H1323" s="3" t="str">
        <f>VLOOKUP(A1323,'Orders Dataset'!$A:$D,4,FALSE)</f>
        <v>Nagaland</v>
      </c>
      <c r="I1323" s="5" t="str">
        <f>VLOOKUP(A1323,'Orders Dataset'!$A:$E,5,FALSE)</f>
        <v>Kohima</v>
      </c>
    </row>
    <row r="1324" spans="1:9" x14ac:dyDescent="0.25">
      <c r="A1324" t="s">
        <v>849</v>
      </c>
      <c r="B1324">
        <v>24</v>
      </c>
      <c r="C1324">
        <v>2</v>
      </c>
      <c r="D1324">
        <v>4</v>
      </c>
      <c r="E1324" t="s">
        <v>899</v>
      </c>
      <c r="F1324" t="s">
        <v>903</v>
      </c>
      <c r="G1324" t="s">
        <v>891</v>
      </c>
      <c r="H1324" s="3" t="str">
        <f>VLOOKUP(A1324,'Orders Dataset'!$A:$D,4,FALSE)</f>
        <v>Maharashtra</v>
      </c>
      <c r="I1324" s="5" t="str">
        <f>VLOOKUP(A1324,'Orders Dataset'!$A:$E,5,FALSE)</f>
        <v>Mumbai</v>
      </c>
    </row>
    <row r="1325" spans="1:9" x14ac:dyDescent="0.25">
      <c r="A1325" t="s">
        <v>226</v>
      </c>
      <c r="B1325">
        <v>28</v>
      </c>
      <c r="C1325">
        <v>-26</v>
      </c>
      <c r="D1325">
        <v>2</v>
      </c>
      <c r="E1325" t="s">
        <v>899</v>
      </c>
      <c r="F1325" t="s">
        <v>907</v>
      </c>
      <c r="G1325" t="s">
        <v>902</v>
      </c>
      <c r="H1325" s="3" t="str">
        <f>VLOOKUP(A1325,'Orders Dataset'!$A:$D,4,FALSE)</f>
        <v>Maharashtra</v>
      </c>
      <c r="I1325" s="5" t="str">
        <f>VLOOKUP(A1325,'Orders Dataset'!$A:$E,5,FALSE)</f>
        <v>Mumbai</v>
      </c>
    </row>
    <row r="1326" spans="1:9" x14ac:dyDescent="0.25">
      <c r="A1326" t="s">
        <v>451</v>
      </c>
      <c r="B1326">
        <v>27</v>
      </c>
      <c r="C1326">
        <v>5</v>
      </c>
      <c r="D1326">
        <v>1</v>
      </c>
      <c r="E1326" t="s">
        <v>899</v>
      </c>
      <c r="F1326" t="s">
        <v>907</v>
      </c>
      <c r="G1326" t="s">
        <v>902</v>
      </c>
      <c r="H1326" s="3" t="str">
        <f>VLOOKUP(A1326,'Orders Dataset'!$A:$D,4,FALSE)</f>
        <v>Nagaland</v>
      </c>
      <c r="I1326" s="5" t="str">
        <f>VLOOKUP(A1326,'Orders Dataset'!$A:$E,5,FALSE)</f>
        <v>Kohima</v>
      </c>
    </row>
    <row r="1327" spans="1:9" x14ac:dyDescent="0.25">
      <c r="A1327" t="s">
        <v>846</v>
      </c>
      <c r="B1327">
        <v>27</v>
      </c>
      <c r="C1327">
        <v>-15</v>
      </c>
      <c r="D1327">
        <v>1</v>
      </c>
      <c r="E1327" t="s">
        <v>899</v>
      </c>
      <c r="F1327" t="s">
        <v>907</v>
      </c>
      <c r="G1327" t="s">
        <v>902</v>
      </c>
      <c r="H1327" s="3" t="str">
        <f>VLOOKUP(A1327,'Orders Dataset'!$A:$D,4,FALSE)</f>
        <v>Andhra Pradesh</v>
      </c>
      <c r="I1327" s="5" t="str">
        <f>VLOOKUP(A1327,'Orders Dataset'!$A:$E,5,FALSE)</f>
        <v>Hyderabad</v>
      </c>
    </row>
    <row r="1328" spans="1:9" x14ac:dyDescent="0.25">
      <c r="A1328" t="s">
        <v>625</v>
      </c>
      <c r="B1328">
        <v>24</v>
      </c>
      <c r="C1328">
        <v>11</v>
      </c>
      <c r="D1328">
        <v>3</v>
      </c>
      <c r="E1328" t="s">
        <v>899</v>
      </c>
      <c r="F1328" t="s">
        <v>903</v>
      </c>
      <c r="G1328" t="s">
        <v>891</v>
      </c>
      <c r="H1328" s="3" t="str">
        <f>VLOOKUP(A1328,'Orders Dataset'!$A:$D,4,FALSE)</f>
        <v>Maharashtra</v>
      </c>
      <c r="I1328" s="5" t="str">
        <f>VLOOKUP(A1328,'Orders Dataset'!$A:$E,5,FALSE)</f>
        <v>Mumbai</v>
      </c>
    </row>
    <row r="1329" spans="1:9" x14ac:dyDescent="0.25">
      <c r="A1329" t="s">
        <v>810</v>
      </c>
      <c r="B1329">
        <v>23</v>
      </c>
      <c r="C1329">
        <v>-6</v>
      </c>
      <c r="D1329">
        <v>4</v>
      </c>
      <c r="E1329" t="s">
        <v>899</v>
      </c>
      <c r="F1329" t="s">
        <v>903</v>
      </c>
      <c r="G1329" t="s">
        <v>891</v>
      </c>
      <c r="H1329" s="3" t="str">
        <f>VLOOKUP(A1329,'Orders Dataset'!$A:$D,4,FALSE)</f>
        <v>Maharashtra</v>
      </c>
      <c r="I1329" s="5" t="str">
        <f>VLOOKUP(A1329,'Orders Dataset'!$A:$E,5,FALSE)</f>
        <v>Mumbai</v>
      </c>
    </row>
    <row r="1330" spans="1:9" x14ac:dyDescent="0.25">
      <c r="A1330" t="s">
        <v>154</v>
      </c>
      <c r="B1330">
        <v>322</v>
      </c>
      <c r="C1330">
        <v>193</v>
      </c>
      <c r="D1330">
        <v>5</v>
      </c>
      <c r="E1330" t="s">
        <v>889</v>
      </c>
      <c r="F1330" t="s">
        <v>896</v>
      </c>
      <c r="G1330" t="s">
        <v>891</v>
      </c>
      <c r="H1330" s="3" t="str">
        <f>VLOOKUP(A1330,'Orders Dataset'!$A:$D,4,FALSE)</f>
        <v>Jammu and Kashmir</v>
      </c>
      <c r="I1330" s="5" t="str">
        <f>VLOOKUP(A1330,'Orders Dataset'!$A:$E,5,FALSE)</f>
        <v>Kashmir</v>
      </c>
    </row>
    <row r="1331" spans="1:9" x14ac:dyDescent="0.25">
      <c r="A1331" t="s">
        <v>310</v>
      </c>
      <c r="B1331">
        <v>688</v>
      </c>
      <c r="C1331">
        <v>-103</v>
      </c>
      <c r="D1331">
        <v>6</v>
      </c>
      <c r="E1331" t="s">
        <v>889</v>
      </c>
      <c r="F1331" t="s">
        <v>909</v>
      </c>
      <c r="G1331" t="s">
        <v>911</v>
      </c>
      <c r="H1331" s="3" t="str">
        <f>VLOOKUP(A1331,'Orders Dataset'!$A:$D,4,FALSE)</f>
        <v>Uttar Pradesh</v>
      </c>
      <c r="I1331" s="5" t="str">
        <f>VLOOKUP(A1331,'Orders Dataset'!$A:$E,5,FALSE)</f>
        <v>Mathura</v>
      </c>
    </row>
    <row r="1332" spans="1:9" x14ac:dyDescent="0.25">
      <c r="A1332" t="s">
        <v>335</v>
      </c>
      <c r="B1332">
        <v>23</v>
      </c>
      <c r="C1332">
        <v>-3</v>
      </c>
      <c r="D1332">
        <v>1</v>
      </c>
      <c r="E1332" t="s">
        <v>899</v>
      </c>
      <c r="F1332" t="s">
        <v>913</v>
      </c>
      <c r="G1332" t="s">
        <v>891</v>
      </c>
      <c r="H1332" s="3" t="str">
        <f>VLOOKUP(A1332,'Orders Dataset'!$A:$D,4,FALSE)</f>
        <v>Maharashtra</v>
      </c>
      <c r="I1332" s="5" t="str">
        <f>VLOOKUP(A1332,'Orders Dataset'!$A:$E,5,FALSE)</f>
        <v>Mumbai</v>
      </c>
    </row>
    <row r="1333" spans="1:9" x14ac:dyDescent="0.25">
      <c r="A1333" t="s">
        <v>419</v>
      </c>
      <c r="B1333">
        <v>26</v>
      </c>
      <c r="C1333">
        <v>3</v>
      </c>
      <c r="D1333">
        <v>3</v>
      </c>
      <c r="E1333" t="s">
        <v>899</v>
      </c>
      <c r="F1333" t="s">
        <v>905</v>
      </c>
      <c r="G1333" t="s">
        <v>902</v>
      </c>
      <c r="H1333" s="3" t="str">
        <f>VLOOKUP(A1333,'Orders Dataset'!$A:$D,4,FALSE)</f>
        <v>Gujarat</v>
      </c>
      <c r="I1333" s="5" t="str">
        <f>VLOOKUP(A1333,'Orders Dataset'!$A:$E,5,FALSE)</f>
        <v>Ahmedabad</v>
      </c>
    </row>
    <row r="1334" spans="1:9" x14ac:dyDescent="0.25">
      <c r="A1334" t="s">
        <v>375</v>
      </c>
      <c r="B1334">
        <v>68</v>
      </c>
      <c r="C1334">
        <v>-56</v>
      </c>
      <c r="D1334">
        <v>2</v>
      </c>
      <c r="E1334" t="s">
        <v>889</v>
      </c>
      <c r="F1334" t="s">
        <v>898</v>
      </c>
      <c r="G1334" t="s">
        <v>891</v>
      </c>
      <c r="H1334" s="3" t="str">
        <f>VLOOKUP(A1334,'Orders Dataset'!$A:$D,4,FALSE)</f>
        <v>Maharashtra</v>
      </c>
      <c r="I1334" s="5" t="str">
        <f>VLOOKUP(A1334,'Orders Dataset'!$A:$E,5,FALSE)</f>
        <v>Mumbai</v>
      </c>
    </row>
    <row r="1335" spans="1:9" x14ac:dyDescent="0.25">
      <c r="A1335" t="s">
        <v>409</v>
      </c>
      <c r="B1335">
        <v>462</v>
      </c>
      <c r="C1335">
        <v>169</v>
      </c>
      <c r="D1335">
        <v>4</v>
      </c>
      <c r="E1335" t="s">
        <v>899</v>
      </c>
      <c r="F1335" t="s">
        <v>901</v>
      </c>
      <c r="G1335" t="s">
        <v>891</v>
      </c>
      <c r="H1335" s="3" t="str">
        <f>VLOOKUP(A1335,'Orders Dataset'!$A:$D,4,FALSE)</f>
        <v>Madhya Pradesh</v>
      </c>
      <c r="I1335" s="5" t="str">
        <f>VLOOKUP(A1335,'Orders Dataset'!$A:$E,5,FALSE)</f>
        <v>Indore</v>
      </c>
    </row>
    <row r="1336" spans="1:9" x14ac:dyDescent="0.25">
      <c r="A1336" t="s">
        <v>219</v>
      </c>
      <c r="B1336">
        <v>941</v>
      </c>
      <c r="C1336">
        <v>203</v>
      </c>
      <c r="D1336">
        <v>3</v>
      </c>
      <c r="E1336" t="s">
        <v>892</v>
      </c>
      <c r="F1336" t="s">
        <v>906</v>
      </c>
      <c r="G1336" t="s">
        <v>902</v>
      </c>
      <c r="H1336" s="3" t="str">
        <f>VLOOKUP(A1336,'Orders Dataset'!$A:$D,4,FALSE)</f>
        <v>Maharashtra</v>
      </c>
      <c r="I1336" s="5" t="str">
        <f>VLOOKUP(A1336,'Orders Dataset'!$A:$E,5,FALSE)</f>
        <v>Mumbai</v>
      </c>
    </row>
    <row r="1337" spans="1:9" x14ac:dyDescent="0.25">
      <c r="A1337" t="s">
        <v>509</v>
      </c>
      <c r="B1337">
        <v>23</v>
      </c>
      <c r="C1337">
        <v>4</v>
      </c>
      <c r="D1337">
        <v>2</v>
      </c>
      <c r="E1337" t="s">
        <v>899</v>
      </c>
      <c r="F1337" t="s">
        <v>905</v>
      </c>
      <c r="G1337" t="s">
        <v>891</v>
      </c>
      <c r="H1337" s="3" t="str">
        <f>VLOOKUP(A1337,'Orders Dataset'!$A:$D,4,FALSE)</f>
        <v>Maharashtra</v>
      </c>
      <c r="I1337" s="5" t="str">
        <f>VLOOKUP(A1337,'Orders Dataset'!$A:$E,5,FALSE)</f>
        <v>Mumbai</v>
      </c>
    </row>
    <row r="1338" spans="1:9" x14ac:dyDescent="0.25">
      <c r="A1338" t="s">
        <v>38</v>
      </c>
      <c r="B1338">
        <v>720</v>
      </c>
      <c r="C1338">
        <v>43</v>
      </c>
      <c r="D1338">
        <v>2</v>
      </c>
      <c r="E1338" t="s">
        <v>889</v>
      </c>
      <c r="F1338" t="s">
        <v>896</v>
      </c>
      <c r="G1338" t="s">
        <v>902</v>
      </c>
      <c r="H1338" s="3" t="str">
        <f>VLOOKUP(A1338,'Orders Dataset'!$A:$D,4,FALSE)</f>
        <v>Gujarat</v>
      </c>
      <c r="I1338" s="5" t="str">
        <f>VLOOKUP(A1338,'Orders Dataset'!$A:$E,5,FALSE)</f>
        <v>Surat</v>
      </c>
    </row>
    <row r="1339" spans="1:9" x14ac:dyDescent="0.25">
      <c r="A1339" t="s">
        <v>116</v>
      </c>
      <c r="B1339">
        <v>724</v>
      </c>
      <c r="C1339">
        <v>-447</v>
      </c>
      <c r="D1339">
        <v>4</v>
      </c>
      <c r="E1339" t="s">
        <v>889</v>
      </c>
      <c r="F1339" t="s">
        <v>890</v>
      </c>
      <c r="G1339" t="s">
        <v>902</v>
      </c>
      <c r="H1339" s="3" t="str">
        <f>VLOOKUP(A1339,'Orders Dataset'!$A:$D,4,FALSE)</f>
        <v>Maharashtra</v>
      </c>
      <c r="I1339" s="5" t="str">
        <f>VLOOKUP(A1339,'Orders Dataset'!$A:$E,5,FALSE)</f>
        <v>Mumbai</v>
      </c>
    </row>
    <row r="1340" spans="1:9" x14ac:dyDescent="0.25">
      <c r="A1340" t="s">
        <v>298</v>
      </c>
      <c r="B1340">
        <v>724</v>
      </c>
      <c r="C1340">
        <v>253</v>
      </c>
      <c r="D1340">
        <v>2</v>
      </c>
      <c r="E1340" t="s">
        <v>892</v>
      </c>
      <c r="F1340" t="s">
        <v>895</v>
      </c>
      <c r="G1340" t="s">
        <v>902</v>
      </c>
      <c r="H1340" s="3" t="str">
        <f>VLOOKUP(A1340,'Orders Dataset'!$A:$D,4,FALSE)</f>
        <v>Madhya Pradesh</v>
      </c>
      <c r="I1340" s="5" t="str">
        <f>VLOOKUP(A1340,'Orders Dataset'!$A:$E,5,FALSE)</f>
        <v>Indore</v>
      </c>
    </row>
    <row r="1341" spans="1:9" x14ac:dyDescent="0.25">
      <c r="A1341" t="s">
        <v>189</v>
      </c>
      <c r="B1341">
        <v>26</v>
      </c>
      <c r="C1341">
        <v>10</v>
      </c>
      <c r="D1341">
        <v>4</v>
      </c>
      <c r="E1341" t="s">
        <v>899</v>
      </c>
      <c r="F1341" t="s">
        <v>903</v>
      </c>
      <c r="G1341" t="s">
        <v>902</v>
      </c>
      <c r="H1341" s="3" t="str">
        <f>VLOOKUP(A1341,'Orders Dataset'!$A:$D,4,FALSE)</f>
        <v>Punjab</v>
      </c>
      <c r="I1341" s="5" t="str">
        <f>VLOOKUP(A1341,'Orders Dataset'!$A:$E,5,FALSE)</f>
        <v>Chandigarh</v>
      </c>
    </row>
    <row r="1342" spans="1:9" x14ac:dyDescent="0.25">
      <c r="A1342" t="s">
        <v>691</v>
      </c>
      <c r="B1342">
        <v>22</v>
      </c>
      <c r="C1342">
        <v>-2</v>
      </c>
      <c r="D1342">
        <v>3</v>
      </c>
      <c r="E1342" t="s">
        <v>899</v>
      </c>
      <c r="F1342" t="s">
        <v>903</v>
      </c>
      <c r="G1342" t="s">
        <v>891</v>
      </c>
      <c r="H1342" s="3" t="str">
        <f>VLOOKUP(A1342,'Orders Dataset'!$A:$D,4,FALSE)</f>
        <v>Goa</v>
      </c>
      <c r="I1342" s="5" t="str">
        <f>VLOOKUP(A1342,'Orders Dataset'!$A:$E,5,FALSE)</f>
        <v>Goa</v>
      </c>
    </row>
    <row r="1343" spans="1:9" x14ac:dyDescent="0.25">
      <c r="A1343" t="s">
        <v>302</v>
      </c>
      <c r="B1343">
        <v>711</v>
      </c>
      <c r="C1343">
        <v>-8</v>
      </c>
      <c r="D1343">
        <v>4</v>
      </c>
      <c r="E1343" t="s">
        <v>899</v>
      </c>
      <c r="F1343" t="s">
        <v>901</v>
      </c>
      <c r="G1343" t="s">
        <v>911</v>
      </c>
      <c r="H1343" s="3" t="str">
        <f>VLOOKUP(A1343,'Orders Dataset'!$A:$D,4,FALSE)</f>
        <v>Sikkim</v>
      </c>
      <c r="I1343" s="5" t="str">
        <f>VLOOKUP(A1343,'Orders Dataset'!$A:$E,5,FALSE)</f>
        <v>Gangtok</v>
      </c>
    </row>
    <row r="1344" spans="1:9" x14ac:dyDescent="0.25">
      <c r="A1344" t="s">
        <v>214</v>
      </c>
      <c r="B1344">
        <v>107</v>
      </c>
      <c r="C1344">
        <v>31</v>
      </c>
      <c r="D1344">
        <v>5</v>
      </c>
      <c r="E1344" t="s">
        <v>899</v>
      </c>
      <c r="F1344" t="s">
        <v>910</v>
      </c>
      <c r="G1344" t="s">
        <v>891</v>
      </c>
      <c r="H1344" s="3" t="str">
        <f>VLOOKUP(A1344,'Orders Dataset'!$A:$D,4,FALSE)</f>
        <v>Uttar Pradesh</v>
      </c>
      <c r="I1344" s="5" t="str">
        <f>VLOOKUP(A1344,'Orders Dataset'!$A:$E,5,FALSE)</f>
        <v>Lucknow</v>
      </c>
    </row>
    <row r="1345" spans="1:9" x14ac:dyDescent="0.25">
      <c r="A1345" t="s">
        <v>275</v>
      </c>
      <c r="B1345">
        <v>765</v>
      </c>
      <c r="C1345">
        <v>-153</v>
      </c>
      <c r="D1345">
        <v>2</v>
      </c>
      <c r="E1345" t="s">
        <v>889</v>
      </c>
      <c r="F1345" t="s">
        <v>898</v>
      </c>
      <c r="G1345" t="s">
        <v>911</v>
      </c>
      <c r="H1345" s="3" t="str">
        <f>VLOOKUP(A1345,'Orders Dataset'!$A:$D,4,FALSE)</f>
        <v>Maharashtra</v>
      </c>
      <c r="I1345" s="5" t="str">
        <f>VLOOKUP(A1345,'Orders Dataset'!$A:$E,5,FALSE)</f>
        <v>Pune</v>
      </c>
    </row>
    <row r="1346" spans="1:9" x14ac:dyDescent="0.25">
      <c r="A1346" t="s">
        <v>712</v>
      </c>
      <c r="B1346">
        <v>22</v>
      </c>
      <c r="C1346">
        <v>8</v>
      </c>
      <c r="D1346">
        <v>2</v>
      </c>
      <c r="E1346" t="s">
        <v>899</v>
      </c>
      <c r="F1346" t="s">
        <v>908</v>
      </c>
      <c r="G1346" t="s">
        <v>891</v>
      </c>
      <c r="H1346" s="3" t="str">
        <f>VLOOKUP(A1346,'Orders Dataset'!$A:$D,4,FALSE)</f>
        <v>Maharashtra</v>
      </c>
      <c r="I1346" s="5" t="str">
        <f>VLOOKUP(A1346,'Orders Dataset'!$A:$E,5,FALSE)</f>
        <v>Mumbai</v>
      </c>
    </row>
    <row r="1347" spans="1:9" x14ac:dyDescent="0.25">
      <c r="A1347" t="s">
        <v>641</v>
      </c>
      <c r="B1347">
        <v>26</v>
      </c>
      <c r="C1347">
        <v>-5</v>
      </c>
      <c r="D1347">
        <v>2</v>
      </c>
      <c r="E1347" t="s">
        <v>899</v>
      </c>
      <c r="F1347" t="s">
        <v>907</v>
      </c>
      <c r="G1347" t="s">
        <v>902</v>
      </c>
      <c r="H1347" s="3" t="str">
        <f>VLOOKUP(A1347,'Orders Dataset'!$A:$D,4,FALSE)</f>
        <v>Nagaland</v>
      </c>
      <c r="I1347" s="5" t="str">
        <f>VLOOKUP(A1347,'Orders Dataset'!$A:$E,5,FALSE)</f>
        <v>Kohima</v>
      </c>
    </row>
    <row r="1348" spans="1:9" x14ac:dyDescent="0.25">
      <c r="A1348" t="s">
        <v>36</v>
      </c>
      <c r="B1348">
        <v>22</v>
      </c>
      <c r="C1348">
        <v>8</v>
      </c>
      <c r="D1348">
        <v>3</v>
      </c>
      <c r="E1348" t="s">
        <v>899</v>
      </c>
      <c r="F1348" t="s">
        <v>903</v>
      </c>
      <c r="G1348" t="s">
        <v>891</v>
      </c>
      <c r="H1348" s="3" t="str">
        <f>VLOOKUP(A1348,'Orders Dataset'!$A:$D,4,FALSE)</f>
        <v>Maharashtra</v>
      </c>
      <c r="I1348" s="5" t="str">
        <f>VLOOKUP(A1348,'Orders Dataset'!$A:$E,5,FALSE)</f>
        <v>Mumbai</v>
      </c>
    </row>
    <row r="1349" spans="1:9" x14ac:dyDescent="0.25">
      <c r="A1349" t="s">
        <v>284</v>
      </c>
      <c r="B1349">
        <v>743</v>
      </c>
      <c r="C1349">
        <v>89</v>
      </c>
      <c r="D1349">
        <v>5</v>
      </c>
      <c r="E1349" t="s">
        <v>889</v>
      </c>
      <c r="F1349" t="s">
        <v>896</v>
      </c>
      <c r="G1349" t="s">
        <v>902</v>
      </c>
      <c r="H1349" s="3" t="str">
        <f>VLOOKUP(A1349,'Orders Dataset'!$A:$D,4,FALSE)</f>
        <v>Maharashtra</v>
      </c>
      <c r="I1349" s="5" t="str">
        <f>VLOOKUP(A1349,'Orders Dataset'!$A:$E,5,FALSE)</f>
        <v>Mumbai</v>
      </c>
    </row>
    <row r="1350" spans="1:9" x14ac:dyDescent="0.25">
      <c r="A1350" t="s">
        <v>539</v>
      </c>
      <c r="B1350">
        <v>22</v>
      </c>
      <c r="C1350">
        <v>-15</v>
      </c>
      <c r="D1350">
        <v>4</v>
      </c>
      <c r="E1350" t="s">
        <v>899</v>
      </c>
      <c r="F1350" t="s">
        <v>904</v>
      </c>
      <c r="G1350" t="s">
        <v>891</v>
      </c>
      <c r="H1350" s="3" t="str">
        <f>VLOOKUP(A1350,'Orders Dataset'!$A:$D,4,FALSE)</f>
        <v>Madhya Pradesh</v>
      </c>
      <c r="I1350" s="5" t="str">
        <f>VLOOKUP(A1350,'Orders Dataset'!$A:$E,5,FALSE)</f>
        <v>Indore</v>
      </c>
    </row>
    <row r="1351" spans="1:9" x14ac:dyDescent="0.25">
      <c r="A1351" t="s">
        <v>199</v>
      </c>
      <c r="B1351">
        <v>781</v>
      </c>
      <c r="C1351">
        <v>594</v>
      </c>
      <c r="D1351">
        <v>6</v>
      </c>
      <c r="E1351" t="s">
        <v>889</v>
      </c>
      <c r="F1351" t="s">
        <v>896</v>
      </c>
      <c r="G1351" t="s">
        <v>911</v>
      </c>
      <c r="H1351" s="3" t="str">
        <f>VLOOKUP(A1351,'Orders Dataset'!$A:$D,4,FALSE)</f>
        <v>Bihar</v>
      </c>
      <c r="I1351" s="5" t="str">
        <f>VLOOKUP(A1351,'Orders Dataset'!$A:$E,5,FALSE)</f>
        <v>Patna</v>
      </c>
    </row>
    <row r="1352" spans="1:9" x14ac:dyDescent="0.25">
      <c r="A1352" t="s">
        <v>555</v>
      </c>
      <c r="B1352">
        <v>25</v>
      </c>
      <c r="C1352">
        <v>-2</v>
      </c>
      <c r="D1352">
        <v>5</v>
      </c>
      <c r="E1352" t="s">
        <v>899</v>
      </c>
      <c r="F1352" t="s">
        <v>903</v>
      </c>
      <c r="G1352" t="s">
        <v>902</v>
      </c>
      <c r="H1352" s="3" t="str">
        <f>VLOOKUP(A1352,'Orders Dataset'!$A:$D,4,FALSE)</f>
        <v>Goa</v>
      </c>
      <c r="I1352" s="5" t="str">
        <f>VLOOKUP(A1352,'Orders Dataset'!$A:$E,5,FALSE)</f>
        <v>Goa</v>
      </c>
    </row>
    <row r="1353" spans="1:9" x14ac:dyDescent="0.25">
      <c r="A1353" t="s">
        <v>682</v>
      </c>
      <c r="B1353">
        <v>25</v>
      </c>
      <c r="C1353">
        <v>2</v>
      </c>
      <c r="D1353">
        <v>2</v>
      </c>
      <c r="E1353" t="s">
        <v>899</v>
      </c>
      <c r="F1353" t="s">
        <v>903</v>
      </c>
      <c r="G1353" t="s">
        <v>902</v>
      </c>
      <c r="H1353" s="3" t="str">
        <f>VLOOKUP(A1353,'Orders Dataset'!$A:$D,4,FALSE)</f>
        <v>Madhya Pradesh</v>
      </c>
      <c r="I1353" s="5" t="str">
        <f>VLOOKUP(A1353,'Orders Dataset'!$A:$E,5,FALSE)</f>
        <v>Indore</v>
      </c>
    </row>
    <row r="1354" spans="1:9" x14ac:dyDescent="0.25">
      <c r="A1354" t="s">
        <v>275</v>
      </c>
      <c r="B1354">
        <v>119</v>
      </c>
      <c r="C1354">
        <v>43</v>
      </c>
      <c r="D1354">
        <v>5</v>
      </c>
      <c r="E1354" t="s">
        <v>899</v>
      </c>
      <c r="F1354" t="s">
        <v>910</v>
      </c>
      <c r="G1354" t="s">
        <v>891</v>
      </c>
      <c r="H1354" s="3" t="str">
        <f>VLOOKUP(A1354,'Orders Dataset'!$A:$D,4,FALSE)</f>
        <v>Maharashtra</v>
      </c>
      <c r="I1354" s="5" t="str">
        <f>VLOOKUP(A1354,'Orders Dataset'!$A:$E,5,FALSE)</f>
        <v>Pune</v>
      </c>
    </row>
    <row r="1355" spans="1:9" x14ac:dyDescent="0.25">
      <c r="A1355" t="s">
        <v>265</v>
      </c>
      <c r="B1355">
        <v>785</v>
      </c>
      <c r="C1355">
        <v>52</v>
      </c>
      <c r="D1355">
        <v>2</v>
      </c>
      <c r="E1355" t="s">
        <v>889</v>
      </c>
      <c r="F1355" t="s">
        <v>898</v>
      </c>
      <c r="G1355" t="s">
        <v>911</v>
      </c>
      <c r="H1355" s="3" t="str">
        <f>VLOOKUP(A1355,'Orders Dataset'!$A:$D,4,FALSE)</f>
        <v>Bihar</v>
      </c>
      <c r="I1355" s="5" t="str">
        <f>VLOOKUP(A1355,'Orders Dataset'!$A:$E,5,FALSE)</f>
        <v>Patna</v>
      </c>
    </row>
    <row r="1356" spans="1:9" x14ac:dyDescent="0.25">
      <c r="A1356" t="s">
        <v>519</v>
      </c>
      <c r="B1356">
        <v>183</v>
      </c>
      <c r="C1356">
        <v>-66</v>
      </c>
      <c r="D1356">
        <v>5</v>
      </c>
      <c r="E1356" t="s">
        <v>889</v>
      </c>
      <c r="F1356" t="s">
        <v>898</v>
      </c>
      <c r="G1356" t="s">
        <v>902</v>
      </c>
      <c r="H1356" s="3" t="str">
        <f>VLOOKUP(A1356,'Orders Dataset'!$A:$D,4,FALSE)</f>
        <v>Madhya Pradesh</v>
      </c>
      <c r="I1356" s="5" t="str">
        <f>VLOOKUP(A1356,'Orders Dataset'!$A:$E,5,FALSE)</f>
        <v>Indore</v>
      </c>
    </row>
    <row r="1357" spans="1:9" x14ac:dyDescent="0.25">
      <c r="A1357" t="s">
        <v>557</v>
      </c>
      <c r="B1357">
        <v>22</v>
      </c>
      <c r="C1357">
        <v>4</v>
      </c>
      <c r="D1357">
        <v>1</v>
      </c>
      <c r="E1357" t="s">
        <v>899</v>
      </c>
      <c r="F1357" t="s">
        <v>907</v>
      </c>
      <c r="G1357" t="s">
        <v>891</v>
      </c>
      <c r="H1357" s="3" t="str">
        <f>VLOOKUP(A1357,'Orders Dataset'!$A:$D,4,FALSE)</f>
        <v>Tamil Nadu</v>
      </c>
      <c r="I1357" s="5" t="str">
        <f>VLOOKUP(A1357,'Orders Dataset'!$A:$E,5,FALSE)</f>
        <v>Chennai</v>
      </c>
    </row>
    <row r="1358" spans="1:9" x14ac:dyDescent="0.25">
      <c r="A1358" t="s">
        <v>216</v>
      </c>
      <c r="B1358">
        <v>642</v>
      </c>
      <c r="C1358">
        <v>180</v>
      </c>
      <c r="D1358">
        <v>5</v>
      </c>
      <c r="E1358" t="s">
        <v>899</v>
      </c>
      <c r="F1358" t="s">
        <v>901</v>
      </c>
      <c r="G1358" t="s">
        <v>891</v>
      </c>
      <c r="H1358" s="3" t="str">
        <f>VLOOKUP(A1358,'Orders Dataset'!$A:$D,4,FALSE)</f>
        <v>Madhya Pradesh</v>
      </c>
      <c r="I1358" s="5" t="str">
        <f>VLOOKUP(A1358,'Orders Dataset'!$A:$E,5,FALSE)</f>
        <v>Indore</v>
      </c>
    </row>
    <row r="1359" spans="1:9" x14ac:dyDescent="0.25">
      <c r="A1359" t="s">
        <v>273</v>
      </c>
      <c r="B1359">
        <v>767</v>
      </c>
      <c r="C1359">
        <v>-353</v>
      </c>
      <c r="D1359">
        <v>5</v>
      </c>
      <c r="E1359" t="s">
        <v>899</v>
      </c>
      <c r="F1359" t="s">
        <v>900</v>
      </c>
      <c r="G1359" t="s">
        <v>891</v>
      </c>
      <c r="H1359" s="3" t="str">
        <f>VLOOKUP(A1359,'Orders Dataset'!$A:$D,4,FALSE)</f>
        <v>Gujarat</v>
      </c>
      <c r="I1359" s="5" t="str">
        <f>VLOOKUP(A1359,'Orders Dataset'!$A:$E,5,FALSE)</f>
        <v>Ahmedabad</v>
      </c>
    </row>
    <row r="1360" spans="1:9" x14ac:dyDescent="0.25">
      <c r="A1360" t="s">
        <v>271</v>
      </c>
      <c r="B1360">
        <v>770</v>
      </c>
      <c r="C1360">
        <v>323</v>
      </c>
      <c r="D1360">
        <v>3</v>
      </c>
      <c r="E1360" t="s">
        <v>889</v>
      </c>
      <c r="F1360" t="s">
        <v>909</v>
      </c>
      <c r="G1360" t="s">
        <v>891</v>
      </c>
      <c r="H1360" s="3" t="str">
        <f>VLOOKUP(A1360,'Orders Dataset'!$A:$D,4,FALSE)</f>
        <v>Delhi</v>
      </c>
      <c r="I1360" s="5" t="str">
        <f>VLOOKUP(A1360,'Orders Dataset'!$A:$E,5,FALSE)</f>
        <v>Delhi</v>
      </c>
    </row>
    <row r="1361" spans="1:9" x14ac:dyDescent="0.25">
      <c r="A1361" t="s">
        <v>828</v>
      </c>
      <c r="B1361">
        <v>21</v>
      </c>
      <c r="C1361">
        <v>-17</v>
      </c>
      <c r="D1361">
        <v>3</v>
      </c>
      <c r="E1361" t="s">
        <v>899</v>
      </c>
      <c r="F1361" t="s">
        <v>913</v>
      </c>
      <c r="G1361" t="s">
        <v>891</v>
      </c>
      <c r="H1361" s="3" t="str">
        <f>VLOOKUP(A1361,'Orders Dataset'!$A:$D,4,FALSE)</f>
        <v>Madhya Pradesh</v>
      </c>
      <c r="I1361" s="5" t="str">
        <f>VLOOKUP(A1361,'Orders Dataset'!$A:$E,5,FALSE)</f>
        <v>Indore</v>
      </c>
    </row>
    <row r="1362" spans="1:9" x14ac:dyDescent="0.25">
      <c r="A1362" t="s">
        <v>673</v>
      </c>
      <c r="B1362">
        <v>21</v>
      </c>
      <c r="C1362">
        <v>-6</v>
      </c>
      <c r="D1362">
        <v>3</v>
      </c>
      <c r="E1362" t="s">
        <v>899</v>
      </c>
      <c r="F1362" t="s">
        <v>908</v>
      </c>
      <c r="G1362" t="s">
        <v>891</v>
      </c>
      <c r="H1362" s="3" t="str">
        <f>VLOOKUP(A1362,'Orders Dataset'!$A:$D,4,FALSE)</f>
        <v>Maharashtra</v>
      </c>
      <c r="I1362" s="5" t="str">
        <f>VLOOKUP(A1362,'Orders Dataset'!$A:$E,5,FALSE)</f>
        <v>Pune</v>
      </c>
    </row>
    <row r="1363" spans="1:9" x14ac:dyDescent="0.25">
      <c r="A1363" t="s">
        <v>28</v>
      </c>
      <c r="B1363">
        <v>492</v>
      </c>
      <c r="C1363">
        <v>187</v>
      </c>
      <c r="D1363">
        <v>2</v>
      </c>
      <c r="E1363" t="s">
        <v>889</v>
      </c>
      <c r="F1363" t="s">
        <v>909</v>
      </c>
      <c r="G1363" t="s">
        <v>902</v>
      </c>
      <c r="H1363" s="3" t="str">
        <f>VLOOKUP(A1363,'Orders Dataset'!$A:$D,4,FALSE)</f>
        <v>Maharashtra</v>
      </c>
      <c r="I1363" s="5" t="str">
        <f>VLOOKUP(A1363,'Orders Dataset'!$A:$E,5,FALSE)</f>
        <v>Pune</v>
      </c>
    </row>
    <row r="1364" spans="1:9" x14ac:dyDescent="0.25">
      <c r="A1364" t="s">
        <v>241</v>
      </c>
      <c r="B1364">
        <v>816</v>
      </c>
      <c r="C1364">
        <v>-96</v>
      </c>
      <c r="D1364">
        <v>3</v>
      </c>
      <c r="E1364" t="s">
        <v>889</v>
      </c>
      <c r="F1364" t="s">
        <v>896</v>
      </c>
      <c r="G1364" t="s">
        <v>911</v>
      </c>
      <c r="H1364" s="3" t="str">
        <f>VLOOKUP(A1364,'Orders Dataset'!$A:$D,4,FALSE)</f>
        <v>Maharashtra</v>
      </c>
      <c r="I1364" s="5" t="str">
        <f>VLOOKUP(A1364,'Orders Dataset'!$A:$E,5,FALSE)</f>
        <v>Pune</v>
      </c>
    </row>
    <row r="1365" spans="1:9" x14ac:dyDescent="0.25">
      <c r="A1365" t="s">
        <v>528</v>
      </c>
      <c r="B1365">
        <v>25</v>
      </c>
      <c r="C1365">
        <v>2</v>
      </c>
      <c r="D1365">
        <v>3</v>
      </c>
      <c r="E1365" t="s">
        <v>899</v>
      </c>
      <c r="F1365" t="s">
        <v>904</v>
      </c>
      <c r="G1365" t="s">
        <v>897</v>
      </c>
      <c r="H1365" s="3" t="str">
        <f>VLOOKUP(A1365,'Orders Dataset'!$A:$D,4,FALSE)</f>
        <v>Goa</v>
      </c>
      <c r="I1365" s="5" t="str">
        <f>VLOOKUP(A1365,'Orders Dataset'!$A:$E,5,FALSE)</f>
        <v>Goa</v>
      </c>
    </row>
    <row r="1366" spans="1:9" x14ac:dyDescent="0.25">
      <c r="A1366" t="s">
        <v>77</v>
      </c>
      <c r="B1366">
        <v>802</v>
      </c>
      <c r="C1366">
        <v>120</v>
      </c>
      <c r="D1366">
        <v>7</v>
      </c>
      <c r="E1366" t="s">
        <v>889</v>
      </c>
      <c r="F1366" t="s">
        <v>909</v>
      </c>
      <c r="G1366" t="s">
        <v>891</v>
      </c>
      <c r="H1366" s="3" t="str">
        <f>VLOOKUP(A1366,'Orders Dataset'!$A:$D,4,FALSE)</f>
        <v>Maharashtra</v>
      </c>
      <c r="I1366" s="5" t="str">
        <f>VLOOKUP(A1366,'Orders Dataset'!$A:$E,5,FALSE)</f>
        <v>Mumbai</v>
      </c>
    </row>
    <row r="1367" spans="1:9" x14ac:dyDescent="0.25">
      <c r="A1367" t="s">
        <v>261</v>
      </c>
      <c r="B1367">
        <v>811</v>
      </c>
      <c r="C1367">
        <v>154</v>
      </c>
      <c r="D1367">
        <v>7</v>
      </c>
      <c r="E1367" t="s">
        <v>889</v>
      </c>
      <c r="F1367" t="s">
        <v>909</v>
      </c>
      <c r="G1367" t="s">
        <v>902</v>
      </c>
      <c r="H1367" s="3" t="str">
        <f>VLOOKUP(A1367,'Orders Dataset'!$A:$D,4,FALSE)</f>
        <v>Punjab</v>
      </c>
      <c r="I1367" s="5" t="str">
        <f>VLOOKUP(A1367,'Orders Dataset'!$A:$E,5,FALSE)</f>
        <v>Amritsar</v>
      </c>
    </row>
    <row r="1368" spans="1:9" x14ac:dyDescent="0.25">
      <c r="A1368" t="s">
        <v>42</v>
      </c>
      <c r="B1368">
        <v>835</v>
      </c>
      <c r="C1368">
        <v>267</v>
      </c>
      <c r="D1368">
        <v>5</v>
      </c>
      <c r="E1368" t="s">
        <v>889</v>
      </c>
      <c r="F1368" t="s">
        <v>898</v>
      </c>
      <c r="G1368" t="s">
        <v>911</v>
      </c>
      <c r="H1368" s="3" t="str">
        <f>VLOOKUP(A1368,'Orders Dataset'!$A:$D,4,FALSE)</f>
        <v>Maharashtra</v>
      </c>
      <c r="I1368" s="5" t="str">
        <f>VLOOKUP(A1368,'Orders Dataset'!$A:$E,5,FALSE)</f>
        <v>Mumbai</v>
      </c>
    </row>
    <row r="1369" spans="1:9" x14ac:dyDescent="0.25">
      <c r="A1369" t="s">
        <v>718</v>
      </c>
      <c r="B1369">
        <v>21</v>
      </c>
      <c r="C1369">
        <v>-5</v>
      </c>
      <c r="D1369">
        <v>1</v>
      </c>
      <c r="E1369" t="s">
        <v>889</v>
      </c>
      <c r="F1369" t="s">
        <v>909</v>
      </c>
      <c r="G1369" t="s">
        <v>891</v>
      </c>
      <c r="H1369" s="3" t="str">
        <f>VLOOKUP(A1369,'Orders Dataset'!$A:$D,4,FALSE)</f>
        <v>Uttar Pradesh</v>
      </c>
      <c r="I1369" s="5" t="str">
        <f>VLOOKUP(A1369,'Orders Dataset'!$A:$E,5,FALSE)</f>
        <v>Lucknow</v>
      </c>
    </row>
    <row r="1370" spans="1:9" x14ac:dyDescent="0.25">
      <c r="A1370" t="s">
        <v>418</v>
      </c>
      <c r="B1370">
        <v>450</v>
      </c>
      <c r="C1370">
        <v>-190</v>
      </c>
      <c r="D1370">
        <v>4</v>
      </c>
      <c r="E1370" t="s">
        <v>892</v>
      </c>
      <c r="F1370" t="s">
        <v>895</v>
      </c>
      <c r="G1370" t="s">
        <v>891</v>
      </c>
      <c r="H1370" s="3" t="str">
        <f>VLOOKUP(A1370,'Orders Dataset'!$A:$D,4,FALSE)</f>
        <v>Madhya Pradesh</v>
      </c>
      <c r="I1370" s="5" t="str">
        <f>VLOOKUP(A1370,'Orders Dataset'!$A:$E,5,FALSE)</f>
        <v>Bhopal</v>
      </c>
    </row>
    <row r="1371" spans="1:9" x14ac:dyDescent="0.25">
      <c r="A1371" t="s">
        <v>124</v>
      </c>
      <c r="B1371">
        <v>24</v>
      </c>
      <c r="C1371">
        <v>-1</v>
      </c>
      <c r="D1371">
        <v>4</v>
      </c>
      <c r="E1371" t="s">
        <v>899</v>
      </c>
      <c r="F1371" t="s">
        <v>905</v>
      </c>
      <c r="G1371" t="s">
        <v>897</v>
      </c>
      <c r="H1371" s="3" t="str">
        <f>VLOOKUP(A1371,'Orders Dataset'!$A:$D,4,FALSE)</f>
        <v>Madhya Pradesh</v>
      </c>
      <c r="I1371" s="5" t="str">
        <f>VLOOKUP(A1371,'Orders Dataset'!$A:$E,5,FALSE)</f>
        <v>Indore</v>
      </c>
    </row>
    <row r="1372" spans="1:9" x14ac:dyDescent="0.25">
      <c r="A1372" t="s">
        <v>256</v>
      </c>
      <c r="B1372">
        <v>832</v>
      </c>
      <c r="C1372">
        <v>0</v>
      </c>
      <c r="D1372">
        <v>3</v>
      </c>
      <c r="E1372" t="s">
        <v>899</v>
      </c>
      <c r="F1372" t="s">
        <v>900</v>
      </c>
      <c r="G1372" t="s">
        <v>902</v>
      </c>
      <c r="H1372" s="3" t="str">
        <f>VLOOKUP(A1372,'Orders Dataset'!$A:$D,4,FALSE)</f>
        <v>Nagaland</v>
      </c>
      <c r="I1372" s="5" t="str">
        <f>VLOOKUP(A1372,'Orders Dataset'!$A:$E,5,FALSE)</f>
        <v>Kohima</v>
      </c>
    </row>
    <row r="1373" spans="1:9" x14ac:dyDescent="0.25">
      <c r="A1373" t="s">
        <v>254</v>
      </c>
      <c r="B1373">
        <v>833</v>
      </c>
      <c r="C1373">
        <v>93</v>
      </c>
      <c r="D1373">
        <v>3</v>
      </c>
      <c r="E1373" t="s">
        <v>899</v>
      </c>
      <c r="F1373" t="s">
        <v>900</v>
      </c>
      <c r="G1373" t="s">
        <v>902</v>
      </c>
      <c r="H1373" s="3" t="str">
        <f>VLOOKUP(A1373,'Orders Dataset'!$A:$D,4,FALSE)</f>
        <v>Punjab</v>
      </c>
      <c r="I1373" s="5" t="str">
        <f>VLOOKUP(A1373,'Orders Dataset'!$A:$E,5,FALSE)</f>
        <v>Chandigarh</v>
      </c>
    </row>
    <row r="1374" spans="1:9" x14ac:dyDescent="0.25">
      <c r="A1374" t="s">
        <v>861</v>
      </c>
      <c r="B1374">
        <v>20</v>
      </c>
      <c r="C1374">
        <v>6</v>
      </c>
      <c r="D1374">
        <v>1</v>
      </c>
      <c r="E1374" t="s">
        <v>899</v>
      </c>
      <c r="F1374" t="s">
        <v>910</v>
      </c>
      <c r="G1374" t="s">
        <v>891</v>
      </c>
      <c r="H1374" s="3" t="str">
        <f>VLOOKUP(A1374,'Orders Dataset'!$A:$D,4,FALSE)</f>
        <v>Haryana</v>
      </c>
      <c r="I1374" s="5" t="str">
        <f>VLOOKUP(A1374,'Orders Dataset'!$A:$E,5,FALSE)</f>
        <v>Chandigarh</v>
      </c>
    </row>
    <row r="1375" spans="1:9" x14ac:dyDescent="0.25">
      <c r="A1375" t="s">
        <v>641</v>
      </c>
      <c r="B1375">
        <v>23</v>
      </c>
      <c r="C1375">
        <v>-5</v>
      </c>
      <c r="D1375">
        <v>7</v>
      </c>
      <c r="E1375" t="s">
        <v>899</v>
      </c>
      <c r="F1375" t="s">
        <v>903</v>
      </c>
      <c r="G1375" t="s">
        <v>897</v>
      </c>
      <c r="H1375" s="3" t="str">
        <f>VLOOKUP(A1375,'Orders Dataset'!$A:$D,4,FALSE)</f>
        <v>Nagaland</v>
      </c>
      <c r="I1375" s="5" t="str">
        <f>VLOOKUP(A1375,'Orders Dataset'!$A:$E,5,FALSE)</f>
        <v>Kohima</v>
      </c>
    </row>
    <row r="1376" spans="1:9" x14ac:dyDescent="0.25">
      <c r="A1376" t="s">
        <v>144</v>
      </c>
      <c r="B1376">
        <v>550</v>
      </c>
      <c r="C1376">
        <v>-242</v>
      </c>
      <c r="D1376">
        <v>5</v>
      </c>
      <c r="E1376" t="s">
        <v>892</v>
      </c>
      <c r="F1376" t="s">
        <v>912</v>
      </c>
      <c r="G1376" t="s">
        <v>902</v>
      </c>
      <c r="H1376" s="3" t="str">
        <f>VLOOKUP(A1376,'Orders Dataset'!$A:$D,4,FALSE)</f>
        <v>Madhya Pradesh</v>
      </c>
      <c r="I1376" s="5" t="str">
        <f>VLOOKUP(A1376,'Orders Dataset'!$A:$E,5,FALSE)</f>
        <v>Bhopal</v>
      </c>
    </row>
    <row r="1377" spans="1:9" x14ac:dyDescent="0.25">
      <c r="A1377" t="s">
        <v>202</v>
      </c>
      <c r="B1377">
        <v>148</v>
      </c>
      <c r="C1377">
        <v>-91</v>
      </c>
      <c r="D1377">
        <v>2</v>
      </c>
      <c r="E1377" t="s">
        <v>889</v>
      </c>
      <c r="F1377" t="s">
        <v>898</v>
      </c>
      <c r="G1377" t="s">
        <v>891</v>
      </c>
      <c r="H1377" s="3" t="str">
        <f>VLOOKUP(A1377,'Orders Dataset'!$A:$D,4,FALSE)</f>
        <v>Punjab</v>
      </c>
      <c r="I1377" s="5" t="str">
        <f>VLOOKUP(A1377,'Orders Dataset'!$A:$E,5,FALSE)</f>
        <v>Chandigarh</v>
      </c>
    </row>
    <row r="1378" spans="1:9" x14ac:dyDescent="0.25">
      <c r="A1378" t="s">
        <v>250</v>
      </c>
      <c r="B1378">
        <v>846</v>
      </c>
      <c r="C1378">
        <v>9</v>
      </c>
      <c r="D1378">
        <v>2</v>
      </c>
      <c r="E1378" t="s">
        <v>892</v>
      </c>
      <c r="F1378" t="s">
        <v>893</v>
      </c>
      <c r="G1378" t="s">
        <v>911</v>
      </c>
      <c r="H1378" s="3" t="str">
        <f>VLOOKUP(A1378,'Orders Dataset'!$A:$D,4,FALSE)</f>
        <v>Uttar Pradesh</v>
      </c>
      <c r="I1378" s="5" t="str">
        <f>VLOOKUP(A1378,'Orders Dataset'!$A:$E,5,FALSE)</f>
        <v>Prayagraj</v>
      </c>
    </row>
    <row r="1379" spans="1:9" x14ac:dyDescent="0.25">
      <c r="A1379" t="s">
        <v>128</v>
      </c>
      <c r="B1379">
        <v>856</v>
      </c>
      <c r="C1379">
        <v>385</v>
      </c>
      <c r="D1379">
        <v>6</v>
      </c>
      <c r="E1379" t="s">
        <v>889</v>
      </c>
      <c r="F1379" t="s">
        <v>896</v>
      </c>
      <c r="G1379" t="s">
        <v>891</v>
      </c>
      <c r="H1379" s="3" t="str">
        <f>VLOOKUP(A1379,'Orders Dataset'!$A:$D,4,FALSE)</f>
        <v>Tamil Nadu</v>
      </c>
      <c r="I1379" s="5" t="str">
        <f>VLOOKUP(A1379,'Orders Dataset'!$A:$E,5,FALSE)</f>
        <v>Chennai</v>
      </c>
    </row>
    <row r="1380" spans="1:9" x14ac:dyDescent="0.25">
      <c r="A1380" t="s">
        <v>244</v>
      </c>
      <c r="B1380">
        <v>871</v>
      </c>
      <c r="C1380">
        <v>131</v>
      </c>
      <c r="D1380">
        <v>2</v>
      </c>
      <c r="E1380" t="s">
        <v>892</v>
      </c>
      <c r="F1380" t="s">
        <v>895</v>
      </c>
      <c r="G1380" t="s">
        <v>902</v>
      </c>
      <c r="H1380" s="3" t="str">
        <f>VLOOKUP(A1380,'Orders Dataset'!$A:$D,4,FALSE)</f>
        <v>Delhi</v>
      </c>
      <c r="I1380" s="5" t="str">
        <f>VLOOKUP(A1380,'Orders Dataset'!$A:$E,5,FALSE)</f>
        <v>Delhi</v>
      </c>
    </row>
    <row r="1381" spans="1:9" x14ac:dyDescent="0.25">
      <c r="A1381" t="s">
        <v>427</v>
      </c>
      <c r="B1381">
        <v>19</v>
      </c>
      <c r="C1381">
        <v>-18</v>
      </c>
      <c r="D1381">
        <v>4</v>
      </c>
      <c r="E1381" t="s">
        <v>899</v>
      </c>
      <c r="F1381" t="s">
        <v>904</v>
      </c>
      <c r="G1381" t="s">
        <v>891</v>
      </c>
      <c r="H1381" s="3" t="str">
        <f>VLOOKUP(A1381,'Orders Dataset'!$A:$D,4,FALSE)</f>
        <v>Bihar</v>
      </c>
      <c r="I1381" s="5" t="str">
        <f>VLOOKUP(A1381,'Orders Dataset'!$A:$E,5,FALSE)</f>
        <v>Patna</v>
      </c>
    </row>
    <row r="1382" spans="1:9" x14ac:dyDescent="0.25">
      <c r="A1382" t="s">
        <v>345</v>
      </c>
      <c r="B1382">
        <v>610</v>
      </c>
      <c r="C1382">
        <v>-66</v>
      </c>
      <c r="D1382">
        <v>2</v>
      </c>
      <c r="E1382" t="s">
        <v>892</v>
      </c>
      <c r="F1382" t="s">
        <v>906</v>
      </c>
      <c r="G1382" t="s">
        <v>891</v>
      </c>
      <c r="H1382" s="3" t="str">
        <f>VLOOKUP(A1382,'Orders Dataset'!$A:$D,4,FALSE)</f>
        <v>Sikkim</v>
      </c>
      <c r="I1382" s="5" t="str">
        <f>VLOOKUP(A1382,'Orders Dataset'!$A:$E,5,FALSE)</f>
        <v>Gangtok</v>
      </c>
    </row>
    <row r="1383" spans="1:9" x14ac:dyDescent="0.25">
      <c r="A1383" t="s">
        <v>241</v>
      </c>
      <c r="B1383">
        <v>880</v>
      </c>
      <c r="C1383">
        <v>97</v>
      </c>
      <c r="D1383">
        <v>8</v>
      </c>
      <c r="E1383" t="s">
        <v>892</v>
      </c>
      <c r="F1383" t="s">
        <v>912</v>
      </c>
      <c r="G1383" t="s">
        <v>911</v>
      </c>
      <c r="H1383" s="3" t="str">
        <f>VLOOKUP(A1383,'Orders Dataset'!$A:$D,4,FALSE)</f>
        <v>Maharashtra</v>
      </c>
      <c r="I1383" s="5" t="str">
        <f>VLOOKUP(A1383,'Orders Dataset'!$A:$E,5,FALSE)</f>
        <v>Pune</v>
      </c>
    </row>
    <row r="1384" spans="1:9" x14ac:dyDescent="0.25">
      <c r="A1384" t="s">
        <v>177</v>
      </c>
      <c r="B1384">
        <v>22</v>
      </c>
      <c r="C1384">
        <v>-8</v>
      </c>
      <c r="D1384">
        <v>4</v>
      </c>
      <c r="E1384" t="s">
        <v>899</v>
      </c>
      <c r="F1384" t="s">
        <v>903</v>
      </c>
      <c r="G1384" t="s">
        <v>897</v>
      </c>
      <c r="H1384" s="3" t="str">
        <f>VLOOKUP(A1384,'Orders Dataset'!$A:$D,4,FALSE)</f>
        <v>Andhra Pradesh</v>
      </c>
      <c r="I1384" s="5" t="str">
        <f>VLOOKUP(A1384,'Orders Dataset'!$A:$E,5,FALSE)</f>
        <v>Hyderabad</v>
      </c>
    </row>
    <row r="1385" spans="1:9" x14ac:dyDescent="0.25">
      <c r="A1385" t="s">
        <v>852</v>
      </c>
      <c r="B1385">
        <v>22</v>
      </c>
      <c r="C1385">
        <v>11</v>
      </c>
      <c r="D1385">
        <v>2</v>
      </c>
      <c r="E1385" t="s">
        <v>899</v>
      </c>
      <c r="F1385" t="s">
        <v>905</v>
      </c>
      <c r="G1385" t="s">
        <v>897</v>
      </c>
      <c r="H1385" s="3" t="str">
        <f>VLOOKUP(A1385,'Orders Dataset'!$A:$D,4,FALSE)</f>
        <v>Maharashtra</v>
      </c>
      <c r="I1385" s="5" t="str">
        <f>VLOOKUP(A1385,'Orders Dataset'!$A:$E,5,FALSE)</f>
        <v>Mumbai</v>
      </c>
    </row>
    <row r="1386" spans="1:9" x14ac:dyDescent="0.25">
      <c r="A1386" t="s">
        <v>857</v>
      </c>
      <c r="B1386">
        <v>21</v>
      </c>
      <c r="C1386">
        <v>4</v>
      </c>
      <c r="D1386">
        <v>3</v>
      </c>
      <c r="E1386" t="s">
        <v>899</v>
      </c>
      <c r="F1386" t="s">
        <v>903</v>
      </c>
      <c r="G1386" t="s">
        <v>897</v>
      </c>
      <c r="H1386" s="3" t="str">
        <f>VLOOKUP(A1386,'Orders Dataset'!$A:$D,4,FALSE)</f>
        <v>Jammu and Kashmir</v>
      </c>
      <c r="I1386" s="5" t="str">
        <f>VLOOKUP(A1386,'Orders Dataset'!$A:$E,5,FALSE)</f>
        <v>Kashmir</v>
      </c>
    </row>
    <row r="1387" spans="1:9" x14ac:dyDescent="0.25">
      <c r="A1387" t="s">
        <v>124</v>
      </c>
      <c r="B1387">
        <v>18</v>
      </c>
      <c r="C1387">
        <v>1</v>
      </c>
      <c r="D1387">
        <v>3</v>
      </c>
      <c r="E1387" t="s">
        <v>899</v>
      </c>
      <c r="F1387" t="s">
        <v>903</v>
      </c>
      <c r="G1387" t="s">
        <v>891</v>
      </c>
      <c r="H1387" s="3" t="str">
        <f>VLOOKUP(A1387,'Orders Dataset'!$A:$D,4,FALSE)</f>
        <v>Madhya Pradesh</v>
      </c>
      <c r="I1387" s="5" t="str">
        <f>VLOOKUP(A1387,'Orders Dataset'!$A:$E,5,FALSE)</f>
        <v>Indore</v>
      </c>
    </row>
    <row r="1388" spans="1:9" x14ac:dyDescent="0.25">
      <c r="A1388" t="s">
        <v>233</v>
      </c>
      <c r="B1388">
        <v>911</v>
      </c>
      <c r="C1388">
        <v>202</v>
      </c>
      <c r="D1388">
        <v>7</v>
      </c>
      <c r="E1388" t="s">
        <v>892</v>
      </c>
      <c r="F1388" t="s">
        <v>893</v>
      </c>
      <c r="G1388" t="s">
        <v>891</v>
      </c>
      <c r="H1388" s="3" t="str">
        <f>VLOOKUP(A1388,'Orders Dataset'!$A:$D,4,FALSE)</f>
        <v>Maharashtra</v>
      </c>
      <c r="I1388" s="5" t="str">
        <f>VLOOKUP(A1388,'Orders Dataset'!$A:$E,5,FALSE)</f>
        <v>Mumbai</v>
      </c>
    </row>
    <row r="1389" spans="1:9" x14ac:dyDescent="0.25">
      <c r="A1389" t="s">
        <v>378</v>
      </c>
      <c r="B1389">
        <v>18</v>
      </c>
      <c r="C1389">
        <v>2</v>
      </c>
      <c r="D1389">
        <v>3</v>
      </c>
      <c r="E1389" t="s">
        <v>899</v>
      </c>
      <c r="F1389" t="s">
        <v>903</v>
      </c>
      <c r="G1389" t="s">
        <v>891</v>
      </c>
      <c r="H1389" s="3" t="str">
        <f>VLOOKUP(A1389,'Orders Dataset'!$A:$D,4,FALSE)</f>
        <v>Bihar</v>
      </c>
      <c r="I1389" s="5" t="str">
        <f>VLOOKUP(A1389,'Orders Dataset'!$A:$E,5,FALSE)</f>
        <v>Patna</v>
      </c>
    </row>
    <row r="1390" spans="1:9" x14ac:dyDescent="0.25">
      <c r="A1390" t="s">
        <v>235</v>
      </c>
      <c r="B1390">
        <v>911</v>
      </c>
      <c r="C1390">
        <v>355</v>
      </c>
      <c r="D1390">
        <v>5</v>
      </c>
      <c r="E1390" t="s">
        <v>889</v>
      </c>
      <c r="F1390" t="s">
        <v>898</v>
      </c>
      <c r="G1390" t="s">
        <v>911</v>
      </c>
      <c r="H1390" s="3" t="str">
        <f>VLOOKUP(A1390,'Orders Dataset'!$A:$D,4,FALSE)</f>
        <v>Madhya Pradesh</v>
      </c>
      <c r="I1390" s="5" t="str">
        <f>VLOOKUP(A1390,'Orders Dataset'!$A:$E,5,FALSE)</f>
        <v>Indore</v>
      </c>
    </row>
    <row r="1391" spans="1:9" x14ac:dyDescent="0.25">
      <c r="A1391" t="s">
        <v>643</v>
      </c>
      <c r="B1391">
        <v>143</v>
      </c>
      <c r="C1391">
        <v>-129</v>
      </c>
      <c r="D1391">
        <v>2</v>
      </c>
      <c r="E1391" t="s">
        <v>889</v>
      </c>
      <c r="F1391" t="s">
        <v>898</v>
      </c>
      <c r="G1391" t="s">
        <v>891</v>
      </c>
      <c r="H1391" s="3" t="str">
        <f>VLOOKUP(A1391,'Orders Dataset'!$A:$D,4,FALSE)</f>
        <v>Punjab</v>
      </c>
      <c r="I1391" s="5" t="str">
        <f>VLOOKUP(A1391,'Orders Dataset'!$A:$E,5,FALSE)</f>
        <v>Chandigarh</v>
      </c>
    </row>
    <row r="1392" spans="1:9" x14ac:dyDescent="0.25">
      <c r="A1392" t="s">
        <v>228</v>
      </c>
      <c r="B1392">
        <v>918</v>
      </c>
      <c r="C1392">
        <v>22</v>
      </c>
      <c r="D1392">
        <v>9</v>
      </c>
      <c r="E1392" t="s">
        <v>889</v>
      </c>
      <c r="F1392" t="s">
        <v>890</v>
      </c>
      <c r="G1392" t="s">
        <v>891</v>
      </c>
      <c r="H1392" s="3" t="str">
        <f>VLOOKUP(A1392,'Orders Dataset'!$A:$D,4,FALSE)</f>
        <v>Rajasthan</v>
      </c>
      <c r="I1392" s="5" t="str">
        <f>VLOOKUP(A1392,'Orders Dataset'!$A:$E,5,FALSE)</f>
        <v>Udaipur</v>
      </c>
    </row>
    <row r="1393" spans="1:9" x14ac:dyDescent="0.25">
      <c r="A1393" t="s">
        <v>226</v>
      </c>
      <c r="B1393">
        <v>925</v>
      </c>
      <c r="C1393">
        <v>-447</v>
      </c>
      <c r="D1393">
        <v>5</v>
      </c>
      <c r="E1393" t="s">
        <v>889</v>
      </c>
      <c r="F1393" t="s">
        <v>890</v>
      </c>
      <c r="G1393" t="s">
        <v>891</v>
      </c>
      <c r="H1393" s="3" t="str">
        <f>VLOOKUP(A1393,'Orders Dataset'!$A:$D,4,FALSE)</f>
        <v>Maharashtra</v>
      </c>
      <c r="I1393" s="5" t="str">
        <f>VLOOKUP(A1393,'Orders Dataset'!$A:$E,5,FALSE)</f>
        <v>Mumbai</v>
      </c>
    </row>
    <row r="1394" spans="1:9" x14ac:dyDescent="0.25">
      <c r="A1394" t="s">
        <v>362</v>
      </c>
      <c r="B1394">
        <v>17</v>
      </c>
      <c r="C1394">
        <v>8</v>
      </c>
      <c r="D1394">
        <v>2</v>
      </c>
      <c r="E1394" t="s">
        <v>899</v>
      </c>
      <c r="F1394" t="s">
        <v>905</v>
      </c>
      <c r="G1394" t="s">
        <v>891</v>
      </c>
      <c r="H1394" s="3" t="str">
        <f>VLOOKUP(A1394,'Orders Dataset'!$A:$D,4,FALSE)</f>
        <v>West Bengal</v>
      </c>
      <c r="I1394" s="5" t="str">
        <f>VLOOKUP(A1394,'Orders Dataset'!$A:$E,5,FALSE)</f>
        <v>Kolkata</v>
      </c>
    </row>
    <row r="1395" spans="1:9" x14ac:dyDescent="0.25">
      <c r="A1395" t="s">
        <v>407</v>
      </c>
      <c r="B1395">
        <v>465</v>
      </c>
      <c r="C1395">
        <v>207</v>
      </c>
      <c r="D1395">
        <v>9</v>
      </c>
      <c r="E1395" t="s">
        <v>899</v>
      </c>
      <c r="F1395" t="s">
        <v>901</v>
      </c>
      <c r="G1395" t="s">
        <v>891</v>
      </c>
      <c r="H1395" s="3" t="str">
        <f>VLOOKUP(A1395,'Orders Dataset'!$A:$D,4,FALSE)</f>
        <v>Maharashtra</v>
      </c>
      <c r="I1395" s="5" t="str">
        <f>VLOOKUP(A1395,'Orders Dataset'!$A:$E,5,FALSE)</f>
        <v>Mumbai</v>
      </c>
    </row>
    <row r="1396" spans="1:9" x14ac:dyDescent="0.25">
      <c r="A1396" t="s">
        <v>300</v>
      </c>
      <c r="B1396">
        <v>17</v>
      </c>
      <c r="C1396">
        <v>-9</v>
      </c>
      <c r="D1396">
        <v>3</v>
      </c>
      <c r="E1396" t="s">
        <v>899</v>
      </c>
      <c r="F1396" t="s">
        <v>907</v>
      </c>
      <c r="G1396" t="s">
        <v>891</v>
      </c>
      <c r="H1396" s="3" t="str">
        <f>VLOOKUP(A1396,'Orders Dataset'!$A:$D,4,FALSE)</f>
        <v>Maharashtra</v>
      </c>
      <c r="I1396" s="5" t="str">
        <f>VLOOKUP(A1396,'Orders Dataset'!$A:$E,5,FALSE)</f>
        <v>Mumbai</v>
      </c>
    </row>
    <row r="1397" spans="1:9" x14ac:dyDescent="0.25">
      <c r="A1397" t="s">
        <v>221</v>
      </c>
      <c r="B1397">
        <v>935</v>
      </c>
      <c r="C1397">
        <v>114</v>
      </c>
      <c r="D1397">
        <v>4</v>
      </c>
      <c r="E1397" t="s">
        <v>889</v>
      </c>
      <c r="F1397" t="s">
        <v>890</v>
      </c>
      <c r="G1397" t="s">
        <v>902</v>
      </c>
      <c r="H1397" s="3" t="str">
        <f>VLOOKUP(A1397,'Orders Dataset'!$A:$D,4,FALSE)</f>
        <v>Madhya Pradesh</v>
      </c>
      <c r="I1397" s="5" t="str">
        <f>VLOOKUP(A1397,'Orders Dataset'!$A:$E,5,FALSE)</f>
        <v>Indore</v>
      </c>
    </row>
    <row r="1398" spans="1:9" x14ac:dyDescent="0.25">
      <c r="A1398" t="s">
        <v>260</v>
      </c>
      <c r="B1398">
        <v>16</v>
      </c>
      <c r="C1398">
        <v>-10</v>
      </c>
      <c r="D1398">
        <v>2</v>
      </c>
      <c r="E1398" t="s">
        <v>899</v>
      </c>
      <c r="F1398" t="s">
        <v>910</v>
      </c>
      <c r="G1398" t="s">
        <v>891</v>
      </c>
      <c r="H1398" s="3" t="str">
        <f>VLOOKUP(A1398,'Orders Dataset'!$A:$D,4,FALSE)</f>
        <v>Madhya Pradesh</v>
      </c>
      <c r="I1398" s="5" t="str">
        <f>VLOOKUP(A1398,'Orders Dataset'!$A:$E,5,FALSE)</f>
        <v>Indore</v>
      </c>
    </row>
    <row r="1399" spans="1:9" x14ac:dyDescent="0.25">
      <c r="A1399" t="s">
        <v>25</v>
      </c>
      <c r="B1399">
        <v>954</v>
      </c>
      <c r="C1399">
        <v>95</v>
      </c>
      <c r="D1399">
        <v>3</v>
      </c>
      <c r="E1399" t="s">
        <v>889</v>
      </c>
      <c r="F1399" t="s">
        <v>896</v>
      </c>
      <c r="G1399" t="s">
        <v>902</v>
      </c>
      <c r="H1399" s="3" t="str">
        <f>VLOOKUP(A1399,'Orders Dataset'!$A:$D,4,FALSE)</f>
        <v>Maharashtra</v>
      </c>
      <c r="I1399" s="5" t="str">
        <f>VLOOKUP(A1399,'Orders Dataset'!$A:$E,5,FALSE)</f>
        <v>Pune</v>
      </c>
    </row>
    <row r="1400" spans="1:9" x14ac:dyDescent="0.25">
      <c r="A1400" t="s">
        <v>232</v>
      </c>
      <c r="B1400">
        <v>915</v>
      </c>
      <c r="C1400">
        <v>-99</v>
      </c>
      <c r="D1400">
        <v>3</v>
      </c>
      <c r="E1400" t="s">
        <v>892</v>
      </c>
      <c r="F1400" t="s">
        <v>906</v>
      </c>
      <c r="G1400" t="s">
        <v>911</v>
      </c>
      <c r="H1400" s="3" t="str">
        <f>VLOOKUP(A1400,'Orders Dataset'!$A:$D,4,FALSE)</f>
        <v>Rajasthan</v>
      </c>
      <c r="I1400" s="5" t="str">
        <f>VLOOKUP(A1400,'Orders Dataset'!$A:$E,5,FALSE)</f>
        <v>Udaipur</v>
      </c>
    </row>
    <row r="1401" spans="1:9" x14ac:dyDescent="0.25">
      <c r="A1401" t="s">
        <v>218</v>
      </c>
      <c r="B1401">
        <v>955</v>
      </c>
      <c r="C1401">
        <v>305</v>
      </c>
      <c r="D1401">
        <v>3</v>
      </c>
      <c r="E1401" t="s">
        <v>889</v>
      </c>
      <c r="F1401" t="s">
        <v>896</v>
      </c>
      <c r="G1401" t="s">
        <v>911</v>
      </c>
      <c r="H1401" s="3" t="str">
        <f>VLOOKUP(A1401,'Orders Dataset'!$A:$D,4,FALSE)</f>
        <v>Madhya Pradesh</v>
      </c>
      <c r="I1401" s="5" t="str">
        <f>VLOOKUP(A1401,'Orders Dataset'!$A:$E,5,FALSE)</f>
        <v>Indore</v>
      </c>
    </row>
    <row r="1402" spans="1:9" x14ac:dyDescent="0.25">
      <c r="A1402" t="s">
        <v>83</v>
      </c>
      <c r="B1402">
        <v>976</v>
      </c>
      <c r="C1402">
        <v>293</v>
      </c>
      <c r="D1402">
        <v>4</v>
      </c>
      <c r="E1402" t="s">
        <v>889</v>
      </c>
      <c r="F1402" t="s">
        <v>909</v>
      </c>
      <c r="G1402" t="s">
        <v>891</v>
      </c>
      <c r="H1402" s="3" t="str">
        <f>VLOOKUP(A1402,'Orders Dataset'!$A:$D,4,FALSE)</f>
        <v>Madhya Pradesh</v>
      </c>
      <c r="I1402" s="5" t="str">
        <f>VLOOKUP(A1402,'Orders Dataset'!$A:$E,5,FALSE)</f>
        <v>Indore</v>
      </c>
    </row>
    <row r="1403" spans="1:9" x14ac:dyDescent="0.25">
      <c r="A1403" t="s">
        <v>202</v>
      </c>
      <c r="B1403">
        <v>1069</v>
      </c>
      <c r="C1403">
        <v>0</v>
      </c>
      <c r="D1403">
        <v>6</v>
      </c>
      <c r="E1403" t="s">
        <v>899</v>
      </c>
      <c r="F1403" t="s">
        <v>901</v>
      </c>
      <c r="G1403" t="s">
        <v>894</v>
      </c>
      <c r="H1403" s="3" t="str">
        <f>VLOOKUP(A1403,'Orders Dataset'!$A:$D,4,FALSE)</f>
        <v>Punjab</v>
      </c>
      <c r="I1403" s="5" t="str">
        <f>VLOOKUP(A1403,'Orders Dataset'!$A:$E,5,FALSE)</f>
        <v>Chandigarh</v>
      </c>
    </row>
    <row r="1404" spans="1:9" x14ac:dyDescent="0.25">
      <c r="A1404" t="s">
        <v>541</v>
      </c>
      <c r="B1404">
        <v>19</v>
      </c>
      <c r="C1404">
        <v>-15</v>
      </c>
      <c r="D1404">
        <v>3</v>
      </c>
      <c r="E1404" t="s">
        <v>899</v>
      </c>
      <c r="F1404" t="s">
        <v>903</v>
      </c>
      <c r="G1404" t="s">
        <v>897</v>
      </c>
      <c r="H1404" s="3" t="str">
        <f>VLOOKUP(A1404,'Orders Dataset'!$A:$D,4,FALSE)</f>
        <v>Jammu and Kashmir</v>
      </c>
      <c r="I1404" s="5" t="str">
        <f>VLOOKUP(A1404,'Orders Dataset'!$A:$E,5,FALSE)</f>
        <v>Kashmir</v>
      </c>
    </row>
    <row r="1405" spans="1:9" x14ac:dyDescent="0.25">
      <c r="A1405" t="s">
        <v>44</v>
      </c>
      <c r="B1405">
        <v>16</v>
      </c>
      <c r="C1405">
        <v>6</v>
      </c>
      <c r="D1405">
        <v>3</v>
      </c>
      <c r="E1405" t="s">
        <v>899</v>
      </c>
      <c r="F1405" t="s">
        <v>903</v>
      </c>
      <c r="G1405" t="s">
        <v>891</v>
      </c>
      <c r="H1405" s="3" t="str">
        <f>VLOOKUP(A1405,'Orders Dataset'!$A:$D,4,FALSE)</f>
        <v>Maharashtra</v>
      </c>
      <c r="I1405" s="5" t="str">
        <f>VLOOKUP(A1405,'Orders Dataset'!$A:$E,5,FALSE)</f>
        <v>Pune</v>
      </c>
    </row>
    <row r="1406" spans="1:9" x14ac:dyDescent="0.25">
      <c r="A1406" t="s">
        <v>211</v>
      </c>
      <c r="B1406">
        <v>1030</v>
      </c>
      <c r="C1406">
        <v>206</v>
      </c>
      <c r="D1406">
        <v>8</v>
      </c>
      <c r="E1406" t="s">
        <v>889</v>
      </c>
      <c r="F1406" t="s">
        <v>896</v>
      </c>
      <c r="G1406" t="s">
        <v>902</v>
      </c>
      <c r="H1406" s="3" t="str">
        <f>VLOOKUP(A1406,'Orders Dataset'!$A:$D,4,FALSE)</f>
        <v>Haryana</v>
      </c>
      <c r="I1406" s="5" t="str">
        <f>VLOOKUP(A1406,'Orders Dataset'!$A:$E,5,FALSE)</f>
        <v>Chandigarh</v>
      </c>
    </row>
    <row r="1407" spans="1:9" x14ac:dyDescent="0.25">
      <c r="A1407" t="s">
        <v>214</v>
      </c>
      <c r="B1407">
        <v>620</v>
      </c>
      <c r="C1407">
        <v>82</v>
      </c>
      <c r="D1407">
        <v>6</v>
      </c>
      <c r="E1407" t="s">
        <v>889</v>
      </c>
      <c r="F1407" t="s">
        <v>909</v>
      </c>
      <c r="G1407" t="s">
        <v>891</v>
      </c>
      <c r="H1407" s="3" t="str">
        <f>VLOOKUP(A1407,'Orders Dataset'!$A:$D,4,FALSE)</f>
        <v>Uttar Pradesh</v>
      </c>
      <c r="I1407" s="5" t="str">
        <f>VLOOKUP(A1407,'Orders Dataset'!$A:$E,5,FALSE)</f>
        <v>Lucknow</v>
      </c>
    </row>
    <row r="1408" spans="1:9" x14ac:dyDescent="0.25">
      <c r="A1408" t="s">
        <v>322</v>
      </c>
      <c r="B1408">
        <v>16</v>
      </c>
      <c r="C1408">
        <v>8</v>
      </c>
      <c r="D1408">
        <v>2</v>
      </c>
      <c r="E1408" t="s">
        <v>899</v>
      </c>
      <c r="F1408" t="s">
        <v>903</v>
      </c>
      <c r="G1408" t="s">
        <v>891</v>
      </c>
      <c r="H1408" s="3" t="str">
        <f>VLOOKUP(A1408,'Orders Dataset'!$A:$D,4,FALSE)</f>
        <v>Himachal Pradesh</v>
      </c>
      <c r="I1408" s="5" t="str">
        <f>VLOOKUP(A1408,'Orders Dataset'!$A:$E,5,FALSE)</f>
        <v>Simla</v>
      </c>
    </row>
    <row r="1409" spans="1:9" x14ac:dyDescent="0.25">
      <c r="A1409" t="s">
        <v>315</v>
      </c>
      <c r="B1409">
        <v>19</v>
      </c>
      <c r="C1409">
        <v>8</v>
      </c>
      <c r="D1409">
        <v>2</v>
      </c>
      <c r="E1409" t="s">
        <v>899</v>
      </c>
      <c r="F1409" t="s">
        <v>903</v>
      </c>
      <c r="G1409" t="s">
        <v>897</v>
      </c>
      <c r="H1409" s="3" t="str">
        <f>VLOOKUP(A1409,'Orders Dataset'!$A:$D,4,FALSE)</f>
        <v>Karnataka</v>
      </c>
      <c r="I1409" s="5" t="str">
        <f>VLOOKUP(A1409,'Orders Dataset'!$A:$E,5,FALSE)</f>
        <v>Bangalore</v>
      </c>
    </row>
    <row r="1410" spans="1:9" x14ac:dyDescent="0.25">
      <c r="A1410" t="s">
        <v>302</v>
      </c>
      <c r="B1410">
        <v>249</v>
      </c>
      <c r="C1410">
        <v>-130</v>
      </c>
      <c r="D1410">
        <v>4</v>
      </c>
      <c r="E1410" t="s">
        <v>889</v>
      </c>
      <c r="F1410" t="s">
        <v>898</v>
      </c>
      <c r="G1410" t="s">
        <v>902</v>
      </c>
      <c r="H1410" s="3" t="str">
        <f>VLOOKUP(A1410,'Orders Dataset'!$A:$D,4,FALSE)</f>
        <v>Sikkim</v>
      </c>
      <c r="I1410" s="5" t="str">
        <f>VLOOKUP(A1410,'Orders Dataset'!$A:$E,5,FALSE)</f>
        <v>Gangtok</v>
      </c>
    </row>
    <row r="1411" spans="1:9" x14ac:dyDescent="0.25">
      <c r="A1411" t="s">
        <v>698</v>
      </c>
      <c r="B1411">
        <v>16</v>
      </c>
      <c r="C1411">
        <v>6</v>
      </c>
      <c r="D1411">
        <v>1</v>
      </c>
      <c r="E1411" t="s">
        <v>899</v>
      </c>
      <c r="F1411" t="s">
        <v>907</v>
      </c>
      <c r="G1411" t="s">
        <v>891</v>
      </c>
      <c r="H1411" s="3" t="str">
        <f>VLOOKUP(A1411,'Orders Dataset'!$A:$D,4,FALSE)</f>
        <v>Uttar Pradesh</v>
      </c>
      <c r="I1411" s="5" t="str">
        <f>VLOOKUP(A1411,'Orders Dataset'!$A:$E,5,FALSE)</f>
        <v>Lucknow</v>
      </c>
    </row>
    <row r="1412" spans="1:9" x14ac:dyDescent="0.25">
      <c r="A1412" t="s">
        <v>132</v>
      </c>
      <c r="B1412">
        <v>1361</v>
      </c>
      <c r="C1412">
        <v>197</v>
      </c>
      <c r="D1412">
        <v>9</v>
      </c>
      <c r="E1412" t="s">
        <v>892</v>
      </c>
      <c r="F1412" t="s">
        <v>895</v>
      </c>
      <c r="G1412" t="s">
        <v>891</v>
      </c>
      <c r="H1412" s="3" t="str">
        <f>VLOOKUP(A1412,'Orders Dataset'!$A:$D,4,FALSE)</f>
        <v>Madhya Pradesh</v>
      </c>
      <c r="I1412" s="5" t="str">
        <f>VLOOKUP(A1412,'Orders Dataset'!$A:$E,5,FALSE)</f>
        <v>Indore</v>
      </c>
    </row>
    <row r="1413" spans="1:9" x14ac:dyDescent="0.25">
      <c r="A1413" t="s">
        <v>269</v>
      </c>
      <c r="B1413">
        <v>15</v>
      </c>
      <c r="C1413">
        <v>1</v>
      </c>
      <c r="D1413">
        <v>1</v>
      </c>
      <c r="E1413" t="s">
        <v>899</v>
      </c>
      <c r="F1413" t="s">
        <v>913</v>
      </c>
      <c r="G1413" t="s">
        <v>891</v>
      </c>
      <c r="H1413" s="3" t="str">
        <f>VLOOKUP(A1413,'Orders Dataset'!$A:$D,4,FALSE)</f>
        <v>Karnataka</v>
      </c>
      <c r="I1413" s="5" t="str">
        <f>VLOOKUP(A1413,'Orders Dataset'!$A:$E,5,FALSE)</f>
        <v>Bangalore</v>
      </c>
    </row>
    <row r="1414" spans="1:9" x14ac:dyDescent="0.25">
      <c r="A1414" t="s">
        <v>199</v>
      </c>
      <c r="B1414">
        <v>1076</v>
      </c>
      <c r="C1414">
        <v>-38</v>
      </c>
      <c r="D1414">
        <v>4</v>
      </c>
      <c r="E1414" t="s">
        <v>889</v>
      </c>
      <c r="F1414" t="s">
        <v>896</v>
      </c>
      <c r="G1414" t="s">
        <v>891</v>
      </c>
      <c r="H1414" s="3" t="str">
        <f>VLOOKUP(A1414,'Orders Dataset'!$A:$D,4,FALSE)</f>
        <v>Bihar</v>
      </c>
      <c r="I1414" s="5" t="str">
        <f>VLOOKUP(A1414,'Orders Dataset'!$A:$E,5,FALSE)</f>
        <v>Patna</v>
      </c>
    </row>
    <row r="1415" spans="1:9" x14ac:dyDescent="0.25">
      <c r="A1415" t="s">
        <v>323</v>
      </c>
      <c r="B1415">
        <v>18</v>
      </c>
      <c r="C1415">
        <v>2</v>
      </c>
      <c r="D1415">
        <v>3</v>
      </c>
      <c r="E1415" t="s">
        <v>899</v>
      </c>
      <c r="F1415" t="s">
        <v>903</v>
      </c>
      <c r="G1415" t="s">
        <v>897</v>
      </c>
      <c r="H1415" s="3" t="str">
        <f>VLOOKUP(A1415,'Orders Dataset'!$A:$D,4,FALSE)</f>
        <v>Punjab</v>
      </c>
      <c r="I1415" s="5" t="str">
        <f>VLOOKUP(A1415,'Orders Dataset'!$A:$E,5,FALSE)</f>
        <v>Amritsar</v>
      </c>
    </row>
    <row r="1416" spans="1:9" x14ac:dyDescent="0.25">
      <c r="A1416" t="s">
        <v>197</v>
      </c>
      <c r="B1416">
        <v>1101</v>
      </c>
      <c r="C1416">
        <v>352</v>
      </c>
      <c r="D1416">
        <v>3</v>
      </c>
      <c r="E1416" t="s">
        <v>892</v>
      </c>
      <c r="F1416" t="s">
        <v>895</v>
      </c>
      <c r="G1416" t="s">
        <v>902</v>
      </c>
      <c r="H1416" s="3" t="str">
        <f>VLOOKUP(A1416,'Orders Dataset'!$A:$D,4,FALSE)</f>
        <v>Haryana</v>
      </c>
      <c r="I1416" s="5" t="str">
        <f>VLOOKUP(A1416,'Orders Dataset'!$A:$E,5,FALSE)</f>
        <v>Chandigarh</v>
      </c>
    </row>
    <row r="1417" spans="1:9" x14ac:dyDescent="0.25">
      <c r="A1417" t="s">
        <v>371</v>
      </c>
      <c r="B1417">
        <v>15</v>
      </c>
      <c r="C1417">
        <v>2</v>
      </c>
      <c r="D1417">
        <v>1</v>
      </c>
      <c r="E1417" t="s">
        <v>899</v>
      </c>
      <c r="F1417" t="s">
        <v>908</v>
      </c>
      <c r="G1417" t="s">
        <v>891</v>
      </c>
      <c r="H1417" s="3" t="str">
        <f>VLOOKUP(A1417,'Orders Dataset'!$A:$D,4,FALSE)</f>
        <v>Punjab</v>
      </c>
      <c r="I1417" s="5" t="str">
        <f>VLOOKUP(A1417,'Orders Dataset'!$A:$E,5,FALSE)</f>
        <v>Chandigarh</v>
      </c>
    </row>
    <row r="1418" spans="1:9" x14ac:dyDescent="0.25">
      <c r="A1418" t="s">
        <v>122</v>
      </c>
      <c r="B1418">
        <v>1104</v>
      </c>
      <c r="C1418">
        <v>209</v>
      </c>
      <c r="D1418">
        <v>4</v>
      </c>
      <c r="E1418" t="s">
        <v>899</v>
      </c>
      <c r="F1418" t="s">
        <v>900</v>
      </c>
      <c r="G1418" t="s">
        <v>902</v>
      </c>
      <c r="H1418" s="3" t="str">
        <f>VLOOKUP(A1418,'Orders Dataset'!$A:$D,4,FALSE)</f>
        <v>Maharashtra</v>
      </c>
      <c r="I1418" s="5" t="str">
        <f>VLOOKUP(A1418,'Orders Dataset'!$A:$E,5,FALSE)</f>
        <v>Pune</v>
      </c>
    </row>
    <row r="1419" spans="1:9" x14ac:dyDescent="0.25">
      <c r="A1419" t="s">
        <v>320</v>
      </c>
      <c r="B1419">
        <v>14</v>
      </c>
      <c r="C1419">
        <v>2</v>
      </c>
      <c r="D1419">
        <v>1</v>
      </c>
      <c r="E1419" t="s">
        <v>899</v>
      </c>
      <c r="F1419" t="s">
        <v>903</v>
      </c>
      <c r="G1419" t="s">
        <v>891</v>
      </c>
      <c r="H1419" s="3" t="str">
        <f>VLOOKUP(A1419,'Orders Dataset'!$A:$D,4,FALSE)</f>
        <v>Goa</v>
      </c>
      <c r="I1419" s="5" t="str">
        <f>VLOOKUP(A1419,'Orders Dataset'!$A:$E,5,FALSE)</f>
        <v>Goa</v>
      </c>
    </row>
    <row r="1420" spans="1:9" x14ac:dyDescent="0.25">
      <c r="A1420" t="s">
        <v>18</v>
      </c>
      <c r="B1420">
        <v>14</v>
      </c>
      <c r="C1420">
        <v>5</v>
      </c>
      <c r="D1420">
        <v>1</v>
      </c>
      <c r="E1420" t="s">
        <v>899</v>
      </c>
      <c r="F1420" t="s">
        <v>903</v>
      </c>
      <c r="G1420" t="s">
        <v>891</v>
      </c>
      <c r="H1420" s="3" t="str">
        <f>VLOOKUP(A1420,'Orders Dataset'!$A:$D,4,FALSE)</f>
        <v>Madhya Pradesh</v>
      </c>
      <c r="I1420" s="5" t="str">
        <f>VLOOKUP(A1420,'Orders Dataset'!$A:$E,5,FALSE)</f>
        <v>Indore</v>
      </c>
    </row>
    <row r="1421" spans="1:9" x14ac:dyDescent="0.25">
      <c r="A1421" t="s">
        <v>375</v>
      </c>
      <c r="B1421">
        <v>14</v>
      </c>
      <c r="C1421">
        <v>-3</v>
      </c>
      <c r="D1421">
        <v>2</v>
      </c>
      <c r="E1421" t="s">
        <v>899</v>
      </c>
      <c r="F1421" t="s">
        <v>908</v>
      </c>
      <c r="G1421" t="s">
        <v>891</v>
      </c>
      <c r="H1421" s="3" t="str">
        <f>VLOOKUP(A1421,'Orders Dataset'!$A:$D,4,FALSE)</f>
        <v>Maharashtra</v>
      </c>
      <c r="I1421" s="5" t="str">
        <f>VLOOKUP(A1421,'Orders Dataset'!$A:$E,5,FALSE)</f>
        <v>Mumbai</v>
      </c>
    </row>
    <row r="1422" spans="1:9" x14ac:dyDescent="0.25">
      <c r="A1422" t="s">
        <v>444</v>
      </c>
      <c r="B1422">
        <v>14</v>
      </c>
      <c r="C1422">
        <v>-1</v>
      </c>
      <c r="D1422">
        <v>4</v>
      </c>
      <c r="E1422" t="s">
        <v>899</v>
      </c>
      <c r="F1422" t="s">
        <v>904</v>
      </c>
      <c r="G1422" t="s">
        <v>891</v>
      </c>
      <c r="H1422" s="3" t="str">
        <f>VLOOKUP(A1422,'Orders Dataset'!$A:$D,4,FALSE)</f>
        <v>Maharashtra</v>
      </c>
      <c r="I1422" s="5" t="str">
        <f>VLOOKUP(A1422,'Orders Dataset'!$A:$E,5,FALSE)</f>
        <v>Mumbai</v>
      </c>
    </row>
    <row r="1423" spans="1:9" x14ac:dyDescent="0.25">
      <c r="A1423" t="s">
        <v>343</v>
      </c>
      <c r="B1423">
        <v>13</v>
      </c>
      <c r="C1423">
        <v>-8</v>
      </c>
      <c r="D1423">
        <v>1</v>
      </c>
      <c r="E1423" t="s">
        <v>899</v>
      </c>
      <c r="F1423" t="s">
        <v>910</v>
      </c>
      <c r="G1423" t="s">
        <v>891</v>
      </c>
      <c r="H1423" s="3" t="str">
        <f>VLOOKUP(A1423,'Orders Dataset'!$A:$D,4,FALSE)</f>
        <v>Maharashtra</v>
      </c>
      <c r="I1423" s="5" t="str">
        <f>VLOOKUP(A1423,'Orders Dataset'!$A:$E,5,FALSE)</f>
        <v>Pune</v>
      </c>
    </row>
    <row r="1424" spans="1:9" x14ac:dyDescent="0.25">
      <c r="A1424" t="s">
        <v>126</v>
      </c>
      <c r="B1424">
        <v>13</v>
      </c>
      <c r="C1424">
        <v>-1</v>
      </c>
      <c r="D1424">
        <v>3</v>
      </c>
      <c r="E1424" t="s">
        <v>899</v>
      </c>
      <c r="F1424" t="s">
        <v>903</v>
      </c>
      <c r="G1424" t="s">
        <v>891</v>
      </c>
      <c r="H1424" s="3" t="str">
        <f>VLOOKUP(A1424,'Orders Dataset'!$A:$D,4,FALSE)</f>
        <v>Maharashtra</v>
      </c>
      <c r="I1424" s="5" t="str">
        <f>VLOOKUP(A1424,'Orders Dataset'!$A:$E,5,FALSE)</f>
        <v>Pune</v>
      </c>
    </row>
    <row r="1425" spans="1:9" x14ac:dyDescent="0.25">
      <c r="A1425" t="s">
        <v>160</v>
      </c>
      <c r="B1425">
        <v>1275</v>
      </c>
      <c r="C1425">
        <v>1148</v>
      </c>
      <c r="D1425">
        <v>7</v>
      </c>
      <c r="E1425" t="s">
        <v>892</v>
      </c>
      <c r="F1425" t="s">
        <v>895</v>
      </c>
      <c r="G1425" t="s">
        <v>894</v>
      </c>
      <c r="H1425" s="3" t="str">
        <f>VLOOKUP(A1425,'Orders Dataset'!$A:$D,4,FALSE)</f>
        <v>Gujarat</v>
      </c>
      <c r="I1425" s="5" t="str">
        <f>VLOOKUP(A1425,'Orders Dataset'!$A:$E,5,FALSE)</f>
        <v>Ahmedabad</v>
      </c>
    </row>
    <row r="1426" spans="1:9" x14ac:dyDescent="0.25">
      <c r="A1426" t="s">
        <v>352</v>
      </c>
      <c r="B1426">
        <v>17</v>
      </c>
      <c r="C1426">
        <v>1</v>
      </c>
      <c r="D1426">
        <v>2</v>
      </c>
      <c r="E1426" t="s">
        <v>899</v>
      </c>
      <c r="F1426" t="s">
        <v>905</v>
      </c>
      <c r="G1426" t="s">
        <v>897</v>
      </c>
      <c r="H1426" s="3" t="str">
        <f>VLOOKUP(A1426,'Orders Dataset'!$A:$D,4,FALSE)</f>
        <v>Jammu and Kashmir</v>
      </c>
      <c r="I1426" s="5" t="str">
        <f>VLOOKUP(A1426,'Orders Dataset'!$A:$E,5,FALSE)</f>
        <v>Kashmir</v>
      </c>
    </row>
    <row r="1427" spans="1:9" x14ac:dyDescent="0.25">
      <c r="A1427" t="s">
        <v>627</v>
      </c>
      <c r="B1427">
        <v>13</v>
      </c>
      <c r="C1427">
        <v>0</v>
      </c>
      <c r="D1427">
        <v>2</v>
      </c>
      <c r="E1427" t="s">
        <v>899</v>
      </c>
      <c r="F1427" t="s">
        <v>903</v>
      </c>
      <c r="G1427" t="s">
        <v>891</v>
      </c>
      <c r="H1427" s="3" t="str">
        <f>VLOOKUP(A1427,'Orders Dataset'!$A:$D,4,FALSE)</f>
        <v>Delhi</v>
      </c>
      <c r="I1427" s="5" t="str">
        <f>VLOOKUP(A1427,'Orders Dataset'!$A:$E,5,FALSE)</f>
        <v>Delhi</v>
      </c>
    </row>
    <row r="1428" spans="1:9" x14ac:dyDescent="0.25">
      <c r="A1428" t="s">
        <v>166</v>
      </c>
      <c r="B1428">
        <v>1270</v>
      </c>
      <c r="C1428">
        <v>546</v>
      </c>
      <c r="D1428">
        <v>11</v>
      </c>
      <c r="E1428" t="s">
        <v>889</v>
      </c>
      <c r="F1428" t="s">
        <v>890</v>
      </c>
      <c r="G1428" t="s">
        <v>894</v>
      </c>
      <c r="H1428" s="3" t="str">
        <f>VLOOKUP(A1428,'Orders Dataset'!$A:$D,4,FALSE)</f>
        <v>Maharashtra</v>
      </c>
      <c r="I1428" s="5" t="str">
        <f>VLOOKUP(A1428,'Orders Dataset'!$A:$E,5,FALSE)</f>
        <v>Pune</v>
      </c>
    </row>
    <row r="1429" spans="1:9" x14ac:dyDescent="0.25">
      <c r="A1429" t="s">
        <v>802</v>
      </c>
      <c r="B1429">
        <v>13</v>
      </c>
      <c r="C1429">
        <v>-2</v>
      </c>
      <c r="D1429">
        <v>1</v>
      </c>
      <c r="E1429" t="s">
        <v>899</v>
      </c>
      <c r="F1429" t="s">
        <v>907</v>
      </c>
      <c r="G1429" t="s">
        <v>891</v>
      </c>
      <c r="H1429" s="3" t="str">
        <f>VLOOKUP(A1429,'Orders Dataset'!$A:$D,4,FALSE)</f>
        <v>Goa</v>
      </c>
      <c r="I1429" s="5" t="str">
        <f>VLOOKUP(A1429,'Orders Dataset'!$A:$E,5,FALSE)</f>
        <v>Goa</v>
      </c>
    </row>
    <row r="1430" spans="1:9" x14ac:dyDescent="0.25">
      <c r="A1430" t="s">
        <v>873</v>
      </c>
      <c r="B1430">
        <v>13</v>
      </c>
      <c r="C1430">
        <v>3</v>
      </c>
      <c r="D1430">
        <v>1</v>
      </c>
      <c r="E1430" t="s">
        <v>899</v>
      </c>
      <c r="F1430" t="s">
        <v>908</v>
      </c>
      <c r="G1430" t="s">
        <v>891</v>
      </c>
      <c r="H1430" s="3" t="str">
        <f>VLOOKUP(A1430,'Orders Dataset'!$A:$D,4,FALSE)</f>
        <v>Delhi</v>
      </c>
      <c r="I1430" s="5" t="str">
        <f>VLOOKUP(A1430,'Orders Dataset'!$A:$E,5,FALSE)</f>
        <v>Delhi</v>
      </c>
    </row>
    <row r="1431" spans="1:9" x14ac:dyDescent="0.25">
      <c r="A1431" t="s">
        <v>712</v>
      </c>
      <c r="B1431">
        <v>17</v>
      </c>
      <c r="C1431">
        <v>5</v>
      </c>
      <c r="D1431">
        <v>1</v>
      </c>
      <c r="E1431" t="s">
        <v>899</v>
      </c>
      <c r="F1431" t="s">
        <v>903</v>
      </c>
      <c r="G1431" t="s">
        <v>902</v>
      </c>
      <c r="H1431" s="3" t="str">
        <f>VLOOKUP(A1431,'Orders Dataset'!$A:$D,4,FALSE)</f>
        <v>Maharashtra</v>
      </c>
      <c r="I1431" s="5" t="str">
        <f>VLOOKUP(A1431,'Orders Dataset'!$A:$E,5,FALSE)</f>
        <v>Mumbai</v>
      </c>
    </row>
    <row r="1432" spans="1:9" x14ac:dyDescent="0.25">
      <c r="A1432" t="s">
        <v>337</v>
      </c>
      <c r="B1432">
        <v>13</v>
      </c>
      <c r="C1432">
        <v>-13</v>
      </c>
      <c r="D1432">
        <v>2</v>
      </c>
      <c r="E1432" t="s">
        <v>899</v>
      </c>
      <c r="F1432" t="s">
        <v>905</v>
      </c>
      <c r="G1432" t="s">
        <v>891</v>
      </c>
      <c r="H1432" s="3" t="str">
        <f>VLOOKUP(A1432,'Orders Dataset'!$A:$D,4,FALSE)</f>
        <v>Madhya Pradesh</v>
      </c>
      <c r="I1432" s="5" t="str">
        <f>VLOOKUP(A1432,'Orders Dataset'!$A:$E,5,FALSE)</f>
        <v>Bhopal</v>
      </c>
    </row>
    <row r="1433" spans="1:9" x14ac:dyDescent="0.25">
      <c r="A1433" t="s">
        <v>335</v>
      </c>
      <c r="B1433">
        <v>13</v>
      </c>
      <c r="C1433">
        <v>-9</v>
      </c>
      <c r="D1433">
        <v>2</v>
      </c>
      <c r="E1433" t="s">
        <v>899</v>
      </c>
      <c r="F1433" t="s">
        <v>905</v>
      </c>
      <c r="G1433" t="s">
        <v>891</v>
      </c>
      <c r="H1433" s="3" t="str">
        <f>VLOOKUP(A1433,'Orders Dataset'!$A:$D,4,FALSE)</f>
        <v>Maharashtra</v>
      </c>
      <c r="I1433" s="5" t="str">
        <f>VLOOKUP(A1433,'Orders Dataset'!$A:$E,5,FALSE)</f>
        <v>Mumbai</v>
      </c>
    </row>
    <row r="1434" spans="1:9" x14ac:dyDescent="0.25">
      <c r="A1434" t="s">
        <v>168</v>
      </c>
      <c r="B1434">
        <v>1263</v>
      </c>
      <c r="C1434">
        <v>-56</v>
      </c>
      <c r="D1434">
        <v>5</v>
      </c>
      <c r="E1434" t="s">
        <v>899</v>
      </c>
      <c r="F1434" t="s">
        <v>900</v>
      </c>
      <c r="G1434" t="s">
        <v>894</v>
      </c>
      <c r="H1434" s="3" t="str">
        <f>VLOOKUP(A1434,'Orders Dataset'!$A:$D,4,FALSE)</f>
        <v>Rajasthan</v>
      </c>
      <c r="I1434" s="5" t="str">
        <f>VLOOKUP(A1434,'Orders Dataset'!$A:$E,5,FALSE)</f>
        <v>Jaipur</v>
      </c>
    </row>
    <row r="1435" spans="1:9" x14ac:dyDescent="0.25">
      <c r="A1435" t="s">
        <v>85</v>
      </c>
      <c r="B1435">
        <v>1629</v>
      </c>
      <c r="C1435">
        <v>-153</v>
      </c>
      <c r="D1435">
        <v>3</v>
      </c>
      <c r="E1435" t="s">
        <v>889</v>
      </c>
      <c r="F1435" t="s">
        <v>898</v>
      </c>
      <c r="G1435" t="s">
        <v>891</v>
      </c>
      <c r="H1435" s="3" t="str">
        <f>VLOOKUP(A1435,'Orders Dataset'!$A:$D,4,FALSE)</f>
        <v>Madhya Pradesh</v>
      </c>
      <c r="I1435" s="5" t="str">
        <f>VLOOKUP(A1435,'Orders Dataset'!$A:$E,5,FALSE)</f>
        <v>Bhopal</v>
      </c>
    </row>
    <row r="1436" spans="1:9" x14ac:dyDescent="0.25">
      <c r="A1436" t="s">
        <v>18</v>
      </c>
      <c r="B1436">
        <v>17</v>
      </c>
      <c r="C1436">
        <v>7</v>
      </c>
      <c r="D1436">
        <v>3</v>
      </c>
      <c r="E1436" t="s">
        <v>899</v>
      </c>
      <c r="F1436" t="s">
        <v>903</v>
      </c>
      <c r="G1436" t="s">
        <v>902</v>
      </c>
      <c r="H1436" s="3" t="str">
        <f>VLOOKUP(A1436,'Orders Dataset'!$A:$D,4,FALSE)</f>
        <v>Madhya Pradesh</v>
      </c>
      <c r="I1436" s="5" t="str">
        <f>VLOOKUP(A1436,'Orders Dataset'!$A:$E,5,FALSE)</f>
        <v>Indore</v>
      </c>
    </row>
    <row r="1437" spans="1:9" x14ac:dyDescent="0.25">
      <c r="A1437" t="s">
        <v>70</v>
      </c>
      <c r="B1437">
        <v>17</v>
      </c>
      <c r="C1437">
        <v>2</v>
      </c>
      <c r="D1437">
        <v>2</v>
      </c>
      <c r="E1437" t="s">
        <v>899</v>
      </c>
      <c r="F1437" t="s">
        <v>905</v>
      </c>
      <c r="G1437" t="s">
        <v>902</v>
      </c>
      <c r="H1437" s="3" t="str">
        <f>VLOOKUP(A1437,'Orders Dataset'!$A:$D,4,FALSE)</f>
        <v>Madhya Pradesh</v>
      </c>
      <c r="I1437" s="5" t="str">
        <f>VLOOKUP(A1437,'Orders Dataset'!$A:$E,5,FALSE)</f>
        <v>Bhopal</v>
      </c>
    </row>
    <row r="1438" spans="1:9" x14ac:dyDescent="0.25">
      <c r="A1438" t="s">
        <v>5</v>
      </c>
      <c r="B1438">
        <v>1250</v>
      </c>
      <c r="C1438">
        <v>-12</v>
      </c>
      <c r="D1438">
        <v>2</v>
      </c>
      <c r="E1438" t="s">
        <v>889</v>
      </c>
      <c r="F1438" t="s">
        <v>896</v>
      </c>
      <c r="G1438" t="s">
        <v>894</v>
      </c>
      <c r="H1438" s="3" t="str">
        <f>VLOOKUP(A1438,'Orders Dataset'!$A:$D,4,FALSE)</f>
        <v>Uttar Pradesh</v>
      </c>
      <c r="I1438" s="5" t="str">
        <f>VLOOKUP(A1438,'Orders Dataset'!$A:$E,5,FALSE)</f>
        <v>Mathura</v>
      </c>
    </row>
    <row r="1439" spans="1:9" x14ac:dyDescent="0.25">
      <c r="A1439" t="s">
        <v>63</v>
      </c>
      <c r="B1439">
        <v>17</v>
      </c>
      <c r="C1439">
        <v>-11</v>
      </c>
      <c r="D1439">
        <v>3</v>
      </c>
      <c r="E1439" t="s">
        <v>899</v>
      </c>
      <c r="F1439" t="s">
        <v>905</v>
      </c>
      <c r="G1439" t="s">
        <v>902</v>
      </c>
      <c r="H1439" s="3" t="str">
        <f>VLOOKUP(A1439,'Orders Dataset'!$A:$D,4,FALSE)</f>
        <v>Uttar Pradesh</v>
      </c>
      <c r="I1439" s="5" t="str">
        <f>VLOOKUP(A1439,'Orders Dataset'!$A:$E,5,FALSE)</f>
        <v>Mathura</v>
      </c>
    </row>
    <row r="1440" spans="1:9" x14ac:dyDescent="0.25">
      <c r="A1440" t="s">
        <v>98</v>
      </c>
      <c r="B1440">
        <v>977</v>
      </c>
      <c r="C1440">
        <v>-244</v>
      </c>
      <c r="D1440">
        <v>7</v>
      </c>
      <c r="E1440" t="s">
        <v>889</v>
      </c>
      <c r="F1440" t="s">
        <v>898</v>
      </c>
      <c r="G1440" t="s">
        <v>891</v>
      </c>
      <c r="H1440" s="3" t="str">
        <f>VLOOKUP(A1440,'Orders Dataset'!$A:$D,4,FALSE)</f>
        <v>Rajasthan</v>
      </c>
      <c r="I1440" s="5" t="str">
        <f>VLOOKUP(A1440,'Orders Dataset'!$A:$E,5,FALSE)</f>
        <v>Udaipur</v>
      </c>
    </row>
    <row r="1441" spans="1:9" x14ac:dyDescent="0.25">
      <c r="A1441" t="s">
        <v>173</v>
      </c>
      <c r="B1441">
        <v>1246</v>
      </c>
      <c r="C1441">
        <v>62</v>
      </c>
      <c r="D1441">
        <v>3</v>
      </c>
      <c r="E1441" t="s">
        <v>892</v>
      </c>
      <c r="F1441" t="s">
        <v>895</v>
      </c>
      <c r="G1441" t="s">
        <v>894</v>
      </c>
      <c r="H1441" s="3" t="str">
        <f>VLOOKUP(A1441,'Orders Dataset'!$A:$D,4,FALSE)</f>
        <v>Punjab</v>
      </c>
      <c r="I1441" s="5" t="str">
        <f>VLOOKUP(A1441,'Orders Dataset'!$A:$E,5,FALSE)</f>
        <v>Amritsar</v>
      </c>
    </row>
    <row r="1442" spans="1:9" x14ac:dyDescent="0.25">
      <c r="A1442" t="s">
        <v>358</v>
      </c>
      <c r="B1442">
        <v>12</v>
      </c>
      <c r="C1442">
        <v>1</v>
      </c>
      <c r="D1442">
        <v>2</v>
      </c>
      <c r="E1442" t="s">
        <v>899</v>
      </c>
      <c r="F1442" t="s">
        <v>903</v>
      </c>
      <c r="G1442" t="s">
        <v>891</v>
      </c>
      <c r="H1442" s="3" t="str">
        <f>VLOOKUP(A1442,'Orders Dataset'!$A:$D,4,FALSE)</f>
        <v>Madhya Pradesh</v>
      </c>
      <c r="I1442" s="5" t="str">
        <f>VLOOKUP(A1442,'Orders Dataset'!$A:$E,5,FALSE)</f>
        <v>Indore</v>
      </c>
    </row>
    <row r="1443" spans="1:9" x14ac:dyDescent="0.25">
      <c r="A1443" t="s">
        <v>260</v>
      </c>
      <c r="B1443">
        <v>11</v>
      </c>
      <c r="C1443">
        <v>-4</v>
      </c>
      <c r="D1443">
        <v>2</v>
      </c>
      <c r="E1443" t="s">
        <v>899</v>
      </c>
      <c r="F1443" t="s">
        <v>905</v>
      </c>
      <c r="G1443" t="s">
        <v>891</v>
      </c>
      <c r="H1443" s="3" t="str">
        <f>VLOOKUP(A1443,'Orders Dataset'!$A:$D,4,FALSE)</f>
        <v>Madhya Pradesh</v>
      </c>
      <c r="I1443" s="5" t="str">
        <f>VLOOKUP(A1443,'Orders Dataset'!$A:$E,5,FALSE)</f>
        <v>Indore</v>
      </c>
    </row>
    <row r="1444" spans="1:9" x14ac:dyDescent="0.25">
      <c r="A1444" t="s">
        <v>142</v>
      </c>
      <c r="B1444">
        <v>1327</v>
      </c>
      <c r="C1444">
        <v>318</v>
      </c>
      <c r="D1444">
        <v>8</v>
      </c>
      <c r="E1444" t="s">
        <v>892</v>
      </c>
      <c r="F1444" t="s">
        <v>893</v>
      </c>
      <c r="G1444" t="s">
        <v>894</v>
      </c>
      <c r="H1444" s="3" t="str">
        <f>VLOOKUP(A1444,'Orders Dataset'!$A:$D,4,FALSE)</f>
        <v>Nagaland</v>
      </c>
      <c r="I1444" s="5" t="str">
        <f>VLOOKUP(A1444,'Orders Dataset'!$A:$E,5,FALSE)</f>
        <v>Kohima</v>
      </c>
    </row>
    <row r="1445" spans="1:9" x14ac:dyDescent="0.25">
      <c r="A1445" t="s">
        <v>144</v>
      </c>
      <c r="B1445">
        <v>1319</v>
      </c>
      <c r="C1445">
        <v>567</v>
      </c>
      <c r="D1445">
        <v>5</v>
      </c>
      <c r="E1445" t="s">
        <v>889</v>
      </c>
      <c r="F1445" t="s">
        <v>896</v>
      </c>
      <c r="G1445" t="s">
        <v>891</v>
      </c>
      <c r="H1445" s="3" t="str">
        <f>VLOOKUP(A1445,'Orders Dataset'!$A:$D,4,FALSE)</f>
        <v>Madhya Pradesh</v>
      </c>
      <c r="I1445" s="5" t="str">
        <f>VLOOKUP(A1445,'Orders Dataset'!$A:$E,5,FALSE)</f>
        <v>Bhopal</v>
      </c>
    </row>
    <row r="1446" spans="1:9" x14ac:dyDescent="0.25">
      <c r="A1446" t="s">
        <v>124</v>
      </c>
      <c r="B1446">
        <v>1402</v>
      </c>
      <c r="C1446">
        <v>109</v>
      </c>
      <c r="D1446">
        <v>11</v>
      </c>
      <c r="E1446" t="s">
        <v>899</v>
      </c>
      <c r="F1446" t="s">
        <v>901</v>
      </c>
      <c r="G1446" t="s">
        <v>894</v>
      </c>
      <c r="H1446" s="3" t="str">
        <f>VLOOKUP(A1446,'Orders Dataset'!$A:$D,4,FALSE)</f>
        <v>Madhya Pradesh</v>
      </c>
      <c r="I1446" s="5" t="str">
        <f>VLOOKUP(A1446,'Orders Dataset'!$A:$E,5,FALSE)</f>
        <v>Indore</v>
      </c>
    </row>
    <row r="1447" spans="1:9" x14ac:dyDescent="0.25">
      <c r="A1447" t="s">
        <v>114</v>
      </c>
      <c r="B1447">
        <v>1514</v>
      </c>
      <c r="C1447">
        <v>742</v>
      </c>
      <c r="D1447">
        <v>4</v>
      </c>
      <c r="E1447" t="s">
        <v>889</v>
      </c>
      <c r="F1447" t="s">
        <v>896</v>
      </c>
      <c r="G1447" t="s">
        <v>894</v>
      </c>
      <c r="H1447" s="3" t="str">
        <f>VLOOKUP(A1447,'Orders Dataset'!$A:$D,4,FALSE)</f>
        <v>Madhya Pradesh</v>
      </c>
      <c r="I1447" s="5" t="str">
        <f>VLOOKUP(A1447,'Orders Dataset'!$A:$E,5,FALSE)</f>
        <v>Indore</v>
      </c>
    </row>
    <row r="1448" spans="1:9" x14ac:dyDescent="0.25">
      <c r="A1448" t="s">
        <v>46</v>
      </c>
      <c r="B1448">
        <v>1351</v>
      </c>
      <c r="C1448">
        <v>111</v>
      </c>
      <c r="D1448">
        <v>6</v>
      </c>
      <c r="E1448" t="s">
        <v>889</v>
      </c>
      <c r="F1448" t="s">
        <v>890</v>
      </c>
      <c r="G1448" t="s">
        <v>891</v>
      </c>
      <c r="H1448" s="3" t="str">
        <f>VLOOKUP(A1448,'Orders Dataset'!$A:$D,4,FALSE)</f>
        <v>Uttar Pradesh</v>
      </c>
      <c r="I1448" s="5" t="str">
        <f>VLOOKUP(A1448,'Orders Dataset'!$A:$E,5,FALSE)</f>
        <v>Mathura</v>
      </c>
    </row>
    <row r="1449" spans="1:9" x14ac:dyDescent="0.25">
      <c r="A1449" t="s">
        <v>136</v>
      </c>
      <c r="B1449">
        <v>1355</v>
      </c>
      <c r="C1449">
        <v>-60</v>
      </c>
      <c r="D1449">
        <v>5</v>
      </c>
      <c r="E1449" t="s">
        <v>899</v>
      </c>
      <c r="F1449" t="s">
        <v>900</v>
      </c>
      <c r="G1449" t="s">
        <v>891</v>
      </c>
      <c r="H1449" s="3" t="str">
        <f>VLOOKUP(A1449,'Orders Dataset'!$A:$D,4,FALSE)</f>
        <v>Madhya Pradesh</v>
      </c>
      <c r="I1449" s="5" t="str">
        <f>VLOOKUP(A1449,'Orders Dataset'!$A:$E,5,FALSE)</f>
        <v>Bhopal</v>
      </c>
    </row>
    <row r="1450" spans="1:9" x14ac:dyDescent="0.25">
      <c r="A1450" t="s">
        <v>472</v>
      </c>
      <c r="B1450">
        <v>10</v>
      </c>
      <c r="C1450">
        <v>2</v>
      </c>
      <c r="D1450">
        <v>2</v>
      </c>
      <c r="E1450" t="s">
        <v>899</v>
      </c>
      <c r="F1450" t="s">
        <v>903</v>
      </c>
      <c r="G1450" t="s">
        <v>891</v>
      </c>
      <c r="H1450" s="3" t="str">
        <f>VLOOKUP(A1450,'Orders Dataset'!$A:$D,4,FALSE)</f>
        <v>Nagaland</v>
      </c>
      <c r="I1450" s="5" t="str">
        <f>VLOOKUP(A1450,'Orders Dataset'!$A:$E,5,FALSE)</f>
        <v>Kohima</v>
      </c>
    </row>
    <row r="1451" spans="1:9" x14ac:dyDescent="0.25">
      <c r="A1451" t="s">
        <v>635</v>
      </c>
      <c r="B1451">
        <v>10</v>
      </c>
      <c r="C1451">
        <v>-2</v>
      </c>
      <c r="D1451">
        <v>2</v>
      </c>
      <c r="E1451" t="s">
        <v>899</v>
      </c>
      <c r="F1451" t="s">
        <v>908</v>
      </c>
      <c r="G1451" t="s">
        <v>891</v>
      </c>
      <c r="H1451" s="3" t="str">
        <f>VLOOKUP(A1451,'Orders Dataset'!$A:$D,4,FALSE)</f>
        <v>Gujarat</v>
      </c>
      <c r="I1451" s="5" t="str">
        <f>VLOOKUP(A1451,'Orders Dataset'!$A:$E,5,FALSE)</f>
        <v>Surat</v>
      </c>
    </row>
    <row r="1452" spans="1:9" x14ac:dyDescent="0.25">
      <c r="A1452" t="s">
        <v>102</v>
      </c>
      <c r="B1452">
        <v>1582</v>
      </c>
      <c r="C1452">
        <v>-443</v>
      </c>
      <c r="D1452">
        <v>6</v>
      </c>
      <c r="E1452" t="s">
        <v>899</v>
      </c>
      <c r="F1452" t="s">
        <v>900</v>
      </c>
      <c r="G1452" t="s">
        <v>894</v>
      </c>
      <c r="H1452" s="3" t="str">
        <f>VLOOKUP(A1452,'Orders Dataset'!$A:$D,4,FALSE)</f>
        <v>Karnataka</v>
      </c>
      <c r="I1452" s="5" t="str">
        <f>VLOOKUP(A1452,'Orders Dataset'!$A:$E,5,FALSE)</f>
        <v>Bangalore</v>
      </c>
    </row>
    <row r="1453" spans="1:9" x14ac:dyDescent="0.25">
      <c r="A1453" t="s">
        <v>177</v>
      </c>
      <c r="B1453">
        <v>1218</v>
      </c>
      <c r="C1453">
        <v>352</v>
      </c>
      <c r="D1453">
        <v>9</v>
      </c>
      <c r="E1453" t="s">
        <v>892</v>
      </c>
      <c r="F1453" t="s">
        <v>895</v>
      </c>
      <c r="G1453" t="s">
        <v>894</v>
      </c>
      <c r="H1453" s="3" t="str">
        <f>VLOOKUP(A1453,'Orders Dataset'!$A:$D,4,FALSE)</f>
        <v>Andhra Pradesh</v>
      </c>
      <c r="I1453" s="5" t="str">
        <f>VLOOKUP(A1453,'Orders Dataset'!$A:$E,5,FALSE)</f>
        <v>Hyderabad</v>
      </c>
    </row>
    <row r="1454" spans="1:9" x14ac:dyDescent="0.25">
      <c r="A1454" t="s">
        <v>73</v>
      </c>
      <c r="B1454">
        <v>321</v>
      </c>
      <c r="C1454">
        <v>315</v>
      </c>
      <c r="D1454">
        <v>5</v>
      </c>
      <c r="E1454" t="s">
        <v>899</v>
      </c>
      <c r="F1454" t="s">
        <v>901</v>
      </c>
      <c r="G1454" t="s">
        <v>902</v>
      </c>
      <c r="H1454" s="3" t="str">
        <f>VLOOKUP(A1454,'Orders Dataset'!$A:$D,4,FALSE)</f>
        <v>Kerala</v>
      </c>
      <c r="I1454" s="5" t="str">
        <f>VLOOKUP(A1454,'Orders Dataset'!$A:$E,5,FALSE)</f>
        <v>Thiruvananthapuram</v>
      </c>
    </row>
    <row r="1455" spans="1:9" x14ac:dyDescent="0.25">
      <c r="A1455" t="s">
        <v>292</v>
      </c>
      <c r="B1455">
        <v>736</v>
      </c>
      <c r="C1455">
        <v>346</v>
      </c>
      <c r="D1455">
        <v>5</v>
      </c>
      <c r="E1455" t="s">
        <v>889</v>
      </c>
      <c r="F1455" t="s">
        <v>896</v>
      </c>
      <c r="G1455" t="s">
        <v>891</v>
      </c>
      <c r="H1455" s="3" t="str">
        <f>VLOOKUP(A1455,'Orders Dataset'!$A:$D,4,FALSE)</f>
        <v>Kerala</v>
      </c>
      <c r="I1455" s="5" t="str">
        <f>VLOOKUP(A1455,'Orders Dataset'!$A:$E,5,FALSE)</f>
        <v>Thiruvananthapuram</v>
      </c>
    </row>
    <row r="1456" spans="1:9" x14ac:dyDescent="0.25">
      <c r="A1456" t="s">
        <v>5</v>
      </c>
      <c r="B1456">
        <v>1218</v>
      </c>
      <c r="C1456">
        <v>-420</v>
      </c>
      <c r="D1456">
        <v>8</v>
      </c>
      <c r="E1456" t="s">
        <v>892</v>
      </c>
      <c r="F1456" t="s">
        <v>895</v>
      </c>
      <c r="G1456" t="s">
        <v>891</v>
      </c>
      <c r="H1456" s="3" t="str">
        <f>VLOOKUP(A1456,'Orders Dataset'!$A:$D,4,FALSE)</f>
        <v>Uttar Pradesh</v>
      </c>
      <c r="I1456" s="5" t="str">
        <f>VLOOKUP(A1456,'Orders Dataset'!$A:$E,5,FALSE)</f>
        <v>Mathura</v>
      </c>
    </row>
    <row r="1457" spans="1:9" x14ac:dyDescent="0.25">
      <c r="A1457" t="s">
        <v>144</v>
      </c>
      <c r="B1457">
        <v>1027</v>
      </c>
      <c r="C1457">
        <v>441</v>
      </c>
      <c r="D1457">
        <v>8</v>
      </c>
      <c r="E1457" t="s">
        <v>899</v>
      </c>
      <c r="F1457" t="s">
        <v>901</v>
      </c>
      <c r="G1457" t="s">
        <v>891</v>
      </c>
      <c r="H1457" s="3" t="str">
        <f>VLOOKUP(A1457,'Orders Dataset'!$A:$D,4,FALSE)</f>
        <v>Madhya Pradesh</v>
      </c>
      <c r="I1457" s="5" t="str">
        <f>VLOOKUP(A1457,'Orders Dataset'!$A:$E,5,FALSE)</f>
        <v>Bhopal</v>
      </c>
    </row>
    <row r="1458" spans="1:9" x14ac:dyDescent="0.25">
      <c r="A1458" t="s">
        <v>469</v>
      </c>
      <c r="B1458">
        <v>10</v>
      </c>
      <c r="C1458">
        <v>5</v>
      </c>
      <c r="D1458">
        <v>1</v>
      </c>
      <c r="E1458" t="s">
        <v>899</v>
      </c>
      <c r="F1458" t="s">
        <v>907</v>
      </c>
      <c r="G1458" t="s">
        <v>891</v>
      </c>
      <c r="H1458" s="3" t="str">
        <f>VLOOKUP(A1458,'Orders Dataset'!$A:$D,4,FALSE)</f>
        <v>Delhi</v>
      </c>
      <c r="I1458" s="5" t="str">
        <f>VLOOKUP(A1458,'Orders Dataset'!$A:$E,5,FALSE)</f>
        <v>Delhi</v>
      </c>
    </row>
    <row r="1459" spans="1:9" x14ac:dyDescent="0.25">
      <c r="A1459" t="s">
        <v>42</v>
      </c>
      <c r="B1459">
        <v>2366</v>
      </c>
      <c r="C1459">
        <v>552</v>
      </c>
      <c r="D1459">
        <v>5</v>
      </c>
      <c r="E1459" t="s">
        <v>899</v>
      </c>
      <c r="F1459" t="s">
        <v>900</v>
      </c>
      <c r="G1459" t="s">
        <v>902</v>
      </c>
      <c r="H1459" s="3" t="str">
        <f>VLOOKUP(A1459,'Orders Dataset'!$A:$D,4,FALSE)</f>
        <v>Maharashtra</v>
      </c>
      <c r="I1459" s="5" t="str">
        <f>VLOOKUP(A1459,'Orders Dataset'!$A:$E,5,FALSE)</f>
        <v>Mumbai</v>
      </c>
    </row>
    <row r="1460" spans="1:9" x14ac:dyDescent="0.25">
      <c r="A1460" t="s">
        <v>555</v>
      </c>
      <c r="B1460">
        <v>9</v>
      </c>
      <c r="C1460">
        <v>-6</v>
      </c>
      <c r="D1460">
        <v>2</v>
      </c>
      <c r="E1460" t="s">
        <v>899</v>
      </c>
      <c r="F1460" t="s">
        <v>903</v>
      </c>
      <c r="G1460" t="s">
        <v>891</v>
      </c>
      <c r="H1460" s="3" t="str">
        <f>VLOOKUP(A1460,'Orders Dataset'!$A:$D,4,FALSE)</f>
        <v>Goa</v>
      </c>
      <c r="I1460" s="5" t="str">
        <f>VLOOKUP(A1460,'Orders Dataset'!$A:$E,5,FALSE)</f>
        <v>Goa</v>
      </c>
    </row>
    <row r="1461" spans="1:9" x14ac:dyDescent="0.25">
      <c r="A1461" t="s">
        <v>755</v>
      </c>
      <c r="B1461">
        <v>16</v>
      </c>
      <c r="C1461">
        <v>-12</v>
      </c>
      <c r="D1461">
        <v>2</v>
      </c>
      <c r="E1461" t="s">
        <v>899</v>
      </c>
      <c r="F1461" t="s">
        <v>907</v>
      </c>
      <c r="G1461" t="s">
        <v>902</v>
      </c>
      <c r="H1461" s="3" t="str">
        <f>VLOOKUP(A1461,'Orders Dataset'!$A:$D,4,FALSE)</f>
        <v>Maharashtra</v>
      </c>
      <c r="I1461" s="5" t="str">
        <f>VLOOKUP(A1461,'Orders Dataset'!$A:$E,5,FALSE)</f>
        <v>Mumbai</v>
      </c>
    </row>
    <row r="1462" spans="1:9" x14ac:dyDescent="0.25">
      <c r="A1462" t="s">
        <v>42</v>
      </c>
      <c r="B1462">
        <v>9</v>
      </c>
      <c r="C1462">
        <v>3</v>
      </c>
      <c r="D1462">
        <v>1</v>
      </c>
      <c r="E1462" t="s">
        <v>899</v>
      </c>
      <c r="F1462" t="s">
        <v>905</v>
      </c>
      <c r="G1462" t="s">
        <v>891</v>
      </c>
      <c r="H1462" s="3" t="str">
        <f>VLOOKUP(A1462,'Orders Dataset'!$A:$D,4,FALSE)</f>
        <v>Maharashtra</v>
      </c>
      <c r="I1462" s="5" t="str">
        <f>VLOOKUP(A1462,'Orders Dataset'!$A:$E,5,FALSE)</f>
        <v>Mumbai</v>
      </c>
    </row>
    <row r="1463" spans="1:9" x14ac:dyDescent="0.25">
      <c r="A1463" t="s">
        <v>106</v>
      </c>
      <c r="B1463">
        <v>1560</v>
      </c>
      <c r="C1463">
        <v>421</v>
      </c>
      <c r="D1463">
        <v>3</v>
      </c>
      <c r="E1463" t="s">
        <v>899</v>
      </c>
      <c r="F1463" t="s">
        <v>900</v>
      </c>
      <c r="G1463" t="s">
        <v>891</v>
      </c>
      <c r="H1463" s="3" t="str">
        <f>VLOOKUP(A1463,'Orders Dataset'!$A:$D,4,FALSE)</f>
        <v>Kerala</v>
      </c>
      <c r="I1463" s="5" t="str">
        <f>VLOOKUP(A1463,'Orders Dataset'!$A:$E,5,FALSE)</f>
        <v>Thiruvananthapuram</v>
      </c>
    </row>
    <row r="1464" spans="1:9" x14ac:dyDescent="0.25">
      <c r="A1464" t="s">
        <v>185</v>
      </c>
      <c r="B1464">
        <v>1137</v>
      </c>
      <c r="C1464">
        <v>568</v>
      </c>
      <c r="D1464">
        <v>2</v>
      </c>
      <c r="E1464" t="s">
        <v>899</v>
      </c>
      <c r="F1464" t="s">
        <v>900</v>
      </c>
      <c r="G1464" t="s">
        <v>894</v>
      </c>
      <c r="H1464" s="3" t="str">
        <f>VLOOKUP(A1464,'Orders Dataset'!$A:$D,4,FALSE)</f>
        <v>Gujarat</v>
      </c>
      <c r="I1464" s="5" t="str">
        <f>VLOOKUP(A1464,'Orders Dataset'!$A:$E,5,FALSE)</f>
        <v>Surat</v>
      </c>
    </row>
    <row r="1465" spans="1:9" x14ac:dyDescent="0.25">
      <c r="A1465" t="s">
        <v>499</v>
      </c>
      <c r="B1465">
        <v>9</v>
      </c>
      <c r="C1465">
        <v>-9</v>
      </c>
      <c r="D1465">
        <v>2</v>
      </c>
      <c r="E1465" t="s">
        <v>899</v>
      </c>
      <c r="F1465" t="s">
        <v>904</v>
      </c>
      <c r="G1465" t="s">
        <v>891</v>
      </c>
      <c r="H1465" s="3" t="str">
        <f>VLOOKUP(A1465,'Orders Dataset'!$A:$D,4,FALSE)</f>
        <v>West Bengal</v>
      </c>
      <c r="I1465" s="5" t="str">
        <f>VLOOKUP(A1465,'Orders Dataset'!$A:$E,5,FALSE)</f>
        <v>Kolkata</v>
      </c>
    </row>
    <row r="1466" spans="1:9" x14ac:dyDescent="0.25">
      <c r="A1466" t="s">
        <v>720</v>
      </c>
      <c r="B1466">
        <v>15</v>
      </c>
      <c r="C1466">
        <v>-7</v>
      </c>
      <c r="D1466">
        <v>1</v>
      </c>
      <c r="E1466" t="s">
        <v>899</v>
      </c>
      <c r="F1466" t="s">
        <v>903</v>
      </c>
      <c r="G1466" t="s">
        <v>902</v>
      </c>
      <c r="H1466" s="3" t="str">
        <f>VLOOKUP(A1466,'Orders Dataset'!$A:$D,4,FALSE)</f>
        <v>Uttar Pradesh</v>
      </c>
      <c r="I1466" s="5" t="str">
        <f>VLOOKUP(A1466,'Orders Dataset'!$A:$E,5,FALSE)</f>
        <v>Lucknow</v>
      </c>
    </row>
    <row r="1467" spans="1:9" x14ac:dyDescent="0.25">
      <c r="A1467" t="s">
        <v>315</v>
      </c>
      <c r="B1467">
        <v>14</v>
      </c>
      <c r="C1467">
        <v>5</v>
      </c>
      <c r="D1467">
        <v>1</v>
      </c>
      <c r="E1467" t="s">
        <v>899</v>
      </c>
      <c r="F1467" t="s">
        <v>903</v>
      </c>
      <c r="G1467" t="s">
        <v>902</v>
      </c>
      <c r="H1467" s="3" t="str">
        <f>VLOOKUP(A1467,'Orders Dataset'!$A:$D,4,FALSE)</f>
        <v>Karnataka</v>
      </c>
      <c r="I1467" s="5" t="str">
        <f>VLOOKUP(A1467,'Orders Dataset'!$A:$E,5,FALSE)</f>
        <v>Bangalore</v>
      </c>
    </row>
    <row r="1468" spans="1:9" x14ac:dyDescent="0.25">
      <c r="A1468" t="s">
        <v>353</v>
      </c>
      <c r="B1468">
        <v>14</v>
      </c>
      <c r="C1468">
        <v>7</v>
      </c>
      <c r="D1468">
        <v>2</v>
      </c>
      <c r="E1468" t="s">
        <v>899</v>
      </c>
      <c r="F1468" t="s">
        <v>903</v>
      </c>
      <c r="G1468" t="s">
        <v>902</v>
      </c>
      <c r="H1468" s="3" t="str">
        <f>VLOOKUP(A1468,'Orders Dataset'!$A:$D,4,FALSE)</f>
        <v>Karnataka</v>
      </c>
      <c r="I1468" s="5" t="str">
        <f>VLOOKUP(A1468,'Orders Dataset'!$A:$E,5,FALSE)</f>
        <v>Bangalore</v>
      </c>
    </row>
    <row r="1469" spans="1:9" x14ac:dyDescent="0.25">
      <c r="A1469" t="s">
        <v>132</v>
      </c>
      <c r="B1469">
        <v>8</v>
      </c>
      <c r="C1469">
        <v>-2</v>
      </c>
      <c r="D1469">
        <v>2</v>
      </c>
      <c r="E1469" t="s">
        <v>899</v>
      </c>
      <c r="F1469" t="s">
        <v>903</v>
      </c>
      <c r="G1469" t="s">
        <v>891</v>
      </c>
      <c r="H1469" s="3" t="str">
        <f>VLOOKUP(A1469,'Orders Dataset'!$A:$D,4,FALSE)</f>
        <v>Madhya Pradesh</v>
      </c>
      <c r="I1469" s="5" t="str">
        <f>VLOOKUP(A1469,'Orders Dataset'!$A:$E,5,FALSE)</f>
        <v>Indore</v>
      </c>
    </row>
    <row r="1470" spans="1:9" x14ac:dyDescent="0.25">
      <c r="A1470" t="s">
        <v>126</v>
      </c>
      <c r="B1470">
        <v>1389</v>
      </c>
      <c r="C1470">
        <v>680</v>
      </c>
      <c r="D1470">
        <v>7</v>
      </c>
      <c r="E1470" t="s">
        <v>899</v>
      </c>
      <c r="F1470" t="s">
        <v>901</v>
      </c>
      <c r="G1470" t="s">
        <v>891</v>
      </c>
      <c r="H1470" s="3" t="str">
        <f>VLOOKUP(A1470,'Orders Dataset'!$A:$D,4,FALSE)</f>
        <v>Maharashtra</v>
      </c>
      <c r="I1470" s="5" t="str">
        <f>VLOOKUP(A1470,'Orders Dataset'!$A:$E,5,FALSE)</f>
        <v>Pune</v>
      </c>
    </row>
    <row r="1471" spans="1:9" x14ac:dyDescent="0.25">
      <c r="A1471" t="s">
        <v>543</v>
      </c>
      <c r="B1471">
        <v>8</v>
      </c>
      <c r="C1471">
        <v>-1</v>
      </c>
      <c r="D1471">
        <v>2</v>
      </c>
      <c r="E1471" t="s">
        <v>899</v>
      </c>
      <c r="F1471" t="s">
        <v>908</v>
      </c>
      <c r="G1471" t="s">
        <v>891</v>
      </c>
      <c r="H1471" s="3" t="str">
        <f>VLOOKUP(A1471,'Orders Dataset'!$A:$D,4,FALSE)</f>
        <v>Rajasthan</v>
      </c>
      <c r="I1471" s="5" t="str">
        <f>VLOOKUP(A1471,'Orders Dataset'!$A:$E,5,FALSE)</f>
        <v>Jaipur</v>
      </c>
    </row>
    <row r="1472" spans="1:9" x14ac:dyDescent="0.25">
      <c r="A1472" t="s">
        <v>881</v>
      </c>
      <c r="B1472">
        <v>8</v>
      </c>
      <c r="C1472">
        <v>-2</v>
      </c>
      <c r="D1472">
        <v>1</v>
      </c>
      <c r="E1472" t="s">
        <v>899</v>
      </c>
      <c r="F1472" t="s">
        <v>907</v>
      </c>
      <c r="G1472" t="s">
        <v>891</v>
      </c>
      <c r="H1472" s="3" t="str">
        <f>VLOOKUP(A1472,'Orders Dataset'!$A:$D,4,FALSE)</f>
        <v>Himachal Pradesh</v>
      </c>
      <c r="I1472" s="5" t="str">
        <f>VLOOKUP(A1472,'Orders Dataset'!$A:$E,5,FALSE)</f>
        <v>Simla</v>
      </c>
    </row>
    <row r="1473" spans="1:9" x14ac:dyDescent="0.25">
      <c r="A1473" t="s">
        <v>93</v>
      </c>
      <c r="B1473">
        <v>13</v>
      </c>
      <c r="C1473">
        <v>4</v>
      </c>
      <c r="D1473">
        <v>1</v>
      </c>
      <c r="E1473" t="s">
        <v>899</v>
      </c>
      <c r="F1473" t="s">
        <v>908</v>
      </c>
      <c r="G1473" t="s">
        <v>902</v>
      </c>
      <c r="H1473" s="3" t="str">
        <f>VLOOKUP(A1473,'Orders Dataset'!$A:$D,4,FALSE)</f>
        <v>Madhya Pradesh</v>
      </c>
      <c r="I1473" s="5" t="str">
        <f>VLOOKUP(A1473,'Orders Dataset'!$A:$E,5,FALSE)</f>
        <v>Indore</v>
      </c>
    </row>
    <row r="1474" spans="1:9" x14ac:dyDescent="0.25">
      <c r="A1474" t="s">
        <v>880</v>
      </c>
      <c r="B1474">
        <v>8</v>
      </c>
      <c r="C1474">
        <v>-6</v>
      </c>
      <c r="D1474">
        <v>1</v>
      </c>
      <c r="E1474" t="s">
        <v>899</v>
      </c>
      <c r="F1474" t="s">
        <v>907</v>
      </c>
      <c r="G1474" t="s">
        <v>891</v>
      </c>
      <c r="H1474" s="3" t="str">
        <f>VLOOKUP(A1474,'Orders Dataset'!$A:$D,4,FALSE)</f>
        <v>Maharashtra</v>
      </c>
      <c r="I1474" s="5" t="str">
        <f>VLOOKUP(A1474,'Orders Dataset'!$A:$E,5,FALSE)</f>
        <v>Mumbai</v>
      </c>
    </row>
    <row r="1475" spans="1:9" x14ac:dyDescent="0.25">
      <c r="A1475" t="s">
        <v>89</v>
      </c>
      <c r="B1475">
        <v>12</v>
      </c>
      <c r="C1475">
        <v>2</v>
      </c>
      <c r="D1475">
        <v>2</v>
      </c>
      <c r="E1475" t="s">
        <v>899</v>
      </c>
      <c r="F1475" t="s">
        <v>905</v>
      </c>
      <c r="G1475" t="s">
        <v>897</v>
      </c>
      <c r="H1475" s="3" t="str">
        <f>VLOOKUP(A1475,'Orders Dataset'!$A:$D,4,FALSE)</f>
        <v>Maharashtra</v>
      </c>
      <c r="I1475" s="5" t="str">
        <f>VLOOKUP(A1475,'Orders Dataset'!$A:$E,5,FALSE)</f>
        <v>Pune</v>
      </c>
    </row>
    <row r="1476" spans="1:9" x14ac:dyDescent="0.25">
      <c r="A1476" t="s">
        <v>25</v>
      </c>
      <c r="B1476">
        <v>1716</v>
      </c>
      <c r="C1476">
        <v>309</v>
      </c>
      <c r="D1476">
        <v>7</v>
      </c>
      <c r="E1476" t="s">
        <v>889</v>
      </c>
      <c r="F1476" t="s">
        <v>909</v>
      </c>
      <c r="G1476" t="s">
        <v>891</v>
      </c>
      <c r="H1476" s="3" t="str">
        <f>VLOOKUP(A1476,'Orders Dataset'!$A:$D,4,FALSE)</f>
        <v>Maharashtra</v>
      </c>
      <c r="I1476" s="5" t="str">
        <f>VLOOKUP(A1476,'Orders Dataset'!$A:$E,5,FALSE)</f>
        <v>Pune</v>
      </c>
    </row>
    <row r="1477" spans="1:9" x14ac:dyDescent="0.25">
      <c r="A1477" t="s">
        <v>194</v>
      </c>
      <c r="B1477">
        <v>1117</v>
      </c>
      <c r="C1477">
        <v>447</v>
      </c>
      <c r="D1477">
        <v>10</v>
      </c>
      <c r="E1477" t="s">
        <v>892</v>
      </c>
      <c r="F1477" t="s">
        <v>895</v>
      </c>
      <c r="G1477" t="s">
        <v>894</v>
      </c>
      <c r="H1477" s="3" t="str">
        <f>VLOOKUP(A1477,'Orders Dataset'!$A:$D,4,FALSE)</f>
        <v>Haryana</v>
      </c>
      <c r="I1477" s="5" t="str">
        <f>VLOOKUP(A1477,'Orders Dataset'!$A:$E,5,FALSE)</f>
        <v>Chandigarh</v>
      </c>
    </row>
    <row r="1478" spans="1:9" x14ac:dyDescent="0.25">
      <c r="A1478" t="s">
        <v>436</v>
      </c>
      <c r="B1478">
        <v>9</v>
      </c>
      <c r="C1478">
        <v>-6</v>
      </c>
      <c r="D1478">
        <v>2</v>
      </c>
      <c r="E1478" t="s">
        <v>899</v>
      </c>
      <c r="F1478" t="s">
        <v>905</v>
      </c>
      <c r="G1478" t="s">
        <v>897</v>
      </c>
      <c r="H1478" s="3" t="str">
        <f>VLOOKUP(A1478,'Orders Dataset'!$A:$D,4,FALSE)</f>
        <v>Madhya Pradesh</v>
      </c>
      <c r="I1478" s="5" t="str">
        <f>VLOOKUP(A1478,'Orders Dataset'!$A:$E,5,FALSE)</f>
        <v>Indore</v>
      </c>
    </row>
    <row r="1479" spans="1:9" x14ac:dyDescent="0.25">
      <c r="A1479" t="s">
        <v>64</v>
      </c>
      <c r="B1479">
        <v>332</v>
      </c>
      <c r="C1479">
        <v>503</v>
      </c>
      <c r="D1479">
        <v>3</v>
      </c>
      <c r="E1479" t="s">
        <v>889</v>
      </c>
      <c r="F1479" t="s">
        <v>896</v>
      </c>
      <c r="G1479" t="s">
        <v>891</v>
      </c>
      <c r="H1479" s="3" t="str">
        <f>VLOOKUP(A1479,'Orders Dataset'!$A:$D,4,FALSE)</f>
        <v>Himachal Pradesh</v>
      </c>
      <c r="I1479" s="5" t="str">
        <f>VLOOKUP(A1479,'Orders Dataset'!$A:$E,5,FALSE)</f>
        <v>Simla</v>
      </c>
    </row>
    <row r="1480" spans="1:9" x14ac:dyDescent="0.25">
      <c r="A1480" t="s">
        <v>436</v>
      </c>
      <c r="B1480">
        <v>7</v>
      </c>
      <c r="C1480">
        <v>-4</v>
      </c>
      <c r="D1480">
        <v>3</v>
      </c>
      <c r="E1480" t="s">
        <v>899</v>
      </c>
      <c r="F1480" t="s">
        <v>903</v>
      </c>
      <c r="G1480" t="s">
        <v>891</v>
      </c>
      <c r="H1480" s="3" t="str">
        <f>VLOOKUP(A1480,'Orders Dataset'!$A:$D,4,FALSE)</f>
        <v>Madhya Pradesh</v>
      </c>
      <c r="I1480" s="5" t="str">
        <f>VLOOKUP(A1480,'Orders Dataset'!$A:$E,5,FALSE)</f>
        <v>Indore</v>
      </c>
    </row>
    <row r="1481" spans="1:9" x14ac:dyDescent="0.25">
      <c r="A1481" t="s">
        <v>160</v>
      </c>
      <c r="B1481">
        <v>8</v>
      </c>
      <c r="C1481">
        <v>-2</v>
      </c>
      <c r="D1481">
        <v>3</v>
      </c>
      <c r="E1481" t="s">
        <v>899</v>
      </c>
      <c r="F1481" t="s">
        <v>903</v>
      </c>
      <c r="G1481" t="s">
        <v>897</v>
      </c>
      <c r="H1481" s="3" t="str">
        <f>VLOOKUP(A1481,'Orders Dataset'!$A:$D,4,FALSE)</f>
        <v>Gujarat</v>
      </c>
      <c r="I1481" s="5" t="str">
        <f>VLOOKUP(A1481,'Orders Dataset'!$A:$E,5,FALSE)</f>
        <v>Ahmedabad</v>
      </c>
    </row>
    <row r="1482" spans="1:9" x14ac:dyDescent="0.25">
      <c r="A1482" t="s">
        <v>55</v>
      </c>
      <c r="B1482">
        <v>2061</v>
      </c>
      <c r="C1482">
        <v>701</v>
      </c>
      <c r="D1482">
        <v>5</v>
      </c>
      <c r="E1482" t="s">
        <v>892</v>
      </c>
      <c r="F1482" t="s">
        <v>895</v>
      </c>
      <c r="G1482" t="s">
        <v>902</v>
      </c>
      <c r="H1482" s="3" t="str">
        <f>VLOOKUP(A1482,'Orders Dataset'!$A:$D,4,FALSE)</f>
        <v>Bihar</v>
      </c>
      <c r="I1482" s="5" t="str">
        <f>VLOOKUP(A1482,'Orders Dataset'!$A:$E,5,FALSE)</f>
        <v>Patna</v>
      </c>
    </row>
    <row r="1483" spans="1:9" x14ac:dyDescent="0.25">
      <c r="A1483" t="s">
        <v>196</v>
      </c>
      <c r="B1483">
        <v>1103</v>
      </c>
      <c r="C1483">
        <v>276</v>
      </c>
      <c r="D1483">
        <v>3</v>
      </c>
      <c r="E1483" t="s">
        <v>892</v>
      </c>
      <c r="F1483" t="s">
        <v>893</v>
      </c>
      <c r="G1483" t="s">
        <v>894</v>
      </c>
      <c r="H1483" s="3" t="str">
        <f>VLOOKUP(A1483,'Orders Dataset'!$A:$D,4,FALSE)</f>
        <v>Maharashtra</v>
      </c>
      <c r="I1483" s="5" t="str">
        <f>VLOOKUP(A1483,'Orders Dataset'!$A:$E,5,FALSE)</f>
        <v>Mumbai</v>
      </c>
    </row>
    <row r="1484" spans="1:9" x14ac:dyDescent="0.25">
      <c r="A1484" t="s">
        <v>50</v>
      </c>
      <c r="B1484">
        <v>2103</v>
      </c>
      <c r="C1484">
        <v>322</v>
      </c>
      <c r="D1484">
        <v>8</v>
      </c>
      <c r="E1484" t="s">
        <v>889</v>
      </c>
      <c r="F1484" t="s">
        <v>890</v>
      </c>
      <c r="G1484" t="s">
        <v>902</v>
      </c>
      <c r="H1484" s="3" t="str">
        <f>VLOOKUP(A1484,'Orders Dataset'!$A:$D,4,FALSE)</f>
        <v>Maharashtra</v>
      </c>
      <c r="I1484" s="5" t="str">
        <f>VLOOKUP(A1484,'Orders Dataset'!$A:$E,5,FALSE)</f>
        <v>Mumbai</v>
      </c>
    </row>
    <row r="1485" spans="1:9" x14ac:dyDescent="0.25">
      <c r="A1485" t="s">
        <v>46</v>
      </c>
      <c r="B1485">
        <v>2115</v>
      </c>
      <c r="C1485">
        <v>23</v>
      </c>
      <c r="D1485">
        <v>5</v>
      </c>
      <c r="E1485" t="s">
        <v>892</v>
      </c>
      <c r="F1485" t="s">
        <v>893</v>
      </c>
      <c r="G1485" t="s">
        <v>891</v>
      </c>
      <c r="H1485" s="3" t="str">
        <f>VLOOKUP(A1485,'Orders Dataset'!$A:$D,4,FALSE)</f>
        <v>Uttar Pradesh</v>
      </c>
      <c r="I1485" s="5" t="str">
        <f>VLOOKUP(A1485,'Orders Dataset'!$A:$E,5,FALSE)</f>
        <v>Mathura</v>
      </c>
    </row>
    <row r="1486" spans="1:9" x14ac:dyDescent="0.25">
      <c r="A1486" t="s">
        <v>91</v>
      </c>
      <c r="B1486">
        <v>850</v>
      </c>
      <c r="C1486">
        <v>-289</v>
      </c>
      <c r="D1486">
        <v>5</v>
      </c>
      <c r="E1486" t="s">
        <v>889</v>
      </c>
      <c r="F1486" t="s">
        <v>890</v>
      </c>
      <c r="G1486" t="s">
        <v>891</v>
      </c>
      <c r="H1486" s="3" t="str">
        <f>VLOOKUP(A1486,'Orders Dataset'!$A:$D,4,FALSE)</f>
        <v>Delhi</v>
      </c>
      <c r="I1486" s="5" t="str">
        <f>VLOOKUP(A1486,'Orders Dataset'!$A:$E,5,FALSE)</f>
        <v>Delhi</v>
      </c>
    </row>
    <row r="1487" spans="1:9" x14ac:dyDescent="0.25">
      <c r="A1487" t="s">
        <v>59</v>
      </c>
      <c r="B1487">
        <v>1063</v>
      </c>
      <c r="C1487">
        <v>64</v>
      </c>
      <c r="D1487">
        <v>7</v>
      </c>
      <c r="E1487" t="s">
        <v>889</v>
      </c>
      <c r="F1487" t="s">
        <v>898</v>
      </c>
      <c r="G1487" t="s">
        <v>894</v>
      </c>
      <c r="H1487" s="3" t="str">
        <f>VLOOKUP(A1487,'Orders Dataset'!$A:$D,4,FALSE)</f>
        <v>Himachal Pradesh</v>
      </c>
      <c r="I1487" s="5" t="str">
        <f>VLOOKUP(A1487,'Orders Dataset'!$A:$E,5,FALSE)</f>
        <v>Simla</v>
      </c>
    </row>
    <row r="1488" spans="1:9" x14ac:dyDescent="0.25">
      <c r="A1488" t="s">
        <v>204</v>
      </c>
      <c r="B1488">
        <v>1063</v>
      </c>
      <c r="C1488">
        <v>-175</v>
      </c>
      <c r="D1488">
        <v>4</v>
      </c>
      <c r="E1488" t="s">
        <v>889</v>
      </c>
      <c r="F1488" t="s">
        <v>890</v>
      </c>
      <c r="G1488" t="s">
        <v>894</v>
      </c>
      <c r="H1488" s="3" t="str">
        <f>VLOOKUP(A1488,'Orders Dataset'!$A:$D,4,FALSE)</f>
        <v>Maharashtra</v>
      </c>
      <c r="I1488" s="5" t="str">
        <f>VLOOKUP(A1488,'Orders Dataset'!$A:$E,5,FALSE)</f>
        <v>Mumbai</v>
      </c>
    </row>
    <row r="1489" spans="1:9" x14ac:dyDescent="0.25">
      <c r="A1489" t="s">
        <v>44</v>
      </c>
      <c r="B1489">
        <v>2292</v>
      </c>
      <c r="C1489">
        <v>127</v>
      </c>
      <c r="D1489">
        <v>7</v>
      </c>
      <c r="E1489" t="s">
        <v>892</v>
      </c>
      <c r="F1489" t="s">
        <v>895</v>
      </c>
      <c r="G1489" t="s">
        <v>891</v>
      </c>
      <c r="H1489" s="3" t="str">
        <f>VLOOKUP(A1489,'Orders Dataset'!$A:$D,4,FALSE)</f>
        <v>Maharashtra</v>
      </c>
      <c r="I1489" s="5" t="str">
        <f>VLOOKUP(A1489,'Orders Dataset'!$A:$E,5,FALSE)</f>
        <v>Pune</v>
      </c>
    </row>
    <row r="1490" spans="1:9" x14ac:dyDescent="0.25">
      <c r="A1490" t="s">
        <v>541</v>
      </c>
      <c r="B1490">
        <v>7</v>
      </c>
      <c r="C1490">
        <v>-1</v>
      </c>
      <c r="D1490">
        <v>2</v>
      </c>
      <c r="E1490" t="s">
        <v>899</v>
      </c>
      <c r="F1490" t="s">
        <v>903</v>
      </c>
      <c r="G1490" t="s">
        <v>897</v>
      </c>
      <c r="H1490" s="3" t="str">
        <f>VLOOKUP(A1490,'Orders Dataset'!$A:$D,4,FALSE)</f>
        <v>Jammu and Kashmir</v>
      </c>
      <c r="I1490" s="5" t="str">
        <f>VLOOKUP(A1490,'Orders Dataset'!$A:$E,5,FALSE)</f>
        <v>Kashmir</v>
      </c>
    </row>
    <row r="1491" spans="1:9" x14ac:dyDescent="0.25">
      <c r="A1491" t="s">
        <v>38</v>
      </c>
      <c r="B1491">
        <v>2452</v>
      </c>
      <c r="C1491">
        <v>191</v>
      </c>
      <c r="D1491">
        <v>7</v>
      </c>
      <c r="E1491" t="s">
        <v>892</v>
      </c>
      <c r="F1491" t="s">
        <v>895</v>
      </c>
      <c r="G1491" t="s">
        <v>902</v>
      </c>
      <c r="H1491" s="3" t="str">
        <f>VLOOKUP(A1491,'Orders Dataset'!$A:$D,4,FALSE)</f>
        <v>Gujarat</v>
      </c>
      <c r="I1491" s="5" t="str">
        <f>VLOOKUP(A1491,'Orders Dataset'!$A:$E,5,FALSE)</f>
        <v>Surat</v>
      </c>
    </row>
    <row r="1492" spans="1:9" x14ac:dyDescent="0.25">
      <c r="A1492" t="s">
        <v>36</v>
      </c>
      <c r="B1492">
        <v>2457</v>
      </c>
      <c r="C1492">
        <v>665</v>
      </c>
      <c r="D1492">
        <v>11</v>
      </c>
      <c r="E1492" t="s">
        <v>889</v>
      </c>
      <c r="F1492" t="s">
        <v>890</v>
      </c>
      <c r="G1492" t="s">
        <v>894</v>
      </c>
      <c r="H1492" s="3" t="str">
        <f>VLOOKUP(A1492,'Orders Dataset'!$A:$D,4,FALSE)</f>
        <v>Maharashtra</v>
      </c>
      <c r="I1492" s="5" t="str">
        <f>VLOOKUP(A1492,'Orders Dataset'!$A:$E,5,FALSE)</f>
        <v>Mumbai</v>
      </c>
    </row>
    <row r="1493" spans="1:9" x14ac:dyDescent="0.25">
      <c r="A1493" t="s">
        <v>154</v>
      </c>
      <c r="B1493">
        <v>4</v>
      </c>
      <c r="C1493">
        <v>-3</v>
      </c>
      <c r="D1493">
        <v>1</v>
      </c>
      <c r="E1493" t="s">
        <v>899</v>
      </c>
      <c r="F1493" t="s">
        <v>905</v>
      </c>
      <c r="G1493" t="s">
        <v>897</v>
      </c>
      <c r="H1493" s="3" t="str">
        <f>VLOOKUP(A1493,'Orders Dataset'!$A:$D,4,FALSE)</f>
        <v>Jammu and Kashmir</v>
      </c>
      <c r="I1493" s="5" t="str">
        <f>VLOOKUP(A1493,'Orders Dataset'!$A:$E,5,FALSE)</f>
        <v>Kashmir</v>
      </c>
    </row>
    <row r="1494" spans="1:9" x14ac:dyDescent="0.25">
      <c r="A1494" t="s">
        <v>30</v>
      </c>
      <c r="B1494">
        <v>2830</v>
      </c>
      <c r="C1494">
        <v>-1981</v>
      </c>
      <c r="D1494">
        <v>13</v>
      </c>
      <c r="E1494" t="s">
        <v>892</v>
      </c>
      <c r="F1494" t="s">
        <v>895</v>
      </c>
      <c r="G1494" t="s">
        <v>894</v>
      </c>
      <c r="H1494" s="3" t="str">
        <f>VLOOKUP(A1494,'Orders Dataset'!$A:$D,4,FALSE)</f>
        <v>Andhra Pradesh</v>
      </c>
      <c r="I1494" s="5" t="str">
        <f>VLOOKUP(A1494,'Orders Dataset'!$A:$E,5,FALSE)</f>
        <v>Hyderabad</v>
      </c>
    </row>
    <row r="1495" spans="1:9" x14ac:dyDescent="0.25">
      <c r="A1495" t="s">
        <v>162</v>
      </c>
      <c r="B1495">
        <v>7</v>
      </c>
      <c r="C1495">
        <v>1</v>
      </c>
      <c r="D1495">
        <v>1</v>
      </c>
      <c r="E1495" t="s">
        <v>899</v>
      </c>
      <c r="F1495" t="s">
        <v>903</v>
      </c>
      <c r="G1495" t="s">
        <v>891</v>
      </c>
      <c r="H1495" s="3" t="str">
        <f>VLOOKUP(A1495,'Orders Dataset'!$A:$D,4,FALSE)</f>
        <v>Madhya Pradesh</v>
      </c>
      <c r="I1495" s="5" t="str">
        <f>VLOOKUP(A1495,'Orders Dataset'!$A:$E,5,FALSE)</f>
        <v>Indore</v>
      </c>
    </row>
    <row r="1496" spans="1:9" x14ac:dyDescent="0.25">
      <c r="A1496" t="s">
        <v>777</v>
      </c>
      <c r="B1496">
        <v>7</v>
      </c>
      <c r="C1496">
        <v>0</v>
      </c>
      <c r="D1496">
        <v>2</v>
      </c>
      <c r="E1496" t="s">
        <v>899</v>
      </c>
      <c r="F1496" t="s">
        <v>905</v>
      </c>
      <c r="G1496" t="s">
        <v>891</v>
      </c>
      <c r="H1496" s="3" t="str">
        <f>VLOOKUP(A1496,'Orders Dataset'!$A:$D,4,FALSE)</f>
        <v>Maharashtra</v>
      </c>
      <c r="I1496" s="5" t="str">
        <f>VLOOKUP(A1496,'Orders Dataset'!$A:$E,5,FALSE)</f>
        <v>Mumbai</v>
      </c>
    </row>
    <row r="1497" spans="1:9" x14ac:dyDescent="0.25">
      <c r="A1497" t="s">
        <v>663</v>
      </c>
      <c r="B1497">
        <v>7</v>
      </c>
      <c r="C1497">
        <v>-3</v>
      </c>
      <c r="D1497">
        <v>2</v>
      </c>
      <c r="E1497" t="s">
        <v>899</v>
      </c>
      <c r="F1497" t="s">
        <v>903</v>
      </c>
      <c r="G1497" t="s">
        <v>891</v>
      </c>
      <c r="H1497" s="3" t="str">
        <f>VLOOKUP(A1497,'Orders Dataset'!$A:$D,4,FALSE)</f>
        <v>Maharashtra</v>
      </c>
      <c r="I1497" s="5" t="str">
        <f>VLOOKUP(A1497,'Orders Dataset'!$A:$E,5,FALSE)</f>
        <v>Mumbai</v>
      </c>
    </row>
    <row r="1498" spans="1:9" x14ac:dyDescent="0.25">
      <c r="A1498" t="s">
        <v>18</v>
      </c>
      <c r="B1498">
        <v>3151</v>
      </c>
      <c r="C1498">
        <v>-35</v>
      </c>
      <c r="D1498">
        <v>7</v>
      </c>
      <c r="E1498" t="s">
        <v>899</v>
      </c>
      <c r="F1498" t="s">
        <v>900</v>
      </c>
      <c r="G1498" t="s">
        <v>894</v>
      </c>
      <c r="H1498" s="3" t="str">
        <f>VLOOKUP(A1498,'Orders Dataset'!$A:$D,4,FALSE)</f>
        <v>Madhya Pradesh</v>
      </c>
      <c r="I1498" s="5" t="str">
        <f>VLOOKUP(A1498,'Orders Dataset'!$A:$E,5,FALSE)</f>
        <v>Indore</v>
      </c>
    </row>
    <row r="1499" spans="1:9" x14ac:dyDescent="0.25">
      <c r="A1499" t="s">
        <v>12</v>
      </c>
      <c r="B1499">
        <v>4141</v>
      </c>
      <c r="C1499">
        <v>1698</v>
      </c>
      <c r="D1499">
        <v>13</v>
      </c>
      <c r="E1499" t="s">
        <v>889</v>
      </c>
      <c r="F1499" t="s">
        <v>896</v>
      </c>
      <c r="G1499" t="s">
        <v>891</v>
      </c>
      <c r="H1499" s="3" t="str">
        <f>VLOOKUP(A1499,'Orders Dataset'!$A:$D,4,FALSE)</f>
        <v>Uttar Pradesh</v>
      </c>
      <c r="I1499" s="5" t="str">
        <f>VLOOKUP(A1499,'Orders Dataset'!$A:$E,5,FALSE)</f>
        <v>Mathura</v>
      </c>
    </row>
    <row r="1500" spans="1:9" x14ac:dyDescent="0.25">
      <c r="A1500" t="s">
        <v>381</v>
      </c>
      <c r="B1500">
        <v>7</v>
      </c>
      <c r="C1500">
        <v>-2</v>
      </c>
      <c r="D1500">
        <v>1</v>
      </c>
      <c r="E1500" t="s">
        <v>899</v>
      </c>
      <c r="F1500" t="s">
        <v>903</v>
      </c>
      <c r="G1500" t="s">
        <v>891</v>
      </c>
      <c r="H1500" s="3" t="str">
        <f>VLOOKUP(A1500,'Orders Dataset'!$A:$D,4,FALSE)</f>
        <v>Tamil Nadu</v>
      </c>
      <c r="I1500" s="5" t="str">
        <f>VLOOKUP(A1500,'Orders Dataset'!$A:$E,5,FALSE)</f>
        <v>Chennai</v>
      </c>
    </row>
    <row r="1501" spans="1:9" x14ac:dyDescent="0.25">
      <c r="A1501" t="s">
        <v>9</v>
      </c>
      <c r="B1501">
        <v>4363</v>
      </c>
      <c r="C1501">
        <v>305</v>
      </c>
      <c r="D1501">
        <v>5</v>
      </c>
      <c r="E1501" t="s">
        <v>892</v>
      </c>
      <c r="F1501" t="s">
        <v>906</v>
      </c>
      <c r="G1501" t="s">
        <v>894</v>
      </c>
      <c r="H1501" s="3" t="str">
        <f>VLOOKUP(A1501,'Orders Dataset'!$A:$D,4,FALSE)</f>
        <v>Delhi</v>
      </c>
      <c r="I1501" s="5" t="str">
        <f>VLOOKUP(A1501,'Orders Dataset'!$A:$E,5,FALSE)</f>
        <v>Delhi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7C854-07A3-4A51-B378-74E4F7398192}">
  <dimension ref="A1:I1501"/>
  <sheetViews>
    <sheetView workbookViewId="0">
      <selection activeCell="B5" sqref="B5"/>
    </sheetView>
  </sheetViews>
  <sheetFormatPr defaultRowHeight="15" x14ac:dyDescent="0.25"/>
  <cols>
    <col min="8" max="8" width="11.7109375" customWidth="1"/>
  </cols>
  <sheetData>
    <row r="1" spans="1:9" s="2" customFormat="1" x14ac:dyDescent="0.25">
      <c r="A1" s="2" t="s">
        <v>883</v>
      </c>
      <c r="B1" s="2" t="s">
        <v>884</v>
      </c>
    </row>
    <row r="2" spans="1:9" x14ac:dyDescent="0.25">
      <c r="A2">
        <v>1096</v>
      </c>
      <c r="B2">
        <v>658</v>
      </c>
      <c r="D2" s="14" t="s">
        <v>914</v>
      </c>
      <c r="E2" s="14"/>
      <c r="F2" s="14"/>
    </row>
    <row r="3" spans="1:9" x14ac:dyDescent="0.25">
      <c r="A3">
        <v>5729</v>
      </c>
      <c r="B3">
        <v>64</v>
      </c>
      <c r="D3" s="4">
        <f>CORREL(A1:A1501,B1:B1501)</f>
        <v>0.30924223604216033</v>
      </c>
      <c r="E3" t="s">
        <v>915</v>
      </c>
      <c r="F3" s="15" t="s">
        <v>916</v>
      </c>
      <c r="G3" s="15"/>
      <c r="H3" s="15"/>
    </row>
    <row r="4" spans="1:9" x14ac:dyDescent="0.25">
      <c r="A4">
        <v>2927</v>
      </c>
      <c r="B4">
        <v>146</v>
      </c>
    </row>
    <row r="5" spans="1:9" x14ac:dyDescent="0.25">
      <c r="A5">
        <v>2847</v>
      </c>
      <c r="B5">
        <v>712</v>
      </c>
      <c r="D5" s="16" t="s">
        <v>917</v>
      </c>
      <c r="E5" s="16"/>
      <c r="F5" s="16"/>
      <c r="G5" s="16"/>
      <c r="H5" s="16"/>
      <c r="I5" s="16"/>
    </row>
    <row r="6" spans="1:9" x14ac:dyDescent="0.25">
      <c r="A6">
        <v>2617</v>
      </c>
      <c r="B6">
        <v>1151</v>
      </c>
    </row>
    <row r="7" spans="1:9" x14ac:dyDescent="0.25">
      <c r="A7">
        <v>2244</v>
      </c>
      <c r="B7">
        <v>247</v>
      </c>
    </row>
    <row r="8" spans="1:9" x14ac:dyDescent="0.25">
      <c r="A8">
        <v>275</v>
      </c>
      <c r="B8">
        <v>-275</v>
      </c>
    </row>
    <row r="9" spans="1:9" x14ac:dyDescent="0.25">
      <c r="A9">
        <v>387</v>
      </c>
      <c r="B9">
        <v>-213</v>
      </c>
    </row>
    <row r="10" spans="1:9" x14ac:dyDescent="0.25">
      <c r="A10">
        <v>50</v>
      </c>
      <c r="B10">
        <v>-44</v>
      </c>
    </row>
    <row r="11" spans="1:9" x14ac:dyDescent="0.25">
      <c r="A11">
        <v>135</v>
      </c>
      <c r="B11">
        <v>-54</v>
      </c>
    </row>
    <row r="12" spans="1:9" x14ac:dyDescent="0.25">
      <c r="A12">
        <v>231</v>
      </c>
      <c r="B12">
        <v>-190</v>
      </c>
    </row>
    <row r="13" spans="1:9" x14ac:dyDescent="0.25">
      <c r="A13">
        <v>2125</v>
      </c>
      <c r="B13">
        <v>-234</v>
      </c>
    </row>
    <row r="14" spans="1:9" x14ac:dyDescent="0.25">
      <c r="A14">
        <v>3873</v>
      </c>
      <c r="B14">
        <v>-891</v>
      </c>
    </row>
    <row r="15" spans="1:9" x14ac:dyDescent="0.25">
      <c r="A15">
        <v>729</v>
      </c>
      <c r="B15">
        <v>-492</v>
      </c>
    </row>
    <row r="16" spans="1:9" x14ac:dyDescent="0.25">
      <c r="A16">
        <v>2188</v>
      </c>
      <c r="B16">
        <v>1050</v>
      </c>
    </row>
    <row r="17" spans="1:2" x14ac:dyDescent="0.25">
      <c r="A17">
        <v>6</v>
      </c>
      <c r="B17">
        <v>-3</v>
      </c>
    </row>
    <row r="18" spans="1:2" x14ac:dyDescent="0.25">
      <c r="A18">
        <v>1854</v>
      </c>
      <c r="B18">
        <v>433</v>
      </c>
    </row>
    <row r="19" spans="1:2" x14ac:dyDescent="0.25">
      <c r="A19">
        <v>6</v>
      </c>
      <c r="B19">
        <v>1</v>
      </c>
    </row>
    <row r="20" spans="1:2" x14ac:dyDescent="0.25">
      <c r="A20">
        <v>2093</v>
      </c>
      <c r="B20">
        <v>721</v>
      </c>
    </row>
    <row r="21" spans="1:2" x14ac:dyDescent="0.25">
      <c r="A21">
        <v>7</v>
      </c>
      <c r="B21">
        <v>-1</v>
      </c>
    </row>
    <row r="22" spans="1:2" x14ac:dyDescent="0.25">
      <c r="A22">
        <v>1622</v>
      </c>
      <c r="B22">
        <v>-624</v>
      </c>
    </row>
    <row r="23" spans="1:2" x14ac:dyDescent="0.25">
      <c r="A23">
        <v>1622</v>
      </c>
      <c r="B23">
        <v>95</v>
      </c>
    </row>
    <row r="24" spans="1:2" x14ac:dyDescent="0.25">
      <c r="A24">
        <v>373</v>
      </c>
      <c r="B24">
        <v>254</v>
      </c>
    </row>
    <row r="25" spans="1:2" x14ac:dyDescent="0.25">
      <c r="A25">
        <v>82</v>
      </c>
      <c r="B25">
        <v>-33</v>
      </c>
    </row>
    <row r="26" spans="1:2" x14ac:dyDescent="0.25">
      <c r="A26">
        <v>8</v>
      </c>
      <c r="B26">
        <v>2</v>
      </c>
    </row>
    <row r="27" spans="1:2" x14ac:dyDescent="0.25">
      <c r="A27">
        <v>1954</v>
      </c>
      <c r="B27">
        <v>782</v>
      </c>
    </row>
    <row r="28" spans="1:2" x14ac:dyDescent="0.25">
      <c r="A28">
        <v>1543</v>
      </c>
      <c r="B28">
        <v>370</v>
      </c>
    </row>
    <row r="29" spans="1:2" x14ac:dyDescent="0.25">
      <c r="A29">
        <v>1506</v>
      </c>
      <c r="B29">
        <v>-266</v>
      </c>
    </row>
    <row r="30" spans="1:2" x14ac:dyDescent="0.25">
      <c r="A30">
        <v>1829</v>
      </c>
      <c r="B30">
        <v>-56</v>
      </c>
    </row>
    <row r="31" spans="1:2" x14ac:dyDescent="0.25">
      <c r="A31">
        <v>9</v>
      </c>
      <c r="B31">
        <v>-1</v>
      </c>
    </row>
    <row r="32" spans="1:2" x14ac:dyDescent="0.25">
      <c r="A32">
        <v>1461</v>
      </c>
      <c r="B32">
        <v>202</v>
      </c>
    </row>
    <row r="33" spans="1:2" x14ac:dyDescent="0.25">
      <c r="A33">
        <v>391</v>
      </c>
      <c r="B33">
        <v>113</v>
      </c>
    </row>
    <row r="34" spans="1:2" x14ac:dyDescent="0.25">
      <c r="A34">
        <v>1824</v>
      </c>
      <c r="B34">
        <v>1303</v>
      </c>
    </row>
    <row r="35" spans="1:2" x14ac:dyDescent="0.25">
      <c r="A35">
        <v>16</v>
      </c>
      <c r="B35">
        <v>-15</v>
      </c>
    </row>
    <row r="36" spans="1:2" x14ac:dyDescent="0.25">
      <c r="A36">
        <v>1745</v>
      </c>
      <c r="B36">
        <v>122</v>
      </c>
    </row>
    <row r="37" spans="1:2" x14ac:dyDescent="0.25">
      <c r="A37">
        <v>663</v>
      </c>
      <c r="B37">
        <v>-212</v>
      </c>
    </row>
    <row r="38" spans="1:2" x14ac:dyDescent="0.25">
      <c r="A38">
        <v>10</v>
      </c>
      <c r="B38">
        <v>-1</v>
      </c>
    </row>
    <row r="39" spans="1:2" x14ac:dyDescent="0.25">
      <c r="A39">
        <v>1630</v>
      </c>
      <c r="B39">
        <v>802</v>
      </c>
    </row>
    <row r="40" spans="1:2" x14ac:dyDescent="0.25">
      <c r="A40">
        <v>12</v>
      </c>
      <c r="B40">
        <v>0</v>
      </c>
    </row>
    <row r="41" spans="1:2" x14ac:dyDescent="0.25">
      <c r="A41">
        <v>12</v>
      </c>
      <c r="B41">
        <v>-7</v>
      </c>
    </row>
    <row r="42" spans="1:2" x14ac:dyDescent="0.25">
      <c r="A42">
        <v>1709</v>
      </c>
      <c r="B42">
        <v>564</v>
      </c>
    </row>
    <row r="43" spans="1:2" x14ac:dyDescent="0.25">
      <c r="A43">
        <v>12</v>
      </c>
      <c r="B43">
        <v>3</v>
      </c>
    </row>
    <row r="44" spans="1:2" x14ac:dyDescent="0.25">
      <c r="A44">
        <v>1625</v>
      </c>
      <c r="B44">
        <v>-77</v>
      </c>
    </row>
    <row r="45" spans="1:2" x14ac:dyDescent="0.25">
      <c r="A45">
        <v>13</v>
      </c>
      <c r="B45">
        <v>5</v>
      </c>
    </row>
    <row r="46" spans="1:2" x14ac:dyDescent="0.25">
      <c r="A46">
        <v>1361</v>
      </c>
      <c r="B46">
        <v>980</v>
      </c>
    </row>
    <row r="47" spans="1:2" x14ac:dyDescent="0.25">
      <c r="A47">
        <v>1622</v>
      </c>
      <c r="B47">
        <v>-448</v>
      </c>
    </row>
    <row r="48" spans="1:2" x14ac:dyDescent="0.25">
      <c r="A48">
        <v>1547</v>
      </c>
      <c r="B48">
        <v>340</v>
      </c>
    </row>
    <row r="49" spans="1:2" x14ac:dyDescent="0.25">
      <c r="A49">
        <v>1657</v>
      </c>
      <c r="B49">
        <v>460</v>
      </c>
    </row>
    <row r="50" spans="1:2" x14ac:dyDescent="0.25">
      <c r="A50">
        <v>1603</v>
      </c>
      <c r="B50">
        <v>0</v>
      </c>
    </row>
    <row r="51" spans="1:2" x14ac:dyDescent="0.25">
      <c r="A51">
        <v>1549</v>
      </c>
      <c r="B51">
        <v>-439</v>
      </c>
    </row>
    <row r="52" spans="1:2" x14ac:dyDescent="0.25">
      <c r="A52">
        <v>1183</v>
      </c>
      <c r="B52">
        <v>106</v>
      </c>
    </row>
    <row r="53" spans="1:2" x14ac:dyDescent="0.25">
      <c r="A53">
        <v>74</v>
      </c>
      <c r="B53">
        <v>-123</v>
      </c>
    </row>
    <row r="54" spans="1:2" x14ac:dyDescent="0.25">
      <c r="A54">
        <v>1499</v>
      </c>
      <c r="B54">
        <v>239</v>
      </c>
    </row>
    <row r="55" spans="1:2" x14ac:dyDescent="0.25">
      <c r="A55">
        <v>1120</v>
      </c>
      <c r="B55">
        <v>199</v>
      </c>
    </row>
    <row r="56" spans="1:2" x14ac:dyDescent="0.25">
      <c r="A56">
        <v>15</v>
      </c>
      <c r="B56">
        <v>-2</v>
      </c>
    </row>
    <row r="57" spans="1:2" x14ac:dyDescent="0.25">
      <c r="A57">
        <v>1487</v>
      </c>
      <c r="B57">
        <v>624</v>
      </c>
    </row>
    <row r="58" spans="1:2" x14ac:dyDescent="0.25">
      <c r="A58">
        <v>1118</v>
      </c>
      <c r="B58">
        <v>206</v>
      </c>
    </row>
    <row r="59" spans="1:2" x14ac:dyDescent="0.25">
      <c r="A59">
        <v>11</v>
      </c>
      <c r="B59">
        <v>-5</v>
      </c>
    </row>
    <row r="60" spans="1:2" x14ac:dyDescent="0.25">
      <c r="A60">
        <v>15</v>
      </c>
      <c r="B60">
        <v>4</v>
      </c>
    </row>
    <row r="61" spans="1:2" x14ac:dyDescent="0.25">
      <c r="A61">
        <v>1364</v>
      </c>
      <c r="B61">
        <v>1864</v>
      </c>
    </row>
    <row r="62" spans="1:2" x14ac:dyDescent="0.25">
      <c r="A62">
        <v>1337</v>
      </c>
      <c r="B62">
        <v>147</v>
      </c>
    </row>
    <row r="63" spans="1:2" x14ac:dyDescent="0.25">
      <c r="A63">
        <v>15</v>
      </c>
      <c r="B63">
        <v>2</v>
      </c>
    </row>
    <row r="64" spans="1:2" x14ac:dyDescent="0.25">
      <c r="A64">
        <v>322</v>
      </c>
      <c r="B64">
        <v>-193</v>
      </c>
    </row>
    <row r="65" spans="1:2" x14ac:dyDescent="0.25">
      <c r="A65">
        <v>1316</v>
      </c>
      <c r="B65">
        <v>527</v>
      </c>
    </row>
    <row r="66" spans="1:2" x14ac:dyDescent="0.25">
      <c r="A66">
        <v>1314</v>
      </c>
      <c r="B66">
        <v>342</v>
      </c>
    </row>
    <row r="67" spans="1:2" x14ac:dyDescent="0.25">
      <c r="A67">
        <v>17</v>
      </c>
      <c r="B67">
        <v>7</v>
      </c>
    </row>
    <row r="68" spans="1:2" x14ac:dyDescent="0.25">
      <c r="A68">
        <v>17</v>
      </c>
      <c r="B68">
        <v>2</v>
      </c>
    </row>
    <row r="69" spans="1:2" x14ac:dyDescent="0.25">
      <c r="A69">
        <v>17</v>
      </c>
      <c r="B69">
        <v>-12</v>
      </c>
    </row>
    <row r="70" spans="1:2" x14ac:dyDescent="0.25">
      <c r="A70">
        <v>1308</v>
      </c>
      <c r="B70">
        <v>536</v>
      </c>
    </row>
    <row r="71" spans="1:2" x14ac:dyDescent="0.25">
      <c r="A71">
        <v>1076</v>
      </c>
      <c r="B71">
        <v>-38</v>
      </c>
    </row>
    <row r="72" spans="1:2" x14ac:dyDescent="0.25">
      <c r="A72">
        <v>1301</v>
      </c>
      <c r="B72">
        <v>573</v>
      </c>
    </row>
    <row r="73" spans="1:2" x14ac:dyDescent="0.25">
      <c r="A73">
        <v>1300</v>
      </c>
      <c r="B73">
        <v>-16</v>
      </c>
    </row>
    <row r="74" spans="1:2" x14ac:dyDescent="0.25">
      <c r="A74">
        <v>11</v>
      </c>
      <c r="B74">
        <v>-2</v>
      </c>
    </row>
    <row r="75" spans="1:2" x14ac:dyDescent="0.25">
      <c r="A75">
        <v>1298</v>
      </c>
      <c r="B75">
        <v>65</v>
      </c>
    </row>
    <row r="76" spans="1:2" x14ac:dyDescent="0.25">
      <c r="A76">
        <v>304</v>
      </c>
      <c r="B76">
        <v>97</v>
      </c>
    </row>
    <row r="77" spans="1:2" x14ac:dyDescent="0.25">
      <c r="A77">
        <v>1055</v>
      </c>
      <c r="B77">
        <v>264</v>
      </c>
    </row>
    <row r="78" spans="1:2" x14ac:dyDescent="0.25">
      <c r="A78">
        <v>17</v>
      </c>
      <c r="B78">
        <v>-13</v>
      </c>
    </row>
    <row r="79" spans="1:2" x14ac:dyDescent="0.25">
      <c r="A79">
        <v>147</v>
      </c>
      <c r="B79">
        <v>73</v>
      </c>
    </row>
    <row r="80" spans="1:2" x14ac:dyDescent="0.25">
      <c r="A80">
        <v>965</v>
      </c>
      <c r="B80">
        <v>-68</v>
      </c>
    </row>
    <row r="81" spans="1:2" x14ac:dyDescent="0.25">
      <c r="A81">
        <v>12</v>
      </c>
      <c r="B81">
        <v>-2</v>
      </c>
    </row>
    <row r="82" spans="1:2" x14ac:dyDescent="0.25">
      <c r="A82">
        <v>14</v>
      </c>
      <c r="B82">
        <v>-2</v>
      </c>
    </row>
    <row r="83" spans="1:2" x14ac:dyDescent="0.25">
      <c r="A83">
        <v>934</v>
      </c>
      <c r="B83">
        <v>-916</v>
      </c>
    </row>
    <row r="84" spans="1:2" x14ac:dyDescent="0.25">
      <c r="A84">
        <v>929</v>
      </c>
      <c r="B84">
        <v>-93</v>
      </c>
    </row>
    <row r="85" spans="1:2" x14ac:dyDescent="0.25">
      <c r="A85">
        <v>18</v>
      </c>
      <c r="B85">
        <v>3</v>
      </c>
    </row>
    <row r="86" spans="1:2" x14ac:dyDescent="0.25">
      <c r="A86">
        <v>916</v>
      </c>
      <c r="B86">
        <v>192</v>
      </c>
    </row>
    <row r="87" spans="1:2" x14ac:dyDescent="0.25">
      <c r="A87">
        <v>76</v>
      </c>
      <c r="B87">
        <v>-72</v>
      </c>
    </row>
    <row r="88" spans="1:2" x14ac:dyDescent="0.25">
      <c r="A88">
        <v>869</v>
      </c>
      <c r="B88">
        <v>67</v>
      </c>
    </row>
    <row r="89" spans="1:2" x14ac:dyDescent="0.25">
      <c r="A89">
        <v>112</v>
      </c>
      <c r="B89">
        <v>24</v>
      </c>
    </row>
    <row r="90" spans="1:2" x14ac:dyDescent="0.25">
      <c r="A90">
        <v>39</v>
      </c>
      <c r="B90">
        <v>16</v>
      </c>
    </row>
    <row r="91" spans="1:2" x14ac:dyDescent="0.25">
      <c r="A91">
        <v>857</v>
      </c>
      <c r="B91">
        <v>-274</v>
      </c>
    </row>
    <row r="92" spans="1:2" x14ac:dyDescent="0.25">
      <c r="A92">
        <v>828</v>
      </c>
      <c r="B92">
        <v>230</v>
      </c>
    </row>
    <row r="93" spans="1:2" x14ac:dyDescent="0.25">
      <c r="A93">
        <v>1279</v>
      </c>
      <c r="B93">
        <v>-640</v>
      </c>
    </row>
    <row r="94" spans="1:2" x14ac:dyDescent="0.25">
      <c r="A94">
        <v>1250</v>
      </c>
      <c r="B94">
        <v>486</v>
      </c>
    </row>
    <row r="95" spans="1:2" x14ac:dyDescent="0.25">
      <c r="A95">
        <v>823</v>
      </c>
      <c r="B95">
        <v>-18</v>
      </c>
    </row>
    <row r="96" spans="1:2" x14ac:dyDescent="0.25">
      <c r="A96">
        <v>1157</v>
      </c>
      <c r="B96">
        <v>-13</v>
      </c>
    </row>
    <row r="97" spans="1:2" x14ac:dyDescent="0.25">
      <c r="A97">
        <v>126</v>
      </c>
      <c r="B97">
        <v>-63</v>
      </c>
    </row>
    <row r="98" spans="1:2" x14ac:dyDescent="0.25">
      <c r="A98">
        <v>1145</v>
      </c>
      <c r="B98">
        <v>-706</v>
      </c>
    </row>
    <row r="99" spans="1:2" x14ac:dyDescent="0.25">
      <c r="A99">
        <v>774</v>
      </c>
      <c r="B99">
        <v>170</v>
      </c>
    </row>
    <row r="100" spans="1:2" x14ac:dyDescent="0.25">
      <c r="A100">
        <v>24</v>
      </c>
      <c r="B100">
        <v>-1</v>
      </c>
    </row>
    <row r="101" spans="1:2" x14ac:dyDescent="0.25">
      <c r="A101">
        <v>774</v>
      </c>
      <c r="B101">
        <v>170</v>
      </c>
    </row>
    <row r="102" spans="1:2" x14ac:dyDescent="0.25">
      <c r="A102">
        <v>93</v>
      </c>
      <c r="B102">
        <v>-1</v>
      </c>
    </row>
    <row r="103" spans="1:2" x14ac:dyDescent="0.25">
      <c r="A103">
        <v>765</v>
      </c>
      <c r="B103">
        <v>-36</v>
      </c>
    </row>
    <row r="104" spans="1:2" x14ac:dyDescent="0.25">
      <c r="A104">
        <v>762</v>
      </c>
      <c r="B104">
        <v>101</v>
      </c>
    </row>
    <row r="105" spans="1:2" x14ac:dyDescent="0.25">
      <c r="A105">
        <v>761</v>
      </c>
      <c r="B105">
        <v>266</v>
      </c>
    </row>
    <row r="106" spans="1:2" x14ac:dyDescent="0.25">
      <c r="A106">
        <v>96</v>
      </c>
      <c r="B106">
        <v>-48</v>
      </c>
    </row>
    <row r="107" spans="1:2" x14ac:dyDescent="0.25">
      <c r="A107">
        <v>1137</v>
      </c>
      <c r="B107">
        <v>-14</v>
      </c>
    </row>
    <row r="108" spans="1:2" x14ac:dyDescent="0.25">
      <c r="A108">
        <v>18</v>
      </c>
      <c r="B108">
        <v>8</v>
      </c>
    </row>
    <row r="109" spans="1:2" x14ac:dyDescent="0.25">
      <c r="A109">
        <v>749</v>
      </c>
      <c r="B109">
        <v>-307</v>
      </c>
    </row>
    <row r="110" spans="1:2" x14ac:dyDescent="0.25">
      <c r="A110">
        <v>1120</v>
      </c>
      <c r="B110">
        <v>199</v>
      </c>
    </row>
    <row r="111" spans="1:2" x14ac:dyDescent="0.25">
      <c r="A111">
        <v>744</v>
      </c>
      <c r="B111">
        <v>119</v>
      </c>
    </row>
    <row r="112" spans="1:2" x14ac:dyDescent="0.25">
      <c r="A112">
        <v>14</v>
      </c>
      <c r="B112">
        <v>0</v>
      </c>
    </row>
    <row r="113" spans="1:2" x14ac:dyDescent="0.25">
      <c r="A113">
        <v>19</v>
      </c>
      <c r="B113">
        <v>8</v>
      </c>
    </row>
    <row r="114" spans="1:2" x14ac:dyDescent="0.25">
      <c r="A114">
        <v>512</v>
      </c>
      <c r="B114">
        <v>-225</v>
      </c>
    </row>
    <row r="115" spans="1:2" x14ac:dyDescent="0.25">
      <c r="A115">
        <v>742</v>
      </c>
      <c r="B115">
        <v>198</v>
      </c>
    </row>
    <row r="116" spans="1:2" x14ac:dyDescent="0.25">
      <c r="A116">
        <v>44</v>
      </c>
      <c r="B116">
        <v>-40</v>
      </c>
    </row>
    <row r="117" spans="1:2" x14ac:dyDescent="0.25">
      <c r="A117">
        <v>1061</v>
      </c>
      <c r="B117">
        <v>-36</v>
      </c>
    </row>
    <row r="118" spans="1:2" x14ac:dyDescent="0.25">
      <c r="A118">
        <v>19</v>
      </c>
      <c r="B118">
        <v>-2</v>
      </c>
    </row>
    <row r="119" spans="1:2" x14ac:dyDescent="0.25">
      <c r="A119">
        <v>17</v>
      </c>
      <c r="B119">
        <v>0</v>
      </c>
    </row>
    <row r="120" spans="1:2" x14ac:dyDescent="0.25">
      <c r="A120">
        <v>741</v>
      </c>
      <c r="B120">
        <v>267</v>
      </c>
    </row>
    <row r="121" spans="1:2" x14ac:dyDescent="0.25">
      <c r="A121">
        <v>735</v>
      </c>
      <c r="B121">
        <v>-235</v>
      </c>
    </row>
    <row r="122" spans="1:2" x14ac:dyDescent="0.25">
      <c r="A122">
        <v>19</v>
      </c>
      <c r="B122">
        <v>-1</v>
      </c>
    </row>
    <row r="123" spans="1:2" x14ac:dyDescent="0.25">
      <c r="A123">
        <v>1021</v>
      </c>
      <c r="B123">
        <v>-48</v>
      </c>
    </row>
    <row r="124" spans="1:2" x14ac:dyDescent="0.25">
      <c r="A124">
        <v>556</v>
      </c>
      <c r="B124">
        <v>-209</v>
      </c>
    </row>
    <row r="125" spans="1:2" x14ac:dyDescent="0.25">
      <c r="A125">
        <v>63</v>
      </c>
      <c r="B125">
        <v>-17</v>
      </c>
    </row>
    <row r="126" spans="1:2" x14ac:dyDescent="0.25">
      <c r="A126">
        <v>734</v>
      </c>
      <c r="B126">
        <v>248</v>
      </c>
    </row>
    <row r="127" spans="1:2" x14ac:dyDescent="0.25">
      <c r="A127">
        <v>933</v>
      </c>
      <c r="B127">
        <v>166</v>
      </c>
    </row>
    <row r="128" spans="1:2" x14ac:dyDescent="0.25">
      <c r="A128">
        <v>20</v>
      </c>
      <c r="B128">
        <v>-9</v>
      </c>
    </row>
    <row r="129" spans="1:2" x14ac:dyDescent="0.25">
      <c r="A129">
        <v>877</v>
      </c>
      <c r="B129">
        <v>395</v>
      </c>
    </row>
    <row r="130" spans="1:2" x14ac:dyDescent="0.25">
      <c r="A130">
        <v>719</v>
      </c>
      <c r="B130">
        <v>303</v>
      </c>
    </row>
    <row r="131" spans="1:2" x14ac:dyDescent="0.25">
      <c r="A131">
        <v>12</v>
      </c>
      <c r="B131">
        <v>1</v>
      </c>
    </row>
    <row r="132" spans="1:2" x14ac:dyDescent="0.25">
      <c r="A132">
        <v>714</v>
      </c>
      <c r="B132">
        <v>56</v>
      </c>
    </row>
    <row r="133" spans="1:2" x14ac:dyDescent="0.25">
      <c r="A133">
        <v>50</v>
      </c>
      <c r="B133">
        <v>-15</v>
      </c>
    </row>
    <row r="134" spans="1:2" x14ac:dyDescent="0.25">
      <c r="A134">
        <v>709</v>
      </c>
      <c r="B134">
        <v>-100</v>
      </c>
    </row>
    <row r="135" spans="1:2" x14ac:dyDescent="0.25">
      <c r="A135">
        <v>21</v>
      </c>
      <c r="B135">
        <v>-12</v>
      </c>
    </row>
    <row r="136" spans="1:2" x14ac:dyDescent="0.25">
      <c r="A136">
        <v>693</v>
      </c>
      <c r="B136">
        <v>254</v>
      </c>
    </row>
    <row r="137" spans="1:2" x14ac:dyDescent="0.25">
      <c r="A137">
        <v>24</v>
      </c>
      <c r="B137">
        <v>1</v>
      </c>
    </row>
    <row r="138" spans="1:2" x14ac:dyDescent="0.25">
      <c r="A138">
        <v>24</v>
      </c>
      <c r="B138">
        <v>1</v>
      </c>
    </row>
    <row r="139" spans="1:2" x14ac:dyDescent="0.25">
      <c r="A139">
        <v>24</v>
      </c>
      <c r="B139">
        <v>1</v>
      </c>
    </row>
    <row r="140" spans="1:2" x14ac:dyDescent="0.25">
      <c r="A140">
        <v>21</v>
      </c>
      <c r="B140">
        <v>10</v>
      </c>
    </row>
    <row r="141" spans="1:2" x14ac:dyDescent="0.25">
      <c r="A141">
        <v>681</v>
      </c>
      <c r="B141">
        <v>259</v>
      </c>
    </row>
    <row r="142" spans="1:2" x14ac:dyDescent="0.25">
      <c r="A142">
        <v>674</v>
      </c>
      <c r="B142">
        <v>-187</v>
      </c>
    </row>
    <row r="143" spans="1:2" x14ac:dyDescent="0.25">
      <c r="A143">
        <v>671</v>
      </c>
      <c r="B143">
        <v>-309</v>
      </c>
    </row>
    <row r="144" spans="1:2" x14ac:dyDescent="0.25">
      <c r="A144">
        <v>646</v>
      </c>
      <c r="B144">
        <v>-213</v>
      </c>
    </row>
    <row r="145" spans="1:2" x14ac:dyDescent="0.25">
      <c r="A145">
        <v>40</v>
      </c>
      <c r="B145">
        <v>15</v>
      </c>
    </row>
    <row r="146" spans="1:2" x14ac:dyDescent="0.25">
      <c r="A146">
        <v>24</v>
      </c>
      <c r="B146">
        <v>-2</v>
      </c>
    </row>
    <row r="147" spans="1:2" x14ac:dyDescent="0.25">
      <c r="A147">
        <v>644</v>
      </c>
      <c r="B147">
        <v>167</v>
      </c>
    </row>
    <row r="148" spans="1:2" x14ac:dyDescent="0.25">
      <c r="A148">
        <v>643</v>
      </c>
      <c r="B148">
        <v>225</v>
      </c>
    </row>
    <row r="149" spans="1:2" x14ac:dyDescent="0.25">
      <c r="A149">
        <v>632</v>
      </c>
      <c r="B149">
        <v>-316</v>
      </c>
    </row>
    <row r="150" spans="1:2" x14ac:dyDescent="0.25">
      <c r="A150">
        <v>632</v>
      </c>
      <c r="B150">
        <v>316</v>
      </c>
    </row>
    <row r="151" spans="1:2" x14ac:dyDescent="0.25">
      <c r="A151">
        <v>610</v>
      </c>
      <c r="B151">
        <v>208</v>
      </c>
    </row>
    <row r="152" spans="1:2" x14ac:dyDescent="0.25">
      <c r="A152">
        <v>78</v>
      </c>
      <c r="B152">
        <v>-28</v>
      </c>
    </row>
    <row r="153" spans="1:2" x14ac:dyDescent="0.25">
      <c r="A153">
        <v>595</v>
      </c>
      <c r="B153">
        <v>119</v>
      </c>
    </row>
    <row r="154" spans="1:2" x14ac:dyDescent="0.25">
      <c r="A154">
        <v>595</v>
      </c>
      <c r="B154">
        <v>292</v>
      </c>
    </row>
    <row r="155" spans="1:2" x14ac:dyDescent="0.25">
      <c r="A155">
        <v>852</v>
      </c>
      <c r="B155">
        <v>51</v>
      </c>
    </row>
    <row r="156" spans="1:2" x14ac:dyDescent="0.25">
      <c r="A156">
        <v>594</v>
      </c>
      <c r="B156">
        <v>89</v>
      </c>
    </row>
    <row r="157" spans="1:2" x14ac:dyDescent="0.25">
      <c r="A157">
        <v>585</v>
      </c>
      <c r="B157">
        <v>175</v>
      </c>
    </row>
    <row r="158" spans="1:2" x14ac:dyDescent="0.25">
      <c r="A158">
        <v>582</v>
      </c>
      <c r="B158">
        <v>262</v>
      </c>
    </row>
    <row r="159" spans="1:2" x14ac:dyDescent="0.25">
      <c r="A159">
        <v>845</v>
      </c>
      <c r="B159">
        <v>84</v>
      </c>
    </row>
    <row r="160" spans="1:2" x14ac:dyDescent="0.25">
      <c r="A160">
        <v>829</v>
      </c>
      <c r="B160">
        <v>19</v>
      </c>
    </row>
    <row r="161" spans="1:2" x14ac:dyDescent="0.25">
      <c r="A161">
        <v>561</v>
      </c>
      <c r="B161">
        <v>212</v>
      </c>
    </row>
    <row r="162" spans="1:2" x14ac:dyDescent="0.25">
      <c r="A162">
        <v>771</v>
      </c>
      <c r="B162">
        <v>-424</v>
      </c>
    </row>
    <row r="163" spans="1:2" x14ac:dyDescent="0.25">
      <c r="A163">
        <v>765</v>
      </c>
      <c r="B163">
        <v>8</v>
      </c>
    </row>
    <row r="164" spans="1:2" x14ac:dyDescent="0.25">
      <c r="A164">
        <v>31</v>
      </c>
      <c r="B164">
        <v>2</v>
      </c>
    </row>
    <row r="165" spans="1:2" x14ac:dyDescent="0.25">
      <c r="A165">
        <v>557</v>
      </c>
      <c r="B165">
        <v>-111</v>
      </c>
    </row>
    <row r="166" spans="1:2" x14ac:dyDescent="0.25">
      <c r="A166">
        <v>757</v>
      </c>
      <c r="B166">
        <v>371</v>
      </c>
    </row>
    <row r="167" spans="1:2" x14ac:dyDescent="0.25">
      <c r="A167">
        <v>545</v>
      </c>
      <c r="B167">
        <v>-73</v>
      </c>
    </row>
    <row r="168" spans="1:2" x14ac:dyDescent="0.25">
      <c r="A168">
        <v>1052</v>
      </c>
      <c r="B168">
        <v>-82</v>
      </c>
    </row>
    <row r="169" spans="1:2" x14ac:dyDescent="0.25">
      <c r="A169">
        <v>544</v>
      </c>
      <c r="B169">
        <v>-152</v>
      </c>
    </row>
    <row r="170" spans="1:2" x14ac:dyDescent="0.25">
      <c r="A170">
        <v>22</v>
      </c>
      <c r="B170">
        <v>9</v>
      </c>
    </row>
    <row r="171" spans="1:2" x14ac:dyDescent="0.25">
      <c r="A171">
        <v>757</v>
      </c>
      <c r="B171">
        <v>371</v>
      </c>
    </row>
    <row r="172" spans="1:2" x14ac:dyDescent="0.25">
      <c r="A172">
        <v>742</v>
      </c>
      <c r="B172">
        <v>198</v>
      </c>
    </row>
    <row r="173" spans="1:2" x14ac:dyDescent="0.25">
      <c r="A173">
        <v>537</v>
      </c>
      <c r="B173">
        <v>107</v>
      </c>
    </row>
    <row r="174" spans="1:2" x14ac:dyDescent="0.25">
      <c r="A174">
        <v>536</v>
      </c>
      <c r="B174">
        <v>91</v>
      </c>
    </row>
    <row r="175" spans="1:2" x14ac:dyDescent="0.25">
      <c r="A175">
        <v>6</v>
      </c>
      <c r="B175">
        <v>3</v>
      </c>
    </row>
    <row r="176" spans="1:2" x14ac:dyDescent="0.25">
      <c r="A176">
        <v>523</v>
      </c>
      <c r="B176">
        <v>204</v>
      </c>
    </row>
    <row r="177" spans="1:2" x14ac:dyDescent="0.25">
      <c r="A177">
        <v>27</v>
      </c>
      <c r="B177">
        <v>9</v>
      </c>
    </row>
    <row r="178" spans="1:2" x14ac:dyDescent="0.25">
      <c r="A178">
        <v>516</v>
      </c>
      <c r="B178">
        <v>392</v>
      </c>
    </row>
    <row r="179" spans="1:2" x14ac:dyDescent="0.25">
      <c r="A179">
        <v>504</v>
      </c>
      <c r="B179">
        <v>116</v>
      </c>
    </row>
    <row r="180" spans="1:2" x14ac:dyDescent="0.25">
      <c r="A180">
        <v>502</v>
      </c>
      <c r="B180">
        <v>84</v>
      </c>
    </row>
    <row r="181" spans="1:2" x14ac:dyDescent="0.25">
      <c r="A181">
        <v>734</v>
      </c>
      <c r="B181">
        <v>213</v>
      </c>
    </row>
    <row r="182" spans="1:2" x14ac:dyDescent="0.25">
      <c r="A182">
        <v>42</v>
      </c>
      <c r="B182">
        <v>12</v>
      </c>
    </row>
    <row r="183" spans="1:2" x14ac:dyDescent="0.25">
      <c r="A183">
        <v>29</v>
      </c>
      <c r="B183">
        <v>11</v>
      </c>
    </row>
    <row r="184" spans="1:2" x14ac:dyDescent="0.25">
      <c r="A184">
        <v>240</v>
      </c>
      <c r="B184">
        <v>12</v>
      </c>
    </row>
    <row r="185" spans="1:2" x14ac:dyDescent="0.25">
      <c r="A185">
        <v>496</v>
      </c>
      <c r="B185">
        <v>-79</v>
      </c>
    </row>
    <row r="186" spans="1:2" x14ac:dyDescent="0.25">
      <c r="A186">
        <v>485</v>
      </c>
      <c r="B186">
        <v>29</v>
      </c>
    </row>
    <row r="187" spans="1:2" x14ac:dyDescent="0.25">
      <c r="A187">
        <v>31</v>
      </c>
      <c r="B187">
        <v>-11</v>
      </c>
    </row>
    <row r="188" spans="1:2" x14ac:dyDescent="0.25">
      <c r="A188">
        <v>676</v>
      </c>
      <c r="B188">
        <v>151</v>
      </c>
    </row>
    <row r="189" spans="1:2" x14ac:dyDescent="0.25">
      <c r="A189">
        <v>23</v>
      </c>
      <c r="B189">
        <v>8</v>
      </c>
    </row>
    <row r="190" spans="1:2" x14ac:dyDescent="0.25">
      <c r="A190">
        <v>13</v>
      </c>
      <c r="B190">
        <v>3</v>
      </c>
    </row>
    <row r="191" spans="1:2" x14ac:dyDescent="0.25">
      <c r="A191">
        <v>180</v>
      </c>
      <c r="B191">
        <v>0</v>
      </c>
    </row>
    <row r="192" spans="1:2" x14ac:dyDescent="0.25">
      <c r="A192">
        <v>671</v>
      </c>
      <c r="B192">
        <v>114</v>
      </c>
    </row>
    <row r="193" spans="1:2" x14ac:dyDescent="0.25">
      <c r="A193">
        <v>22</v>
      </c>
      <c r="B193">
        <v>11</v>
      </c>
    </row>
    <row r="194" spans="1:2" x14ac:dyDescent="0.25">
      <c r="A194">
        <v>668</v>
      </c>
      <c r="B194">
        <v>-31</v>
      </c>
    </row>
    <row r="195" spans="1:2" x14ac:dyDescent="0.25">
      <c r="A195">
        <v>145</v>
      </c>
      <c r="B195">
        <v>0</v>
      </c>
    </row>
    <row r="196" spans="1:2" x14ac:dyDescent="0.25">
      <c r="A196">
        <v>24</v>
      </c>
      <c r="B196">
        <v>8</v>
      </c>
    </row>
    <row r="197" spans="1:2" x14ac:dyDescent="0.25">
      <c r="A197">
        <v>476</v>
      </c>
      <c r="B197">
        <v>0</v>
      </c>
    </row>
    <row r="198" spans="1:2" x14ac:dyDescent="0.25">
      <c r="A198">
        <v>24</v>
      </c>
      <c r="B198">
        <v>11</v>
      </c>
    </row>
    <row r="199" spans="1:2" x14ac:dyDescent="0.25">
      <c r="A199">
        <v>37</v>
      </c>
      <c r="B199">
        <v>3</v>
      </c>
    </row>
    <row r="200" spans="1:2" x14ac:dyDescent="0.25">
      <c r="A200">
        <v>152</v>
      </c>
      <c r="B200">
        <v>50</v>
      </c>
    </row>
    <row r="201" spans="1:2" x14ac:dyDescent="0.25">
      <c r="A201">
        <v>32</v>
      </c>
      <c r="B201">
        <v>11</v>
      </c>
    </row>
    <row r="202" spans="1:2" x14ac:dyDescent="0.25">
      <c r="A202">
        <v>52</v>
      </c>
      <c r="B202">
        <v>11</v>
      </c>
    </row>
    <row r="203" spans="1:2" x14ac:dyDescent="0.25">
      <c r="A203">
        <v>24</v>
      </c>
      <c r="B203">
        <v>11</v>
      </c>
    </row>
    <row r="204" spans="1:2" x14ac:dyDescent="0.25">
      <c r="A204">
        <v>473</v>
      </c>
      <c r="B204">
        <v>42</v>
      </c>
    </row>
    <row r="205" spans="1:2" x14ac:dyDescent="0.25">
      <c r="A205">
        <v>263</v>
      </c>
      <c r="B205">
        <v>50</v>
      </c>
    </row>
    <row r="206" spans="1:2" x14ac:dyDescent="0.25">
      <c r="A206">
        <v>61</v>
      </c>
      <c r="B206">
        <v>11</v>
      </c>
    </row>
    <row r="207" spans="1:2" x14ac:dyDescent="0.25">
      <c r="A207">
        <v>469</v>
      </c>
      <c r="B207">
        <v>-459</v>
      </c>
    </row>
    <row r="208" spans="1:2" x14ac:dyDescent="0.25">
      <c r="A208">
        <v>1272</v>
      </c>
      <c r="B208">
        <v>547</v>
      </c>
    </row>
    <row r="209" spans="1:2" x14ac:dyDescent="0.25">
      <c r="A209">
        <v>169</v>
      </c>
      <c r="B209">
        <v>0</v>
      </c>
    </row>
    <row r="210" spans="1:2" x14ac:dyDescent="0.25">
      <c r="A210">
        <v>25</v>
      </c>
      <c r="B210">
        <v>11</v>
      </c>
    </row>
    <row r="211" spans="1:2" x14ac:dyDescent="0.25">
      <c r="A211">
        <v>457</v>
      </c>
      <c r="B211">
        <v>-41</v>
      </c>
    </row>
    <row r="212" spans="1:2" x14ac:dyDescent="0.25">
      <c r="A212">
        <v>455</v>
      </c>
      <c r="B212">
        <v>77</v>
      </c>
    </row>
    <row r="213" spans="1:2" x14ac:dyDescent="0.25">
      <c r="A213">
        <v>25</v>
      </c>
      <c r="B213">
        <v>2</v>
      </c>
    </row>
    <row r="214" spans="1:2" x14ac:dyDescent="0.25">
      <c r="A214">
        <v>450</v>
      </c>
      <c r="B214">
        <v>-90</v>
      </c>
    </row>
    <row r="215" spans="1:2" x14ac:dyDescent="0.25">
      <c r="A215">
        <v>30</v>
      </c>
      <c r="B215">
        <v>-35</v>
      </c>
    </row>
    <row r="216" spans="1:2" x14ac:dyDescent="0.25">
      <c r="A216">
        <v>659</v>
      </c>
      <c r="B216">
        <v>-37</v>
      </c>
    </row>
    <row r="217" spans="1:2" x14ac:dyDescent="0.25">
      <c r="A217">
        <v>448</v>
      </c>
      <c r="B217">
        <v>148</v>
      </c>
    </row>
    <row r="218" spans="1:2" x14ac:dyDescent="0.25">
      <c r="A218">
        <v>446</v>
      </c>
      <c r="B218">
        <v>53</v>
      </c>
    </row>
    <row r="219" spans="1:2" x14ac:dyDescent="0.25">
      <c r="A219">
        <v>98</v>
      </c>
      <c r="B219">
        <v>-45</v>
      </c>
    </row>
    <row r="220" spans="1:2" x14ac:dyDescent="0.25">
      <c r="A220">
        <v>443</v>
      </c>
      <c r="B220">
        <v>11</v>
      </c>
    </row>
    <row r="221" spans="1:2" x14ac:dyDescent="0.25">
      <c r="A221">
        <v>427</v>
      </c>
      <c r="B221">
        <v>-50</v>
      </c>
    </row>
    <row r="222" spans="1:2" x14ac:dyDescent="0.25">
      <c r="A222">
        <v>656</v>
      </c>
      <c r="B222">
        <v>-36</v>
      </c>
    </row>
    <row r="223" spans="1:2" x14ac:dyDescent="0.25">
      <c r="A223">
        <v>424</v>
      </c>
      <c r="B223">
        <v>161</v>
      </c>
    </row>
    <row r="224" spans="1:2" x14ac:dyDescent="0.25">
      <c r="A224">
        <v>27</v>
      </c>
      <c r="B224">
        <v>8</v>
      </c>
    </row>
    <row r="225" spans="1:2" x14ac:dyDescent="0.25">
      <c r="A225">
        <v>424</v>
      </c>
      <c r="B225">
        <v>-272</v>
      </c>
    </row>
    <row r="226" spans="1:2" x14ac:dyDescent="0.25">
      <c r="A226">
        <v>202</v>
      </c>
      <c r="B226">
        <v>4</v>
      </c>
    </row>
    <row r="227" spans="1:2" x14ac:dyDescent="0.25">
      <c r="A227">
        <v>1275</v>
      </c>
      <c r="B227">
        <v>357</v>
      </c>
    </row>
    <row r="228" spans="1:2" x14ac:dyDescent="0.25">
      <c r="A228">
        <v>418</v>
      </c>
      <c r="B228">
        <v>70</v>
      </c>
    </row>
    <row r="229" spans="1:2" x14ac:dyDescent="0.25">
      <c r="A229">
        <v>417</v>
      </c>
      <c r="B229">
        <v>49</v>
      </c>
    </row>
    <row r="230" spans="1:2" x14ac:dyDescent="0.25">
      <c r="A230">
        <v>199</v>
      </c>
      <c r="B230">
        <v>48</v>
      </c>
    </row>
    <row r="231" spans="1:2" x14ac:dyDescent="0.25">
      <c r="A231">
        <v>385</v>
      </c>
      <c r="B231">
        <v>-77</v>
      </c>
    </row>
    <row r="232" spans="1:2" x14ac:dyDescent="0.25">
      <c r="A232">
        <v>414</v>
      </c>
      <c r="B232">
        <v>199</v>
      </c>
    </row>
    <row r="233" spans="1:2" x14ac:dyDescent="0.25">
      <c r="A233">
        <v>97</v>
      </c>
      <c r="B233">
        <v>-45</v>
      </c>
    </row>
    <row r="234" spans="1:2" x14ac:dyDescent="0.25">
      <c r="A234">
        <v>648</v>
      </c>
      <c r="B234">
        <v>50</v>
      </c>
    </row>
    <row r="235" spans="1:2" x14ac:dyDescent="0.25">
      <c r="A235">
        <v>27</v>
      </c>
      <c r="B235">
        <v>-25</v>
      </c>
    </row>
    <row r="236" spans="1:2" x14ac:dyDescent="0.25">
      <c r="A236">
        <v>27</v>
      </c>
      <c r="B236">
        <v>12</v>
      </c>
    </row>
    <row r="237" spans="1:2" x14ac:dyDescent="0.25">
      <c r="A237">
        <v>27</v>
      </c>
      <c r="B237">
        <v>1</v>
      </c>
    </row>
    <row r="238" spans="1:2" x14ac:dyDescent="0.25">
      <c r="A238">
        <v>413</v>
      </c>
      <c r="B238">
        <v>-314</v>
      </c>
    </row>
    <row r="239" spans="1:2" x14ac:dyDescent="0.25">
      <c r="A239">
        <v>53</v>
      </c>
      <c r="B239">
        <v>2</v>
      </c>
    </row>
    <row r="240" spans="1:2" x14ac:dyDescent="0.25">
      <c r="A240">
        <v>29</v>
      </c>
      <c r="B240">
        <v>8</v>
      </c>
    </row>
    <row r="241" spans="1:2" x14ac:dyDescent="0.25">
      <c r="A241">
        <v>30</v>
      </c>
      <c r="B241">
        <v>13</v>
      </c>
    </row>
    <row r="242" spans="1:2" x14ac:dyDescent="0.25">
      <c r="A242">
        <v>412</v>
      </c>
      <c r="B242">
        <v>412</v>
      </c>
    </row>
    <row r="243" spans="1:2" x14ac:dyDescent="0.25">
      <c r="A243">
        <v>646</v>
      </c>
      <c r="B243">
        <v>-23</v>
      </c>
    </row>
    <row r="244" spans="1:2" x14ac:dyDescent="0.25">
      <c r="A244">
        <v>30</v>
      </c>
      <c r="B244">
        <v>-5</v>
      </c>
    </row>
    <row r="245" spans="1:2" x14ac:dyDescent="0.25">
      <c r="A245">
        <v>618</v>
      </c>
      <c r="B245">
        <v>27</v>
      </c>
    </row>
    <row r="246" spans="1:2" x14ac:dyDescent="0.25">
      <c r="A246">
        <v>143</v>
      </c>
      <c r="B246">
        <v>-124</v>
      </c>
    </row>
    <row r="247" spans="1:2" x14ac:dyDescent="0.25">
      <c r="A247">
        <v>31</v>
      </c>
      <c r="B247">
        <v>1</v>
      </c>
    </row>
    <row r="248" spans="1:2" x14ac:dyDescent="0.25">
      <c r="A248">
        <v>409</v>
      </c>
      <c r="B248">
        <v>86</v>
      </c>
    </row>
    <row r="249" spans="1:2" x14ac:dyDescent="0.25">
      <c r="A249">
        <v>406</v>
      </c>
      <c r="B249">
        <v>126</v>
      </c>
    </row>
    <row r="250" spans="1:2" x14ac:dyDescent="0.25">
      <c r="A250">
        <v>565</v>
      </c>
      <c r="B250">
        <v>66</v>
      </c>
    </row>
    <row r="251" spans="1:2" x14ac:dyDescent="0.25">
      <c r="A251">
        <v>85</v>
      </c>
      <c r="B251">
        <v>2</v>
      </c>
    </row>
    <row r="252" spans="1:2" x14ac:dyDescent="0.25">
      <c r="A252">
        <v>561</v>
      </c>
      <c r="B252">
        <v>118</v>
      </c>
    </row>
    <row r="253" spans="1:2" x14ac:dyDescent="0.25">
      <c r="A253">
        <v>503</v>
      </c>
      <c r="B253">
        <v>-56</v>
      </c>
    </row>
    <row r="254" spans="1:2" x14ac:dyDescent="0.25">
      <c r="A254">
        <v>31</v>
      </c>
      <c r="B254">
        <v>14</v>
      </c>
    </row>
    <row r="255" spans="1:2" x14ac:dyDescent="0.25">
      <c r="A255">
        <v>398</v>
      </c>
      <c r="B255">
        <v>111</v>
      </c>
    </row>
    <row r="256" spans="1:2" x14ac:dyDescent="0.25">
      <c r="A256">
        <v>388</v>
      </c>
      <c r="B256">
        <v>93</v>
      </c>
    </row>
    <row r="257" spans="1:2" x14ac:dyDescent="0.25">
      <c r="A257">
        <v>498</v>
      </c>
      <c r="B257">
        <v>-116</v>
      </c>
    </row>
    <row r="258" spans="1:2" x14ac:dyDescent="0.25">
      <c r="A258">
        <v>561</v>
      </c>
      <c r="B258">
        <v>212</v>
      </c>
    </row>
    <row r="259" spans="1:2" x14ac:dyDescent="0.25">
      <c r="A259">
        <v>61</v>
      </c>
      <c r="B259">
        <v>3</v>
      </c>
    </row>
    <row r="260" spans="1:2" x14ac:dyDescent="0.25">
      <c r="A260">
        <v>34</v>
      </c>
      <c r="B260">
        <v>-22</v>
      </c>
    </row>
    <row r="261" spans="1:2" x14ac:dyDescent="0.25">
      <c r="A261">
        <v>32</v>
      </c>
      <c r="B261">
        <v>6</v>
      </c>
    </row>
    <row r="262" spans="1:2" x14ac:dyDescent="0.25">
      <c r="A262">
        <v>623</v>
      </c>
      <c r="B262">
        <v>-192</v>
      </c>
    </row>
    <row r="263" spans="1:2" x14ac:dyDescent="0.25">
      <c r="A263">
        <v>520</v>
      </c>
      <c r="B263">
        <v>151</v>
      </c>
    </row>
    <row r="264" spans="1:2" x14ac:dyDescent="0.25">
      <c r="A264">
        <v>32</v>
      </c>
      <c r="B264">
        <v>-16</v>
      </c>
    </row>
    <row r="265" spans="1:2" x14ac:dyDescent="0.25">
      <c r="A265">
        <v>32</v>
      </c>
      <c r="B265">
        <v>-5</v>
      </c>
    </row>
    <row r="266" spans="1:2" x14ac:dyDescent="0.25">
      <c r="A266">
        <v>510</v>
      </c>
      <c r="B266">
        <v>234</v>
      </c>
    </row>
    <row r="267" spans="1:2" x14ac:dyDescent="0.25">
      <c r="A267">
        <v>382</v>
      </c>
      <c r="B267">
        <v>68</v>
      </c>
    </row>
    <row r="268" spans="1:2" x14ac:dyDescent="0.25">
      <c r="A268">
        <v>33</v>
      </c>
      <c r="B268">
        <v>13</v>
      </c>
    </row>
    <row r="269" spans="1:2" x14ac:dyDescent="0.25">
      <c r="A269">
        <v>381</v>
      </c>
      <c r="B269">
        <v>-13</v>
      </c>
    </row>
    <row r="270" spans="1:2" x14ac:dyDescent="0.25">
      <c r="A270">
        <v>490</v>
      </c>
      <c r="B270">
        <v>88</v>
      </c>
    </row>
    <row r="271" spans="1:2" x14ac:dyDescent="0.25">
      <c r="A271">
        <v>381</v>
      </c>
      <c r="B271">
        <v>144</v>
      </c>
    </row>
    <row r="272" spans="1:2" x14ac:dyDescent="0.25">
      <c r="A272">
        <v>487</v>
      </c>
      <c r="B272">
        <v>143</v>
      </c>
    </row>
    <row r="273" spans="1:2" x14ac:dyDescent="0.25">
      <c r="A273">
        <v>366</v>
      </c>
      <c r="B273">
        <v>84</v>
      </c>
    </row>
    <row r="274" spans="1:2" x14ac:dyDescent="0.25">
      <c r="A274">
        <v>33</v>
      </c>
      <c r="B274">
        <v>-29</v>
      </c>
    </row>
    <row r="275" spans="1:2" x14ac:dyDescent="0.25">
      <c r="A275">
        <v>365</v>
      </c>
      <c r="B275">
        <v>107</v>
      </c>
    </row>
    <row r="276" spans="1:2" x14ac:dyDescent="0.25">
      <c r="A276">
        <v>207</v>
      </c>
      <c r="B276">
        <v>-100</v>
      </c>
    </row>
    <row r="277" spans="1:2" x14ac:dyDescent="0.25">
      <c r="A277">
        <v>359</v>
      </c>
      <c r="B277">
        <v>-338</v>
      </c>
    </row>
    <row r="278" spans="1:2" x14ac:dyDescent="0.25">
      <c r="A278">
        <v>351</v>
      </c>
      <c r="B278">
        <v>-47</v>
      </c>
    </row>
    <row r="279" spans="1:2" x14ac:dyDescent="0.25">
      <c r="A279">
        <v>485</v>
      </c>
      <c r="B279">
        <v>199</v>
      </c>
    </row>
    <row r="280" spans="1:2" x14ac:dyDescent="0.25">
      <c r="A280">
        <v>37</v>
      </c>
      <c r="B280">
        <v>-23</v>
      </c>
    </row>
    <row r="281" spans="1:2" x14ac:dyDescent="0.25">
      <c r="A281">
        <v>34</v>
      </c>
      <c r="B281">
        <v>10</v>
      </c>
    </row>
    <row r="282" spans="1:2" x14ac:dyDescent="0.25">
      <c r="A282">
        <v>346</v>
      </c>
      <c r="B282">
        <v>108</v>
      </c>
    </row>
    <row r="283" spans="1:2" x14ac:dyDescent="0.25">
      <c r="A283">
        <v>342</v>
      </c>
      <c r="B283">
        <v>-103</v>
      </c>
    </row>
    <row r="284" spans="1:2" x14ac:dyDescent="0.25">
      <c r="A284">
        <v>35</v>
      </c>
      <c r="B284">
        <v>-8</v>
      </c>
    </row>
    <row r="285" spans="1:2" x14ac:dyDescent="0.25">
      <c r="A285">
        <v>121</v>
      </c>
      <c r="B285">
        <v>41</v>
      </c>
    </row>
    <row r="286" spans="1:2" x14ac:dyDescent="0.25">
      <c r="A286">
        <v>336</v>
      </c>
      <c r="B286">
        <v>57</v>
      </c>
    </row>
    <row r="287" spans="1:2" x14ac:dyDescent="0.25">
      <c r="A287">
        <v>336</v>
      </c>
      <c r="B287">
        <v>71</v>
      </c>
    </row>
    <row r="288" spans="1:2" x14ac:dyDescent="0.25">
      <c r="A288">
        <v>27</v>
      </c>
      <c r="B288">
        <v>4</v>
      </c>
    </row>
    <row r="289" spans="1:2" x14ac:dyDescent="0.25">
      <c r="A289">
        <v>333</v>
      </c>
      <c r="B289">
        <v>50</v>
      </c>
    </row>
    <row r="290" spans="1:2" x14ac:dyDescent="0.25">
      <c r="A290">
        <v>36</v>
      </c>
      <c r="B290">
        <v>7</v>
      </c>
    </row>
    <row r="291" spans="1:2" x14ac:dyDescent="0.25">
      <c r="A291">
        <v>333</v>
      </c>
      <c r="B291">
        <v>-15</v>
      </c>
    </row>
    <row r="292" spans="1:2" x14ac:dyDescent="0.25">
      <c r="A292">
        <v>327</v>
      </c>
      <c r="B292">
        <v>114</v>
      </c>
    </row>
    <row r="293" spans="1:2" x14ac:dyDescent="0.25">
      <c r="A293">
        <v>18</v>
      </c>
      <c r="B293">
        <v>6</v>
      </c>
    </row>
    <row r="294" spans="1:2" x14ac:dyDescent="0.25">
      <c r="A294">
        <v>325</v>
      </c>
      <c r="B294">
        <v>32</v>
      </c>
    </row>
    <row r="295" spans="1:2" x14ac:dyDescent="0.25">
      <c r="A295">
        <v>482</v>
      </c>
      <c r="B295">
        <v>-6</v>
      </c>
    </row>
    <row r="296" spans="1:2" x14ac:dyDescent="0.25">
      <c r="A296">
        <v>465</v>
      </c>
      <c r="B296">
        <v>-33</v>
      </c>
    </row>
    <row r="297" spans="1:2" x14ac:dyDescent="0.25">
      <c r="A297">
        <v>40</v>
      </c>
      <c r="B297">
        <v>-12</v>
      </c>
    </row>
    <row r="298" spans="1:2" x14ac:dyDescent="0.25">
      <c r="A298">
        <v>107</v>
      </c>
      <c r="B298">
        <v>36</v>
      </c>
    </row>
    <row r="299" spans="1:2" x14ac:dyDescent="0.25">
      <c r="A299">
        <v>312</v>
      </c>
      <c r="B299">
        <v>-312</v>
      </c>
    </row>
    <row r="300" spans="1:2" x14ac:dyDescent="0.25">
      <c r="A300">
        <v>451</v>
      </c>
      <c r="B300">
        <v>25</v>
      </c>
    </row>
    <row r="301" spans="1:2" x14ac:dyDescent="0.25">
      <c r="A301">
        <v>312</v>
      </c>
      <c r="B301">
        <v>62</v>
      </c>
    </row>
    <row r="302" spans="1:2" x14ac:dyDescent="0.25">
      <c r="A302">
        <v>311</v>
      </c>
      <c r="B302">
        <v>72</v>
      </c>
    </row>
    <row r="303" spans="1:2" x14ac:dyDescent="0.25">
      <c r="A303">
        <v>11</v>
      </c>
      <c r="B303">
        <v>5</v>
      </c>
    </row>
    <row r="304" spans="1:2" x14ac:dyDescent="0.25">
      <c r="A304">
        <v>37</v>
      </c>
      <c r="B304">
        <v>-5</v>
      </c>
    </row>
    <row r="305" spans="1:2" x14ac:dyDescent="0.25">
      <c r="A305">
        <v>444</v>
      </c>
      <c r="B305">
        <v>-200</v>
      </c>
    </row>
    <row r="306" spans="1:2" x14ac:dyDescent="0.25">
      <c r="A306">
        <v>434</v>
      </c>
      <c r="B306">
        <v>26</v>
      </c>
    </row>
    <row r="307" spans="1:2" x14ac:dyDescent="0.25">
      <c r="A307">
        <v>299</v>
      </c>
      <c r="B307">
        <v>0</v>
      </c>
    </row>
    <row r="308" spans="1:2" x14ac:dyDescent="0.25">
      <c r="A308">
        <v>37</v>
      </c>
      <c r="B308">
        <v>17</v>
      </c>
    </row>
    <row r="309" spans="1:2" x14ac:dyDescent="0.25">
      <c r="A309">
        <v>299</v>
      </c>
      <c r="B309">
        <v>113</v>
      </c>
    </row>
    <row r="310" spans="1:2" x14ac:dyDescent="0.25">
      <c r="A310">
        <v>298</v>
      </c>
      <c r="B310">
        <v>74</v>
      </c>
    </row>
    <row r="311" spans="1:2" x14ac:dyDescent="0.25">
      <c r="A311">
        <v>94</v>
      </c>
      <c r="B311">
        <v>7</v>
      </c>
    </row>
    <row r="312" spans="1:2" x14ac:dyDescent="0.25">
      <c r="A312">
        <v>296</v>
      </c>
      <c r="B312">
        <v>225</v>
      </c>
    </row>
    <row r="313" spans="1:2" x14ac:dyDescent="0.25">
      <c r="A313">
        <v>37</v>
      </c>
      <c r="B313">
        <v>17</v>
      </c>
    </row>
    <row r="314" spans="1:2" x14ac:dyDescent="0.25">
      <c r="A314">
        <v>291</v>
      </c>
      <c r="B314">
        <v>93</v>
      </c>
    </row>
    <row r="315" spans="1:2" x14ac:dyDescent="0.25">
      <c r="A315">
        <v>327</v>
      </c>
      <c r="B315">
        <v>-39</v>
      </c>
    </row>
    <row r="316" spans="1:2" x14ac:dyDescent="0.25">
      <c r="A316">
        <v>291</v>
      </c>
      <c r="B316">
        <v>119</v>
      </c>
    </row>
    <row r="317" spans="1:2" x14ac:dyDescent="0.25">
      <c r="A317">
        <v>287</v>
      </c>
      <c r="B317">
        <v>-66</v>
      </c>
    </row>
    <row r="318" spans="1:2" x14ac:dyDescent="0.25">
      <c r="A318">
        <v>42</v>
      </c>
      <c r="B318">
        <v>15</v>
      </c>
    </row>
    <row r="319" spans="1:2" x14ac:dyDescent="0.25">
      <c r="A319">
        <v>429</v>
      </c>
      <c r="B319">
        <v>61</v>
      </c>
    </row>
    <row r="320" spans="1:2" x14ac:dyDescent="0.25">
      <c r="A320">
        <v>285</v>
      </c>
      <c r="B320">
        <v>128</v>
      </c>
    </row>
    <row r="321" spans="1:2" x14ac:dyDescent="0.25">
      <c r="A321">
        <v>277</v>
      </c>
      <c r="B321">
        <v>3</v>
      </c>
    </row>
    <row r="322" spans="1:2" x14ac:dyDescent="0.25">
      <c r="A322">
        <v>274</v>
      </c>
      <c r="B322">
        <v>-7</v>
      </c>
    </row>
    <row r="323" spans="1:2" x14ac:dyDescent="0.25">
      <c r="A323">
        <v>273</v>
      </c>
      <c r="B323">
        <v>-87</v>
      </c>
    </row>
    <row r="324" spans="1:2" x14ac:dyDescent="0.25">
      <c r="A324">
        <v>269</v>
      </c>
      <c r="B324">
        <v>91</v>
      </c>
    </row>
    <row r="325" spans="1:2" x14ac:dyDescent="0.25">
      <c r="A325">
        <v>11</v>
      </c>
      <c r="B325">
        <v>5</v>
      </c>
    </row>
    <row r="326" spans="1:2" x14ac:dyDescent="0.25">
      <c r="A326">
        <v>39</v>
      </c>
      <c r="B326">
        <v>2</v>
      </c>
    </row>
    <row r="327" spans="1:2" x14ac:dyDescent="0.25">
      <c r="A327">
        <v>264</v>
      </c>
      <c r="B327">
        <v>-26</v>
      </c>
    </row>
    <row r="328" spans="1:2" x14ac:dyDescent="0.25">
      <c r="A328">
        <v>40</v>
      </c>
      <c r="B328">
        <v>16</v>
      </c>
    </row>
    <row r="329" spans="1:2" x14ac:dyDescent="0.25">
      <c r="A329">
        <v>41</v>
      </c>
      <c r="B329">
        <v>19</v>
      </c>
    </row>
    <row r="330" spans="1:2" x14ac:dyDescent="0.25">
      <c r="A330">
        <v>253</v>
      </c>
      <c r="B330">
        <v>-63</v>
      </c>
    </row>
    <row r="331" spans="1:2" x14ac:dyDescent="0.25">
      <c r="A331">
        <v>406</v>
      </c>
      <c r="B331">
        <v>97</v>
      </c>
    </row>
    <row r="332" spans="1:2" x14ac:dyDescent="0.25">
      <c r="A332">
        <v>32</v>
      </c>
      <c r="B332">
        <v>7</v>
      </c>
    </row>
    <row r="333" spans="1:2" x14ac:dyDescent="0.25">
      <c r="A333">
        <v>260</v>
      </c>
      <c r="B333">
        <v>68</v>
      </c>
    </row>
    <row r="334" spans="1:2" x14ac:dyDescent="0.25">
      <c r="A334">
        <v>41</v>
      </c>
      <c r="B334">
        <v>19</v>
      </c>
    </row>
    <row r="335" spans="1:2" x14ac:dyDescent="0.25">
      <c r="A335">
        <v>401</v>
      </c>
      <c r="B335">
        <v>13</v>
      </c>
    </row>
    <row r="336" spans="1:2" x14ac:dyDescent="0.25">
      <c r="A336">
        <v>382</v>
      </c>
      <c r="B336">
        <v>30</v>
      </c>
    </row>
    <row r="337" spans="1:2" x14ac:dyDescent="0.25">
      <c r="A337">
        <v>867</v>
      </c>
      <c r="B337">
        <v>251</v>
      </c>
    </row>
    <row r="338" spans="1:2" x14ac:dyDescent="0.25">
      <c r="A338">
        <v>43</v>
      </c>
      <c r="B338">
        <v>0</v>
      </c>
    </row>
    <row r="339" spans="1:2" x14ac:dyDescent="0.25">
      <c r="A339">
        <v>43</v>
      </c>
      <c r="B339">
        <v>-43</v>
      </c>
    </row>
    <row r="340" spans="1:2" x14ac:dyDescent="0.25">
      <c r="A340">
        <v>74</v>
      </c>
      <c r="B340">
        <v>29</v>
      </c>
    </row>
    <row r="341" spans="1:2" x14ac:dyDescent="0.25">
      <c r="A341">
        <v>44</v>
      </c>
      <c r="B341">
        <v>-26</v>
      </c>
    </row>
    <row r="342" spans="1:2" x14ac:dyDescent="0.25">
      <c r="A342">
        <v>259</v>
      </c>
      <c r="B342">
        <v>-55</v>
      </c>
    </row>
    <row r="343" spans="1:2" x14ac:dyDescent="0.25">
      <c r="A343">
        <v>257</v>
      </c>
      <c r="B343">
        <v>23</v>
      </c>
    </row>
    <row r="344" spans="1:2" x14ac:dyDescent="0.25">
      <c r="A344">
        <v>76</v>
      </c>
      <c r="B344">
        <v>27</v>
      </c>
    </row>
    <row r="345" spans="1:2" x14ac:dyDescent="0.25">
      <c r="A345">
        <v>44</v>
      </c>
      <c r="B345">
        <v>-32</v>
      </c>
    </row>
    <row r="346" spans="1:2" x14ac:dyDescent="0.25">
      <c r="A346">
        <v>257</v>
      </c>
      <c r="B346">
        <v>3</v>
      </c>
    </row>
    <row r="347" spans="1:2" x14ac:dyDescent="0.25">
      <c r="A347">
        <v>255</v>
      </c>
      <c r="B347">
        <v>76</v>
      </c>
    </row>
    <row r="348" spans="1:2" x14ac:dyDescent="0.25">
      <c r="A348">
        <v>44</v>
      </c>
      <c r="B348">
        <v>14</v>
      </c>
    </row>
    <row r="349" spans="1:2" x14ac:dyDescent="0.25">
      <c r="A349">
        <v>45</v>
      </c>
      <c r="B349">
        <v>-2</v>
      </c>
    </row>
    <row r="350" spans="1:2" x14ac:dyDescent="0.25">
      <c r="A350">
        <v>44</v>
      </c>
      <c r="B350">
        <v>-3</v>
      </c>
    </row>
    <row r="351" spans="1:2" x14ac:dyDescent="0.25">
      <c r="A351">
        <v>382</v>
      </c>
      <c r="B351">
        <v>119</v>
      </c>
    </row>
    <row r="352" spans="1:2" x14ac:dyDescent="0.25">
      <c r="A352">
        <v>250</v>
      </c>
      <c r="B352">
        <v>100</v>
      </c>
    </row>
    <row r="353" spans="1:2" x14ac:dyDescent="0.25">
      <c r="A353">
        <v>45</v>
      </c>
      <c r="B353">
        <v>-15</v>
      </c>
    </row>
    <row r="354" spans="1:2" x14ac:dyDescent="0.25">
      <c r="A354">
        <v>246</v>
      </c>
      <c r="B354">
        <v>61</v>
      </c>
    </row>
    <row r="355" spans="1:2" x14ac:dyDescent="0.25">
      <c r="A355">
        <v>50</v>
      </c>
      <c r="B355">
        <v>25</v>
      </c>
    </row>
    <row r="356" spans="1:2" x14ac:dyDescent="0.25">
      <c r="A356">
        <v>246</v>
      </c>
      <c r="B356">
        <v>98</v>
      </c>
    </row>
    <row r="357" spans="1:2" x14ac:dyDescent="0.25">
      <c r="A357">
        <v>44</v>
      </c>
      <c r="B357">
        <v>99</v>
      </c>
    </row>
    <row r="358" spans="1:2" x14ac:dyDescent="0.25">
      <c r="A358">
        <v>245</v>
      </c>
      <c r="B358">
        <v>-78</v>
      </c>
    </row>
    <row r="359" spans="1:2" x14ac:dyDescent="0.25">
      <c r="A359">
        <v>245</v>
      </c>
      <c r="B359">
        <v>30</v>
      </c>
    </row>
    <row r="360" spans="1:2" x14ac:dyDescent="0.25">
      <c r="A360">
        <v>376</v>
      </c>
      <c r="B360">
        <v>0</v>
      </c>
    </row>
    <row r="361" spans="1:2" x14ac:dyDescent="0.25">
      <c r="A361">
        <v>45</v>
      </c>
      <c r="B361">
        <v>1</v>
      </c>
    </row>
    <row r="362" spans="1:2" x14ac:dyDescent="0.25">
      <c r="A362">
        <v>45</v>
      </c>
      <c r="B362">
        <v>-28</v>
      </c>
    </row>
    <row r="363" spans="1:2" x14ac:dyDescent="0.25">
      <c r="A363">
        <v>244</v>
      </c>
      <c r="B363">
        <v>-122</v>
      </c>
    </row>
    <row r="364" spans="1:2" x14ac:dyDescent="0.25">
      <c r="A364">
        <v>244</v>
      </c>
      <c r="B364">
        <v>83</v>
      </c>
    </row>
    <row r="365" spans="1:2" x14ac:dyDescent="0.25">
      <c r="A365">
        <v>10</v>
      </c>
      <c r="B365">
        <v>4</v>
      </c>
    </row>
    <row r="366" spans="1:2" x14ac:dyDescent="0.25">
      <c r="A366">
        <v>375</v>
      </c>
      <c r="B366">
        <v>180</v>
      </c>
    </row>
    <row r="367" spans="1:2" x14ac:dyDescent="0.25">
      <c r="A367">
        <v>46</v>
      </c>
      <c r="B367">
        <v>14</v>
      </c>
    </row>
    <row r="368" spans="1:2" x14ac:dyDescent="0.25">
      <c r="A368">
        <v>49</v>
      </c>
      <c r="B368">
        <v>-31</v>
      </c>
    </row>
    <row r="369" spans="1:2" x14ac:dyDescent="0.25">
      <c r="A369">
        <v>47</v>
      </c>
      <c r="B369">
        <v>-20</v>
      </c>
    </row>
    <row r="370" spans="1:2" x14ac:dyDescent="0.25">
      <c r="A370">
        <v>355</v>
      </c>
      <c r="B370">
        <v>-114</v>
      </c>
    </row>
    <row r="371" spans="1:2" x14ac:dyDescent="0.25">
      <c r="A371">
        <v>32</v>
      </c>
      <c r="B371">
        <v>8</v>
      </c>
    </row>
    <row r="372" spans="1:2" x14ac:dyDescent="0.25">
      <c r="A372">
        <v>243</v>
      </c>
      <c r="B372">
        <v>-14</v>
      </c>
    </row>
    <row r="373" spans="1:2" x14ac:dyDescent="0.25">
      <c r="A373">
        <v>241</v>
      </c>
      <c r="B373">
        <v>-77</v>
      </c>
    </row>
    <row r="374" spans="1:2" x14ac:dyDescent="0.25">
      <c r="A374">
        <v>47</v>
      </c>
      <c r="B374">
        <v>15</v>
      </c>
    </row>
    <row r="375" spans="1:2" x14ac:dyDescent="0.25">
      <c r="A375">
        <v>50</v>
      </c>
      <c r="B375">
        <v>-10</v>
      </c>
    </row>
    <row r="376" spans="1:2" x14ac:dyDescent="0.25">
      <c r="A376">
        <v>15</v>
      </c>
      <c r="B376">
        <v>6</v>
      </c>
    </row>
    <row r="377" spans="1:2" x14ac:dyDescent="0.25">
      <c r="A377">
        <v>148</v>
      </c>
      <c r="B377">
        <v>24</v>
      </c>
    </row>
    <row r="378" spans="1:2" x14ac:dyDescent="0.25">
      <c r="A378">
        <v>299</v>
      </c>
      <c r="B378">
        <v>-28</v>
      </c>
    </row>
    <row r="379" spans="1:2" x14ac:dyDescent="0.25">
      <c r="A379">
        <v>68</v>
      </c>
      <c r="B379">
        <v>-30</v>
      </c>
    </row>
    <row r="380" spans="1:2" x14ac:dyDescent="0.25">
      <c r="A380">
        <v>52</v>
      </c>
      <c r="B380">
        <v>18</v>
      </c>
    </row>
    <row r="381" spans="1:2" x14ac:dyDescent="0.25">
      <c r="A381">
        <v>239</v>
      </c>
      <c r="B381">
        <v>-162</v>
      </c>
    </row>
    <row r="382" spans="1:2" x14ac:dyDescent="0.25">
      <c r="A382">
        <v>27</v>
      </c>
      <c r="B382">
        <v>6</v>
      </c>
    </row>
    <row r="383" spans="1:2" x14ac:dyDescent="0.25">
      <c r="A383">
        <v>238</v>
      </c>
      <c r="B383">
        <v>20</v>
      </c>
    </row>
    <row r="384" spans="1:2" x14ac:dyDescent="0.25">
      <c r="A384">
        <v>48</v>
      </c>
      <c r="B384">
        <v>16</v>
      </c>
    </row>
    <row r="385" spans="1:2" x14ac:dyDescent="0.25">
      <c r="A385">
        <v>66</v>
      </c>
      <c r="B385">
        <v>22</v>
      </c>
    </row>
    <row r="386" spans="1:2" x14ac:dyDescent="0.25">
      <c r="A386">
        <v>53</v>
      </c>
      <c r="B386">
        <v>24</v>
      </c>
    </row>
    <row r="387" spans="1:2" x14ac:dyDescent="0.25">
      <c r="A387">
        <v>233</v>
      </c>
      <c r="B387">
        <v>-10</v>
      </c>
    </row>
    <row r="388" spans="1:2" x14ac:dyDescent="0.25">
      <c r="A388">
        <v>53</v>
      </c>
      <c r="B388">
        <v>-2</v>
      </c>
    </row>
    <row r="389" spans="1:2" x14ac:dyDescent="0.25">
      <c r="A389">
        <v>54</v>
      </c>
      <c r="B389">
        <v>8</v>
      </c>
    </row>
    <row r="390" spans="1:2" x14ac:dyDescent="0.25">
      <c r="A390">
        <v>352</v>
      </c>
      <c r="B390">
        <v>-345</v>
      </c>
    </row>
    <row r="391" spans="1:2" x14ac:dyDescent="0.25">
      <c r="A391">
        <v>349</v>
      </c>
      <c r="B391">
        <v>0</v>
      </c>
    </row>
    <row r="392" spans="1:2" x14ac:dyDescent="0.25">
      <c r="A392">
        <v>341</v>
      </c>
      <c r="B392">
        <v>-85</v>
      </c>
    </row>
    <row r="393" spans="1:2" x14ac:dyDescent="0.25">
      <c r="A393">
        <v>54</v>
      </c>
      <c r="B393">
        <v>12</v>
      </c>
    </row>
    <row r="394" spans="1:2" x14ac:dyDescent="0.25">
      <c r="A394">
        <v>57</v>
      </c>
      <c r="B394">
        <v>7</v>
      </c>
    </row>
    <row r="395" spans="1:2" x14ac:dyDescent="0.25">
      <c r="A395">
        <v>340</v>
      </c>
      <c r="B395">
        <v>20</v>
      </c>
    </row>
    <row r="396" spans="1:2" x14ac:dyDescent="0.25">
      <c r="A396">
        <v>227</v>
      </c>
      <c r="B396">
        <v>48</v>
      </c>
    </row>
    <row r="397" spans="1:2" x14ac:dyDescent="0.25">
      <c r="A397">
        <v>330</v>
      </c>
      <c r="B397">
        <v>81</v>
      </c>
    </row>
    <row r="398" spans="1:2" x14ac:dyDescent="0.25">
      <c r="A398">
        <v>216</v>
      </c>
      <c r="B398">
        <v>-38</v>
      </c>
    </row>
    <row r="399" spans="1:2" x14ac:dyDescent="0.25">
      <c r="A399">
        <v>224</v>
      </c>
      <c r="B399">
        <v>-143</v>
      </c>
    </row>
    <row r="400" spans="1:2" x14ac:dyDescent="0.25">
      <c r="A400">
        <v>55</v>
      </c>
      <c r="B400">
        <v>-33</v>
      </c>
    </row>
    <row r="401" spans="1:2" x14ac:dyDescent="0.25">
      <c r="A401">
        <v>49</v>
      </c>
      <c r="B401">
        <v>21</v>
      </c>
    </row>
    <row r="402" spans="1:2" x14ac:dyDescent="0.25">
      <c r="A402">
        <v>224</v>
      </c>
      <c r="B402">
        <v>87</v>
      </c>
    </row>
    <row r="403" spans="1:2" x14ac:dyDescent="0.25">
      <c r="A403">
        <v>223</v>
      </c>
      <c r="B403">
        <v>27</v>
      </c>
    </row>
    <row r="404" spans="1:2" x14ac:dyDescent="0.25">
      <c r="A404">
        <v>324</v>
      </c>
      <c r="B404">
        <v>39</v>
      </c>
    </row>
    <row r="405" spans="1:2" x14ac:dyDescent="0.25">
      <c r="A405">
        <v>56</v>
      </c>
      <c r="B405">
        <v>18</v>
      </c>
    </row>
    <row r="406" spans="1:2" x14ac:dyDescent="0.25">
      <c r="A406">
        <v>223</v>
      </c>
      <c r="B406">
        <v>62</v>
      </c>
    </row>
    <row r="407" spans="1:2" x14ac:dyDescent="0.25">
      <c r="A407">
        <v>10</v>
      </c>
      <c r="B407">
        <v>2</v>
      </c>
    </row>
    <row r="408" spans="1:2" x14ac:dyDescent="0.25">
      <c r="A408">
        <v>57</v>
      </c>
      <c r="B408">
        <v>6</v>
      </c>
    </row>
    <row r="409" spans="1:2" x14ac:dyDescent="0.25">
      <c r="A409">
        <v>322</v>
      </c>
      <c r="B409">
        <v>-113</v>
      </c>
    </row>
    <row r="410" spans="1:2" x14ac:dyDescent="0.25">
      <c r="A410">
        <v>219</v>
      </c>
      <c r="B410">
        <v>4</v>
      </c>
    </row>
    <row r="411" spans="1:2" x14ac:dyDescent="0.25">
      <c r="A411">
        <v>103</v>
      </c>
      <c r="B411">
        <v>21</v>
      </c>
    </row>
    <row r="412" spans="1:2" x14ac:dyDescent="0.25">
      <c r="A412">
        <v>47</v>
      </c>
      <c r="B412">
        <v>-27</v>
      </c>
    </row>
    <row r="413" spans="1:2" x14ac:dyDescent="0.25">
      <c r="A413">
        <v>219</v>
      </c>
      <c r="B413">
        <v>0</v>
      </c>
    </row>
    <row r="414" spans="1:2" x14ac:dyDescent="0.25">
      <c r="A414">
        <v>57</v>
      </c>
      <c r="B414">
        <v>-48</v>
      </c>
    </row>
    <row r="415" spans="1:2" x14ac:dyDescent="0.25">
      <c r="A415">
        <v>319</v>
      </c>
      <c r="B415">
        <v>102</v>
      </c>
    </row>
    <row r="416" spans="1:2" x14ac:dyDescent="0.25">
      <c r="A416">
        <v>315</v>
      </c>
      <c r="B416">
        <v>-8</v>
      </c>
    </row>
    <row r="417" spans="1:2" x14ac:dyDescent="0.25">
      <c r="A417">
        <v>314</v>
      </c>
      <c r="B417">
        <v>-41</v>
      </c>
    </row>
    <row r="418" spans="1:2" x14ac:dyDescent="0.25">
      <c r="A418">
        <v>311</v>
      </c>
      <c r="B418">
        <v>40</v>
      </c>
    </row>
    <row r="419" spans="1:2" x14ac:dyDescent="0.25">
      <c r="A419">
        <v>307</v>
      </c>
      <c r="B419">
        <v>74</v>
      </c>
    </row>
    <row r="420" spans="1:2" x14ac:dyDescent="0.25">
      <c r="A420">
        <v>294</v>
      </c>
      <c r="B420">
        <v>109</v>
      </c>
    </row>
    <row r="421" spans="1:2" x14ac:dyDescent="0.25">
      <c r="A421">
        <v>216</v>
      </c>
      <c r="B421">
        <v>-83</v>
      </c>
    </row>
    <row r="422" spans="1:2" x14ac:dyDescent="0.25">
      <c r="A422">
        <v>58</v>
      </c>
      <c r="B422">
        <v>-42</v>
      </c>
    </row>
    <row r="423" spans="1:2" x14ac:dyDescent="0.25">
      <c r="A423">
        <v>48</v>
      </c>
      <c r="B423">
        <v>20</v>
      </c>
    </row>
    <row r="424" spans="1:2" x14ac:dyDescent="0.25">
      <c r="A424">
        <v>54</v>
      </c>
      <c r="B424">
        <v>14</v>
      </c>
    </row>
    <row r="425" spans="1:2" x14ac:dyDescent="0.25">
      <c r="A425">
        <v>216</v>
      </c>
      <c r="B425">
        <v>50</v>
      </c>
    </row>
    <row r="426" spans="1:2" x14ac:dyDescent="0.25">
      <c r="A426">
        <v>215</v>
      </c>
      <c r="B426">
        <v>-30</v>
      </c>
    </row>
    <row r="427" spans="1:2" x14ac:dyDescent="0.25">
      <c r="A427">
        <v>43</v>
      </c>
      <c r="B427">
        <v>8</v>
      </c>
    </row>
    <row r="428" spans="1:2" x14ac:dyDescent="0.25">
      <c r="A428">
        <v>136</v>
      </c>
      <c r="B428">
        <v>-33</v>
      </c>
    </row>
    <row r="429" spans="1:2" x14ac:dyDescent="0.25">
      <c r="A429">
        <v>59</v>
      </c>
      <c r="B429">
        <v>-30</v>
      </c>
    </row>
    <row r="430" spans="1:2" x14ac:dyDescent="0.25">
      <c r="A430">
        <v>213</v>
      </c>
      <c r="B430">
        <v>4</v>
      </c>
    </row>
    <row r="431" spans="1:2" x14ac:dyDescent="0.25">
      <c r="A431">
        <v>59</v>
      </c>
      <c r="B431">
        <v>21</v>
      </c>
    </row>
    <row r="432" spans="1:2" x14ac:dyDescent="0.25">
      <c r="A432">
        <v>55</v>
      </c>
      <c r="B432">
        <v>3</v>
      </c>
    </row>
    <row r="433" spans="1:2" x14ac:dyDescent="0.25">
      <c r="A433">
        <v>294</v>
      </c>
      <c r="B433">
        <v>62</v>
      </c>
    </row>
    <row r="434" spans="1:2" x14ac:dyDescent="0.25">
      <c r="A434">
        <v>210</v>
      </c>
      <c r="B434">
        <v>62</v>
      </c>
    </row>
    <row r="435" spans="1:2" x14ac:dyDescent="0.25">
      <c r="A435">
        <v>59</v>
      </c>
      <c r="B435">
        <v>24</v>
      </c>
    </row>
    <row r="436" spans="1:2" x14ac:dyDescent="0.25">
      <c r="A436">
        <v>396</v>
      </c>
      <c r="B436">
        <v>-31</v>
      </c>
    </row>
    <row r="437" spans="1:2" x14ac:dyDescent="0.25">
      <c r="A437">
        <v>284</v>
      </c>
      <c r="B437">
        <v>45</v>
      </c>
    </row>
    <row r="438" spans="1:2" x14ac:dyDescent="0.25">
      <c r="A438">
        <v>276</v>
      </c>
      <c r="B438">
        <v>52</v>
      </c>
    </row>
    <row r="439" spans="1:2" x14ac:dyDescent="0.25">
      <c r="A439">
        <v>23</v>
      </c>
      <c r="B439">
        <v>2</v>
      </c>
    </row>
    <row r="440" spans="1:2" x14ac:dyDescent="0.25">
      <c r="A440">
        <v>209</v>
      </c>
      <c r="B440">
        <v>-63</v>
      </c>
    </row>
    <row r="441" spans="1:2" x14ac:dyDescent="0.25">
      <c r="A441">
        <v>50</v>
      </c>
      <c r="B441">
        <v>-28</v>
      </c>
    </row>
    <row r="442" spans="1:2" x14ac:dyDescent="0.25">
      <c r="A442">
        <v>57</v>
      </c>
      <c r="B442">
        <v>27</v>
      </c>
    </row>
    <row r="443" spans="1:2" x14ac:dyDescent="0.25">
      <c r="A443">
        <v>276</v>
      </c>
      <c r="B443">
        <v>-21</v>
      </c>
    </row>
    <row r="444" spans="1:2" x14ac:dyDescent="0.25">
      <c r="A444">
        <v>268</v>
      </c>
      <c r="B444">
        <v>6</v>
      </c>
    </row>
    <row r="445" spans="1:2" x14ac:dyDescent="0.25">
      <c r="A445">
        <v>269</v>
      </c>
      <c r="B445">
        <v>111</v>
      </c>
    </row>
    <row r="446" spans="1:2" x14ac:dyDescent="0.25">
      <c r="A446">
        <v>209</v>
      </c>
      <c r="B446">
        <v>2</v>
      </c>
    </row>
    <row r="447" spans="1:2" x14ac:dyDescent="0.25">
      <c r="A447">
        <v>60</v>
      </c>
      <c r="B447">
        <v>-12</v>
      </c>
    </row>
    <row r="448" spans="1:2" x14ac:dyDescent="0.25">
      <c r="A448">
        <v>269</v>
      </c>
      <c r="B448">
        <v>-86</v>
      </c>
    </row>
    <row r="449" spans="1:2" x14ac:dyDescent="0.25">
      <c r="A449">
        <v>208</v>
      </c>
      <c r="B449">
        <v>-25</v>
      </c>
    </row>
    <row r="450" spans="1:2" x14ac:dyDescent="0.25">
      <c r="A450">
        <v>27</v>
      </c>
      <c r="B450">
        <v>2</v>
      </c>
    </row>
    <row r="451" spans="1:2" x14ac:dyDescent="0.25">
      <c r="A451">
        <v>206</v>
      </c>
      <c r="B451">
        <v>-206</v>
      </c>
    </row>
    <row r="452" spans="1:2" x14ac:dyDescent="0.25">
      <c r="A452">
        <v>61</v>
      </c>
      <c r="B452">
        <v>8</v>
      </c>
    </row>
    <row r="453" spans="1:2" x14ac:dyDescent="0.25">
      <c r="A453">
        <v>212</v>
      </c>
      <c r="B453">
        <v>-24</v>
      </c>
    </row>
    <row r="454" spans="1:2" x14ac:dyDescent="0.25">
      <c r="A454">
        <v>262</v>
      </c>
      <c r="B454">
        <v>64</v>
      </c>
    </row>
    <row r="455" spans="1:2" x14ac:dyDescent="0.25">
      <c r="A455">
        <v>204</v>
      </c>
      <c r="B455">
        <v>276</v>
      </c>
    </row>
    <row r="456" spans="1:2" x14ac:dyDescent="0.25">
      <c r="A456">
        <v>59</v>
      </c>
      <c r="B456">
        <v>-46</v>
      </c>
    </row>
    <row r="457" spans="1:2" x14ac:dyDescent="0.25">
      <c r="A457">
        <v>199</v>
      </c>
      <c r="B457">
        <v>-18</v>
      </c>
    </row>
    <row r="458" spans="1:2" x14ac:dyDescent="0.25">
      <c r="A458">
        <v>59</v>
      </c>
      <c r="B458">
        <v>6</v>
      </c>
    </row>
    <row r="459" spans="1:2" x14ac:dyDescent="0.25">
      <c r="A459">
        <v>45</v>
      </c>
      <c r="B459">
        <v>9</v>
      </c>
    </row>
    <row r="460" spans="1:2" x14ac:dyDescent="0.25">
      <c r="A460">
        <v>211</v>
      </c>
      <c r="B460">
        <v>19</v>
      </c>
    </row>
    <row r="461" spans="1:2" x14ac:dyDescent="0.25">
      <c r="A461">
        <v>65</v>
      </c>
      <c r="B461">
        <v>-16</v>
      </c>
    </row>
    <row r="462" spans="1:2" x14ac:dyDescent="0.25">
      <c r="A462">
        <v>25</v>
      </c>
      <c r="B462">
        <v>0</v>
      </c>
    </row>
    <row r="463" spans="1:2" x14ac:dyDescent="0.25">
      <c r="A463">
        <v>196</v>
      </c>
      <c r="B463">
        <v>-7</v>
      </c>
    </row>
    <row r="464" spans="1:2" x14ac:dyDescent="0.25">
      <c r="A464">
        <v>261</v>
      </c>
      <c r="B464">
        <v>13</v>
      </c>
    </row>
    <row r="465" spans="1:2" x14ac:dyDescent="0.25">
      <c r="A465">
        <v>195</v>
      </c>
      <c r="B465">
        <v>-117</v>
      </c>
    </row>
    <row r="466" spans="1:2" x14ac:dyDescent="0.25">
      <c r="A466">
        <v>192</v>
      </c>
      <c r="B466">
        <v>-146</v>
      </c>
    </row>
    <row r="467" spans="1:2" x14ac:dyDescent="0.25">
      <c r="A467">
        <v>189</v>
      </c>
      <c r="B467">
        <v>87</v>
      </c>
    </row>
    <row r="468" spans="1:2" x14ac:dyDescent="0.25">
      <c r="A468">
        <v>32</v>
      </c>
      <c r="B468">
        <v>2</v>
      </c>
    </row>
    <row r="469" spans="1:2" x14ac:dyDescent="0.25">
      <c r="A469">
        <v>188</v>
      </c>
      <c r="B469">
        <v>13</v>
      </c>
    </row>
    <row r="470" spans="1:2" x14ac:dyDescent="0.25">
      <c r="A470">
        <v>73</v>
      </c>
      <c r="B470">
        <v>-25</v>
      </c>
    </row>
    <row r="471" spans="1:2" x14ac:dyDescent="0.25">
      <c r="A471">
        <v>259</v>
      </c>
      <c r="B471">
        <v>47</v>
      </c>
    </row>
    <row r="472" spans="1:2" x14ac:dyDescent="0.25">
      <c r="A472">
        <v>187</v>
      </c>
      <c r="B472">
        <v>-15</v>
      </c>
    </row>
    <row r="473" spans="1:2" x14ac:dyDescent="0.25">
      <c r="A473">
        <v>26</v>
      </c>
      <c r="B473">
        <v>11</v>
      </c>
    </row>
    <row r="474" spans="1:2" x14ac:dyDescent="0.25">
      <c r="A474">
        <v>185</v>
      </c>
      <c r="B474">
        <v>-26</v>
      </c>
    </row>
    <row r="475" spans="1:2" x14ac:dyDescent="0.25">
      <c r="A475">
        <v>248</v>
      </c>
      <c r="B475">
        <v>8</v>
      </c>
    </row>
    <row r="476" spans="1:2" x14ac:dyDescent="0.25">
      <c r="A476">
        <v>67</v>
      </c>
      <c r="B476">
        <v>9</v>
      </c>
    </row>
    <row r="477" spans="1:2" x14ac:dyDescent="0.25">
      <c r="A477">
        <v>248</v>
      </c>
      <c r="B477">
        <v>-70</v>
      </c>
    </row>
    <row r="478" spans="1:2" x14ac:dyDescent="0.25">
      <c r="A478">
        <v>246</v>
      </c>
      <c r="B478">
        <v>61</v>
      </c>
    </row>
    <row r="479" spans="1:2" x14ac:dyDescent="0.25">
      <c r="A479">
        <v>179</v>
      </c>
      <c r="B479">
        <v>-25</v>
      </c>
    </row>
    <row r="480" spans="1:2" x14ac:dyDescent="0.25">
      <c r="A480">
        <v>176</v>
      </c>
      <c r="B480">
        <v>-28</v>
      </c>
    </row>
    <row r="481" spans="1:2" x14ac:dyDescent="0.25">
      <c r="A481">
        <v>176</v>
      </c>
      <c r="B481">
        <v>-13</v>
      </c>
    </row>
    <row r="482" spans="1:2" x14ac:dyDescent="0.25">
      <c r="A482">
        <v>68</v>
      </c>
      <c r="B482">
        <v>-62</v>
      </c>
    </row>
    <row r="483" spans="1:2" x14ac:dyDescent="0.25">
      <c r="A483">
        <v>176</v>
      </c>
      <c r="B483">
        <v>37</v>
      </c>
    </row>
    <row r="484" spans="1:2" x14ac:dyDescent="0.25">
      <c r="A484">
        <v>88</v>
      </c>
      <c r="B484">
        <v>11</v>
      </c>
    </row>
    <row r="485" spans="1:2" x14ac:dyDescent="0.25">
      <c r="A485">
        <v>68</v>
      </c>
      <c r="B485">
        <v>20</v>
      </c>
    </row>
    <row r="486" spans="1:2" x14ac:dyDescent="0.25">
      <c r="A486">
        <v>231</v>
      </c>
      <c r="B486">
        <v>99</v>
      </c>
    </row>
    <row r="487" spans="1:2" x14ac:dyDescent="0.25">
      <c r="A487">
        <v>62</v>
      </c>
      <c r="B487">
        <v>8</v>
      </c>
    </row>
    <row r="488" spans="1:2" x14ac:dyDescent="0.25">
      <c r="A488">
        <v>175</v>
      </c>
      <c r="B488">
        <v>77</v>
      </c>
    </row>
    <row r="489" spans="1:2" x14ac:dyDescent="0.25">
      <c r="A489">
        <v>71</v>
      </c>
      <c r="B489">
        <v>4</v>
      </c>
    </row>
    <row r="490" spans="1:2" x14ac:dyDescent="0.25">
      <c r="A490">
        <v>174</v>
      </c>
      <c r="B490">
        <v>-70</v>
      </c>
    </row>
    <row r="491" spans="1:2" x14ac:dyDescent="0.25">
      <c r="A491">
        <v>173</v>
      </c>
      <c r="B491">
        <v>69</v>
      </c>
    </row>
    <row r="492" spans="1:2" x14ac:dyDescent="0.25">
      <c r="A492">
        <v>171</v>
      </c>
      <c r="B492">
        <v>2</v>
      </c>
    </row>
    <row r="493" spans="1:2" x14ac:dyDescent="0.25">
      <c r="A493">
        <v>268</v>
      </c>
      <c r="B493">
        <v>-25</v>
      </c>
    </row>
    <row r="494" spans="1:2" x14ac:dyDescent="0.25">
      <c r="A494">
        <v>71</v>
      </c>
      <c r="B494">
        <v>32</v>
      </c>
    </row>
    <row r="495" spans="1:2" x14ac:dyDescent="0.25">
      <c r="A495">
        <v>29</v>
      </c>
      <c r="B495">
        <v>10</v>
      </c>
    </row>
    <row r="496" spans="1:2" x14ac:dyDescent="0.25">
      <c r="A496">
        <v>65</v>
      </c>
      <c r="B496">
        <v>17</v>
      </c>
    </row>
    <row r="497" spans="1:2" x14ac:dyDescent="0.25">
      <c r="A497">
        <v>72</v>
      </c>
      <c r="B497">
        <v>-46</v>
      </c>
    </row>
    <row r="498" spans="1:2" x14ac:dyDescent="0.25">
      <c r="A498">
        <v>168</v>
      </c>
      <c r="B498">
        <v>-51</v>
      </c>
    </row>
    <row r="499" spans="1:2" x14ac:dyDescent="0.25">
      <c r="A499">
        <v>165</v>
      </c>
      <c r="B499">
        <v>30</v>
      </c>
    </row>
    <row r="500" spans="1:2" x14ac:dyDescent="0.25">
      <c r="A500">
        <v>74</v>
      </c>
      <c r="B500">
        <v>-59</v>
      </c>
    </row>
    <row r="501" spans="1:2" x14ac:dyDescent="0.25">
      <c r="A501">
        <v>89</v>
      </c>
      <c r="B501">
        <v>17</v>
      </c>
    </row>
    <row r="502" spans="1:2" x14ac:dyDescent="0.25">
      <c r="A502">
        <v>228</v>
      </c>
      <c r="B502">
        <v>63</v>
      </c>
    </row>
    <row r="503" spans="1:2" x14ac:dyDescent="0.25">
      <c r="A503">
        <v>119</v>
      </c>
      <c r="B503">
        <v>-24</v>
      </c>
    </row>
    <row r="504" spans="1:2" x14ac:dyDescent="0.25">
      <c r="A504">
        <v>75</v>
      </c>
      <c r="B504">
        <v>-25</v>
      </c>
    </row>
    <row r="505" spans="1:2" x14ac:dyDescent="0.25">
      <c r="A505">
        <v>67</v>
      </c>
      <c r="B505">
        <v>20</v>
      </c>
    </row>
    <row r="506" spans="1:2" x14ac:dyDescent="0.25">
      <c r="A506">
        <v>7</v>
      </c>
      <c r="B506">
        <v>0</v>
      </c>
    </row>
    <row r="507" spans="1:2" x14ac:dyDescent="0.25">
      <c r="A507">
        <v>222</v>
      </c>
      <c r="B507">
        <v>35</v>
      </c>
    </row>
    <row r="508" spans="1:2" x14ac:dyDescent="0.25">
      <c r="A508">
        <v>219</v>
      </c>
      <c r="B508">
        <v>-9</v>
      </c>
    </row>
    <row r="509" spans="1:2" x14ac:dyDescent="0.25">
      <c r="A509">
        <v>42</v>
      </c>
      <c r="B509">
        <v>-23</v>
      </c>
    </row>
    <row r="510" spans="1:2" x14ac:dyDescent="0.25">
      <c r="A510">
        <v>216</v>
      </c>
      <c r="B510">
        <v>-135</v>
      </c>
    </row>
    <row r="511" spans="1:2" x14ac:dyDescent="0.25">
      <c r="A511">
        <v>47</v>
      </c>
      <c r="B511">
        <v>-21</v>
      </c>
    </row>
    <row r="512" spans="1:2" x14ac:dyDescent="0.25">
      <c r="A512">
        <v>68</v>
      </c>
      <c r="B512">
        <v>-55</v>
      </c>
    </row>
    <row r="513" spans="1:2" x14ac:dyDescent="0.25">
      <c r="A513">
        <v>74</v>
      </c>
      <c r="B513">
        <v>33</v>
      </c>
    </row>
    <row r="514" spans="1:2" x14ac:dyDescent="0.25">
      <c r="A514">
        <v>165</v>
      </c>
      <c r="B514">
        <v>46</v>
      </c>
    </row>
    <row r="515" spans="1:2" x14ac:dyDescent="0.25">
      <c r="A515">
        <v>101</v>
      </c>
      <c r="B515">
        <v>11</v>
      </c>
    </row>
    <row r="516" spans="1:2" x14ac:dyDescent="0.25">
      <c r="A516">
        <v>162</v>
      </c>
      <c r="B516">
        <v>73</v>
      </c>
    </row>
    <row r="517" spans="1:2" x14ac:dyDescent="0.25">
      <c r="A517">
        <v>20</v>
      </c>
      <c r="B517">
        <v>-22</v>
      </c>
    </row>
    <row r="518" spans="1:2" x14ac:dyDescent="0.25">
      <c r="A518">
        <v>162</v>
      </c>
      <c r="B518">
        <v>55</v>
      </c>
    </row>
    <row r="519" spans="1:2" x14ac:dyDescent="0.25">
      <c r="A519">
        <v>229</v>
      </c>
      <c r="B519">
        <v>-23</v>
      </c>
    </row>
    <row r="520" spans="1:2" x14ac:dyDescent="0.25">
      <c r="A520">
        <v>27</v>
      </c>
      <c r="B520">
        <v>0</v>
      </c>
    </row>
    <row r="521" spans="1:2" x14ac:dyDescent="0.25">
      <c r="A521">
        <v>685</v>
      </c>
      <c r="B521">
        <v>7</v>
      </c>
    </row>
    <row r="522" spans="1:2" x14ac:dyDescent="0.25">
      <c r="A522">
        <v>75</v>
      </c>
      <c r="B522">
        <v>2</v>
      </c>
    </row>
    <row r="523" spans="1:2" x14ac:dyDescent="0.25">
      <c r="A523">
        <v>161</v>
      </c>
      <c r="B523">
        <v>-229</v>
      </c>
    </row>
    <row r="524" spans="1:2" x14ac:dyDescent="0.25">
      <c r="A524">
        <v>71</v>
      </c>
      <c r="B524">
        <v>19</v>
      </c>
    </row>
    <row r="525" spans="1:2" x14ac:dyDescent="0.25">
      <c r="A525">
        <v>211</v>
      </c>
      <c r="B525">
        <v>-105</v>
      </c>
    </row>
    <row r="526" spans="1:2" x14ac:dyDescent="0.25">
      <c r="A526">
        <v>79</v>
      </c>
      <c r="B526">
        <v>5</v>
      </c>
    </row>
    <row r="527" spans="1:2" x14ac:dyDescent="0.25">
      <c r="A527">
        <v>32</v>
      </c>
      <c r="B527">
        <v>-22</v>
      </c>
    </row>
    <row r="528" spans="1:2" x14ac:dyDescent="0.25">
      <c r="A528">
        <v>161</v>
      </c>
      <c r="B528">
        <v>40</v>
      </c>
    </row>
    <row r="529" spans="1:2" x14ac:dyDescent="0.25">
      <c r="A529">
        <v>159</v>
      </c>
      <c r="B529">
        <v>4</v>
      </c>
    </row>
    <row r="530" spans="1:2" x14ac:dyDescent="0.25">
      <c r="A530">
        <v>210</v>
      </c>
      <c r="B530">
        <v>-50</v>
      </c>
    </row>
    <row r="531" spans="1:2" x14ac:dyDescent="0.25">
      <c r="A531">
        <v>79</v>
      </c>
      <c r="B531">
        <v>39</v>
      </c>
    </row>
    <row r="532" spans="1:2" x14ac:dyDescent="0.25">
      <c r="A532">
        <v>207</v>
      </c>
      <c r="B532">
        <v>153</v>
      </c>
    </row>
    <row r="533" spans="1:2" x14ac:dyDescent="0.25">
      <c r="A533">
        <v>36</v>
      </c>
      <c r="B533">
        <v>0</v>
      </c>
    </row>
    <row r="534" spans="1:2" x14ac:dyDescent="0.25">
      <c r="A534">
        <v>206</v>
      </c>
      <c r="B534">
        <v>12</v>
      </c>
    </row>
    <row r="535" spans="1:2" x14ac:dyDescent="0.25">
      <c r="A535">
        <v>46</v>
      </c>
      <c r="B535">
        <v>0</v>
      </c>
    </row>
    <row r="536" spans="1:2" x14ac:dyDescent="0.25">
      <c r="A536">
        <v>156</v>
      </c>
      <c r="B536">
        <v>23</v>
      </c>
    </row>
    <row r="537" spans="1:2" x14ac:dyDescent="0.25">
      <c r="A537">
        <v>154</v>
      </c>
      <c r="B537">
        <v>54</v>
      </c>
    </row>
    <row r="538" spans="1:2" x14ac:dyDescent="0.25">
      <c r="A538">
        <v>36</v>
      </c>
      <c r="B538">
        <v>15</v>
      </c>
    </row>
    <row r="539" spans="1:2" x14ac:dyDescent="0.25">
      <c r="A539">
        <v>206</v>
      </c>
      <c r="B539">
        <v>51</v>
      </c>
    </row>
    <row r="540" spans="1:2" x14ac:dyDescent="0.25">
      <c r="A540">
        <v>200</v>
      </c>
      <c r="B540">
        <v>7</v>
      </c>
    </row>
    <row r="541" spans="1:2" x14ac:dyDescent="0.25">
      <c r="A541">
        <v>199</v>
      </c>
      <c r="B541">
        <v>-1</v>
      </c>
    </row>
    <row r="542" spans="1:2" x14ac:dyDescent="0.25">
      <c r="A542">
        <v>154</v>
      </c>
      <c r="B542">
        <v>22</v>
      </c>
    </row>
    <row r="543" spans="1:2" x14ac:dyDescent="0.25">
      <c r="A543">
        <v>152</v>
      </c>
      <c r="B543">
        <v>23</v>
      </c>
    </row>
    <row r="544" spans="1:2" x14ac:dyDescent="0.25">
      <c r="A544">
        <v>152</v>
      </c>
      <c r="B544">
        <v>50</v>
      </c>
    </row>
    <row r="545" spans="1:2" x14ac:dyDescent="0.25">
      <c r="A545">
        <v>122</v>
      </c>
      <c r="B545">
        <v>-21</v>
      </c>
    </row>
    <row r="546" spans="1:2" x14ac:dyDescent="0.25">
      <c r="A546">
        <v>149</v>
      </c>
      <c r="B546">
        <v>48</v>
      </c>
    </row>
    <row r="547" spans="1:2" x14ac:dyDescent="0.25">
      <c r="A547">
        <v>149</v>
      </c>
      <c r="B547">
        <v>-87</v>
      </c>
    </row>
    <row r="548" spans="1:2" x14ac:dyDescent="0.25">
      <c r="A548">
        <v>197</v>
      </c>
      <c r="B548">
        <v>20</v>
      </c>
    </row>
    <row r="549" spans="1:2" x14ac:dyDescent="0.25">
      <c r="A549">
        <v>76</v>
      </c>
      <c r="B549">
        <v>-54</v>
      </c>
    </row>
    <row r="550" spans="1:2" x14ac:dyDescent="0.25">
      <c r="A550">
        <v>221</v>
      </c>
      <c r="B550">
        <v>-15</v>
      </c>
    </row>
    <row r="551" spans="1:2" x14ac:dyDescent="0.25">
      <c r="A551">
        <v>79</v>
      </c>
      <c r="B551">
        <v>32</v>
      </c>
    </row>
    <row r="552" spans="1:2" x14ac:dyDescent="0.25">
      <c r="A552">
        <v>45</v>
      </c>
      <c r="B552">
        <v>12</v>
      </c>
    </row>
    <row r="553" spans="1:2" x14ac:dyDescent="0.25">
      <c r="A553">
        <v>149</v>
      </c>
      <c r="B553">
        <v>-1</v>
      </c>
    </row>
    <row r="554" spans="1:2" x14ac:dyDescent="0.25">
      <c r="A554">
        <v>80</v>
      </c>
      <c r="B554">
        <v>22</v>
      </c>
    </row>
    <row r="555" spans="1:2" x14ac:dyDescent="0.25">
      <c r="A555">
        <v>195</v>
      </c>
      <c r="B555">
        <v>12</v>
      </c>
    </row>
    <row r="556" spans="1:2" x14ac:dyDescent="0.25">
      <c r="A556">
        <v>19</v>
      </c>
      <c r="B556">
        <v>0</v>
      </c>
    </row>
    <row r="557" spans="1:2" x14ac:dyDescent="0.25">
      <c r="A557">
        <v>81</v>
      </c>
      <c r="B557">
        <v>41</v>
      </c>
    </row>
    <row r="558" spans="1:2" x14ac:dyDescent="0.25">
      <c r="A558">
        <v>83</v>
      </c>
      <c r="B558">
        <v>34</v>
      </c>
    </row>
    <row r="559" spans="1:2" x14ac:dyDescent="0.25">
      <c r="A559">
        <v>149</v>
      </c>
      <c r="B559">
        <v>17</v>
      </c>
    </row>
    <row r="560" spans="1:2" x14ac:dyDescent="0.25">
      <c r="A560">
        <v>193</v>
      </c>
      <c r="B560">
        <v>46</v>
      </c>
    </row>
    <row r="561" spans="1:2" x14ac:dyDescent="0.25">
      <c r="A561">
        <v>85</v>
      </c>
      <c r="B561">
        <v>24</v>
      </c>
    </row>
    <row r="562" spans="1:2" x14ac:dyDescent="0.25">
      <c r="A562">
        <v>44</v>
      </c>
      <c r="B562">
        <v>-17</v>
      </c>
    </row>
    <row r="563" spans="1:2" x14ac:dyDescent="0.25">
      <c r="A563">
        <v>149</v>
      </c>
      <c r="B563">
        <v>-40</v>
      </c>
    </row>
    <row r="564" spans="1:2" x14ac:dyDescent="0.25">
      <c r="A564">
        <v>26</v>
      </c>
      <c r="B564">
        <v>0</v>
      </c>
    </row>
    <row r="565" spans="1:2" x14ac:dyDescent="0.25">
      <c r="A565">
        <v>86</v>
      </c>
      <c r="B565">
        <v>0</v>
      </c>
    </row>
    <row r="566" spans="1:2" x14ac:dyDescent="0.25">
      <c r="A566">
        <v>86</v>
      </c>
      <c r="B566">
        <v>22</v>
      </c>
    </row>
    <row r="567" spans="1:2" x14ac:dyDescent="0.25">
      <c r="A567">
        <v>79</v>
      </c>
      <c r="B567">
        <v>16</v>
      </c>
    </row>
    <row r="568" spans="1:2" x14ac:dyDescent="0.25">
      <c r="A568">
        <v>193</v>
      </c>
      <c r="B568">
        <v>-275</v>
      </c>
    </row>
    <row r="569" spans="1:2" x14ac:dyDescent="0.25">
      <c r="A569">
        <v>148</v>
      </c>
      <c r="B569">
        <v>0</v>
      </c>
    </row>
    <row r="570" spans="1:2" x14ac:dyDescent="0.25">
      <c r="A570">
        <v>70</v>
      </c>
      <c r="B570">
        <v>-14</v>
      </c>
    </row>
    <row r="571" spans="1:2" x14ac:dyDescent="0.25">
      <c r="A571">
        <v>148</v>
      </c>
      <c r="B571">
        <v>59</v>
      </c>
    </row>
    <row r="572" spans="1:2" x14ac:dyDescent="0.25">
      <c r="A572">
        <v>190</v>
      </c>
      <c r="B572">
        <v>19</v>
      </c>
    </row>
    <row r="573" spans="1:2" x14ac:dyDescent="0.25">
      <c r="A573">
        <v>52</v>
      </c>
      <c r="B573">
        <v>14</v>
      </c>
    </row>
    <row r="574" spans="1:2" x14ac:dyDescent="0.25">
      <c r="A574">
        <v>147</v>
      </c>
      <c r="B574">
        <v>44</v>
      </c>
    </row>
    <row r="575" spans="1:2" x14ac:dyDescent="0.25">
      <c r="A575">
        <v>190</v>
      </c>
      <c r="B575">
        <v>68</v>
      </c>
    </row>
    <row r="576" spans="1:2" x14ac:dyDescent="0.25">
      <c r="A576">
        <v>80</v>
      </c>
      <c r="B576">
        <v>-56</v>
      </c>
    </row>
    <row r="577" spans="1:2" x14ac:dyDescent="0.25">
      <c r="A577">
        <v>147</v>
      </c>
      <c r="B577">
        <v>48</v>
      </c>
    </row>
    <row r="578" spans="1:2" x14ac:dyDescent="0.25">
      <c r="A578">
        <v>66</v>
      </c>
      <c r="B578">
        <v>12</v>
      </c>
    </row>
    <row r="579" spans="1:2" x14ac:dyDescent="0.25">
      <c r="A579">
        <v>86</v>
      </c>
      <c r="B579">
        <v>8</v>
      </c>
    </row>
    <row r="580" spans="1:2" x14ac:dyDescent="0.25">
      <c r="A580">
        <v>88</v>
      </c>
      <c r="B580">
        <v>19</v>
      </c>
    </row>
    <row r="581" spans="1:2" x14ac:dyDescent="0.25">
      <c r="A581">
        <v>188</v>
      </c>
      <c r="B581">
        <v>-193</v>
      </c>
    </row>
    <row r="582" spans="1:2" x14ac:dyDescent="0.25">
      <c r="A582">
        <v>89</v>
      </c>
      <c r="B582">
        <v>29</v>
      </c>
    </row>
    <row r="583" spans="1:2" x14ac:dyDescent="0.25">
      <c r="A583">
        <v>146</v>
      </c>
      <c r="B583">
        <v>19</v>
      </c>
    </row>
    <row r="584" spans="1:2" x14ac:dyDescent="0.25">
      <c r="A584">
        <v>143</v>
      </c>
      <c r="B584">
        <v>32</v>
      </c>
    </row>
    <row r="585" spans="1:2" x14ac:dyDescent="0.25">
      <c r="A585">
        <v>25</v>
      </c>
      <c r="B585">
        <v>-1</v>
      </c>
    </row>
    <row r="586" spans="1:2" x14ac:dyDescent="0.25">
      <c r="A586">
        <v>30</v>
      </c>
      <c r="B586">
        <v>12</v>
      </c>
    </row>
    <row r="587" spans="1:2" x14ac:dyDescent="0.25">
      <c r="A587">
        <v>140</v>
      </c>
      <c r="B587">
        <v>-58</v>
      </c>
    </row>
    <row r="588" spans="1:2" x14ac:dyDescent="0.25">
      <c r="A588">
        <v>83</v>
      </c>
      <c r="B588">
        <v>-48</v>
      </c>
    </row>
    <row r="589" spans="1:2" x14ac:dyDescent="0.25">
      <c r="A589">
        <v>140</v>
      </c>
      <c r="B589">
        <v>6</v>
      </c>
    </row>
    <row r="590" spans="1:2" x14ac:dyDescent="0.25">
      <c r="A590">
        <v>28</v>
      </c>
      <c r="B590">
        <v>14</v>
      </c>
    </row>
    <row r="591" spans="1:2" x14ac:dyDescent="0.25">
      <c r="A591">
        <v>139</v>
      </c>
      <c r="B591">
        <v>14</v>
      </c>
    </row>
    <row r="592" spans="1:2" x14ac:dyDescent="0.25">
      <c r="A592">
        <v>30</v>
      </c>
      <c r="B592">
        <v>14</v>
      </c>
    </row>
    <row r="593" spans="1:2" x14ac:dyDescent="0.25">
      <c r="A593">
        <v>89</v>
      </c>
      <c r="B593">
        <v>36</v>
      </c>
    </row>
    <row r="594" spans="1:2" x14ac:dyDescent="0.25">
      <c r="A594">
        <v>187</v>
      </c>
      <c r="B594">
        <v>30</v>
      </c>
    </row>
    <row r="595" spans="1:2" x14ac:dyDescent="0.25">
      <c r="A595">
        <v>139</v>
      </c>
      <c r="B595">
        <v>21</v>
      </c>
    </row>
    <row r="596" spans="1:2" x14ac:dyDescent="0.25">
      <c r="A596">
        <v>437</v>
      </c>
      <c r="B596">
        <v>-14</v>
      </c>
    </row>
    <row r="597" spans="1:2" x14ac:dyDescent="0.25">
      <c r="A597">
        <v>138</v>
      </c>
      <c r="B597">
        <v>-3</v>
      </c>
    </row>
    <row r="598" spans="1:2" x14ac:dyDescent="0.25">
      <c r="A598">
        <v>85</v>
      </c>
      <c r="B598">
        <v>13</v>
      </c>
    </row>
    <row r="599" spans="1:2" x14ac:dyDescent="0.25">
      <c r="A599">
        <v>83</v>
      </c>
      <c r="B599">
        <v>12</v>
      </c>
    </row>
    <row r="600" spans="1:2" x14ac:dyDescent="0.25">
      <c r="A600">
        <v>91</v>
      </c>
      <c r="B600">
        <v>22</v>
      </c>
    </row>
    <row r="601" spans="1:2" x14ac:dyDescent="0.25">
      <c r="A601">
        <v>137</v>
      </c>
      <c r="B601">
        <v>5</v>
      </c>
    </row>
    <row r="602" spans="1:2" x14ac:dyDescent="0.25">
      <c r="A602">
        <v>33</v>
      </c>
      <c r="B602">
        <v>-12</v>
      </c>
    </row>
    <row r="603" spans="1:2" x14ac:dyDescent="0.25">
      <c r="A603">
        <v>134</v>
      </c>
      <c r="B603">
        <v>-34</v>
      </c>
    </row>
    <row r="604" spans="1:2" x14ac:dyDescent="0.25">
      <c r="A604">
        <v>134</v>
      </c>
      <c r="B604">
        <v>42</v>
      </c>
    </row>
    <row r="605" spans="1:2" x14ac:dyDescent="0.25">
      <c r="A605">
        <v>133</v>
      </c>
      <c r="B605">
        <v>-56</v>
      </c>
    </row>
    <row r="606" spans="1:2" x14ac:dyDescent="0.25">
      <c r="A606">
        <v>93</v>
      </c>
      <c r="B606">
        <v>-84</v>
      </c>
    </row>
    <row r="607" spans="1:2" x14ac:dyDescent="0.25">
      <c r="A607">
        <v>86</v>
      </c>
      <c r="B607">
        <v>-21</v>
      </c>
    </row>
    <row r="608" spans="1:2" x14ac:dyDescent="0.25">
      <c r="A608">
        <v>132</v>
      </c>
      <c r="B608">
        <v>54</v>
      </c>
    </row>
    <row r="609" spans="1:2" x14ac:dyDescent="0.25">
      <c r="A609">
        <v>132</v>
      </c>
      <c r="B609">
        <v>-10</v>
      </c>
    </row>
    <row r="610" spans="1:2" x14ac:dyDescent="0.25">
      <c r="A610">
        <v>132</v>
      </c>
      <c r="B610">
        <v>-79</v>
      </c>
    </row>
    <row r="611" spans="1:2" x14ac:dyDescent="0.25">
      <c r="A611">
        <v>93</v>
      </c>
      <c r="B611">
        <v>-65</v>
      </c>
    </row>
    <row r="612" spans="1:2" x14ac:dyDescent="0.25">
      <c r="A612">
        <v>95</v>
      </c>
      <c r="B612">
        <v>5</v>
      </c>
    </row>
    <row r="613" spans="1:2" x14ac:dyDescent="0.25">
      <c r="A613">
        <v>97</v>
      </c>
      <c r="B613">
        <v>12</v>
      </c>
    </row>
    <row r="614" spans="1:2" x14ac:dyDescent="0.25">
      <c r="A614">
        <v>131</v>
      </c>
      <c r="B614">
        <v>-154</v>
      </c>
    </row>
    <row r="615" spans="1:2" x14ac:dyDescent="0.25">
      <c r="A615">
        <v>97</v>
      </c>
      <c r="B615">
        <v>29</v>
      </c>
    </row>
    <row r="616" spans="1:2" x14ac:dyDescent="0.25">
      <c r="A616">
        <v>128</v>
      </c>
      <c r="B616">
        <v>4</v>
      </c>
    </row>
    <row r="617" spans="1:2" x14ac:dyDescent="0.25">
      <c r="A617">
        <v>186</v>
      </c>
      <c r="B617">
        <v>241</v>
      </c>
    </row>
    <row r="618" spans="1:2" x14ac:dyDescent="0.25">
      <c r="A618">
        <v>128</v>
      </c>
      <c r="B618">
        <v>47</v>
      </c>
    </row>
    <row r="619" spans="1:2" x14ac:dyDescent="0.25">
      <c r="A619">
        <v>185</v>
      </c>
      <c r="B619">
        <v>48</v>
      </c>
    </row>
    <row r="620" spans="1:2" x14ac:dyDescent="0.25">
      <c r="A620">
        <v>29</v>
      </c>
      <c r="B620">
        <v>10</v>
      </c>
    </row>
    <row r="621" spans="1:2" x14ac:dyDescent="0.25">
      <c r="A621">
        <v>127</v>
      </c>
      <c r="B621">
        <v>29</v>
      </c>
    </row>
    <row r="622" spans="1:2" x14ac:dyDescent="0.25">
      <c r="A622">
        <v>97</v>
      </c>
      <c r="B622">
        <v>36</v>
      </c>
    </row>
    <row r="623" spans="1:2" x14ac:dyDescent="0.25">
      <c r="A623">
        <v>125</v>
      </c>
      <c r="B623">
        <v>0</v>
      </c>
    </row>
    <row r="624" spans="1:2" x14ac:dyDescent="0.25">
      <c r="A624">
        <v>299</v>
      </c>
      <c r="B624">
        <v>-8</v>
      </c>
    </row>
    <row r="625" spans="1:2" x14ac:dyDescent="0.25">
      <c r="A625">
        <v>124</v>
      </c>
      <c r="B625">
        <v>54</v>
      </c>
    </row>
    <row r="626" spans="1:2" x14ac:dyDescent="0.25">
      <c r="A626">
        <v>90</v>
      </c>
      <c r="B626">
        <v>17</v>
      </c>
    </row>
    <row r="627" spans="1:2" x14ac:dyDescent="0.25">
      <c r="A627">
        <v>122</v>
      </c>
      <c r="B627">
        <v>11</v>
      </c>
    </row>
    <row r="628" spans="1:2" x14ac:dyDescent="0.25">
      <c r="A628">
        <v>122</v>
      </c>
      <c r="B628">
        <v>-66</v>
      </c>
    </row>
    <row r="629" spans="1:2" x14ac:dyDescent="0.25">
      <c r="A629">
        <v>90</v>
      </c>
      <c r="B629">
        <v>30</v>
      </c>
    </row>
    <row r="630" spans="1:2" x14ac:dyDescent="0.25">
      <c r="A630">
        <v>182</v>
      </c>
      <c r="B630">
        <v>-11</v>
      </c>
    </row>
    <row r="631" spans="1:2" x14ac:dyDescent="0.25">
      <c r="A631">
        <v>122</v>
      </c>
      <c r="B631">
        <v>59</v>
      </c>
    </row>
    <row r="632" spans="1:2" x14ac:dyDescent="0.25">
      <c r="A632">
        <v>121</v>
      </c>
      <c r="B632">
        <v>19</v>
      </c>
    </row>
    <row r="633" spans="1:2" x14ac:dyDescent="0.25">
      <c r="A633">
        <v>120</v>
      </c>
      <c r="B633">
        <v>1</v>
      </c>
    </row>
    <row r="634" spans="1:2" x14ac:dyDescent="0.25">
      <c r="A634">
        <v>120</v>
      </c>
      <c r="B634">
        <v>23</v>
      </c>
    </row>
    <row r="635" spans="1:2" x14ac:dyDescent="0.25">
      <c r="A635">
        <v>34</v>
      </c>
      <c r="B635">
        <v>-11</v>
      </c>
    </row>
    <row r="636" spans="1:2" x14ac:dyDescent="0.25">
      <c r="A636">
        <v>117</v>
      </c>
      <c r="B636">
        <v>17</v>
      </c>
    </row>
    <row r="637" spans="1:2" x14ac:dyDescent="0.25">
      <c r="A637">
        <v>38</v>
      </c>
      <c r="B637">
        <v>9</v>
      </c>
    </row>
    <row r="638" spans="1:2" x14ac:dyDescent="0.25">
      <c r="A638">
        <v>117</v>
      </c>
      <c r="B638">
        <v>-6</v>
      </c>
    </row>
    <row r="639" spans="1:2" x14ac:dyDescent="0.25">
      <c r="A639">
        <v>180</v>
      </c>
      <c r="B639">
        <v>54</v>
      </c>
    </row>
    <row r="640" spans="1:2" x14ac:dyDescent="0.25">
      <c r="A640">
        <v>99</v>
      </c>
      <c r="B640">
        <v>-5</v>
      </c>
    </row>
    <row r="641" spans="1:2" x14ac:dyDescent="0.25">
      <c r="A641">
        <v>172</v>
      </c>
      <c r="B641">
        <v>-103</v>
      </c>
    </row>
    <row r="642" spans="1:2" x14ac:dyDescent="0.25">
      <c r="A642">
        <v>116</v>
      </c>
      <c r="B642">
        <v>16</v>
      </c>
    </row>
    <row r="643" spans="1:2" x14ac:dyDescent="0.25">
      <c r="A643">
        <v>116</v>
      </c>
      <c r="B643">
        <v>-4</v>
      </c>
    </row>
    <row r="644" spans="1:2" x14ac:dyDescent="0.25">
      <c r="A644">
        <v>171</v>
      </c>
      <c r="B644">
        <v>68</v>
      </c>
    </row>
    <row r="645" spans="1:2" x14ac:dyDescent="0.25">
      <c r="A645">
        <v>46</v>
      </c>
      <c r="B645">
        <v>14</v>
      </c>
    </row>
    <row r="646" spans="1:2" x14ac:dyDescent="0.25">
      <c r="A646">
        <v>115</v>
      </c>
      <c r="B646">
        <v>-39</v>
      </c>
    </row>
    <row r="647" spans="1:2" x14ac:dyDescent="0.25">
      <c r="A647">
        <v>100</v>
      </c>
      <c r="B647">
        <v>7</v>
      </c>
    </row>
    <row r="648" spans="1:2" x14ac:dyDescent="0.25">
      <c r="A648">
        <v>44</v>
      </c>
      <c r="B648">
        <v>8</v>
      </c>
    </row>
    <row r="649" spans="1:2" x14ac:dyDescent="0.25">
      <c r="A649">
        <v>139</v>
      </c>
      <c r="B649">
        <v>14</v>
      </c>
    </row>
    <row r="650" spans="1:2" x14ac:dyDescent="0.25">
      <c r="A650">
        <v>171</v>
      </c>
      <c r="B650">
        <v>-140</v>
      </c>
    </row>
    <row r="651" spans="1:2" x14ac:dyDescent="0.25">
      <c r="A651">
        <v>100</v>
      </c>
      <c r="B651">
        <v>12</v>
      </c>
    </row>
    <row r="652" spans="1:2" x14ac:dyDescent="0.25">
      <c r="A652">
        <v>115</v>
      </c>
      <c r="B652">
        <v>25</v>
      </c>
    </row>
    <row r="653" spans="1:2" x14ac:dyDescent="0.25">
      <c r="A653">
        <v>168</v>
      </c>
      <c r="B653">
        <v>-9</v>
      </c>
    </row>
    <row r="654" spans="1:2" x14ac:dyDescent="0.25">
      <c r="A654">
        <v>115</v>
      </c>
      <c r="B654">
        <v>47</v>
      </c>
    </row>
    <row r="655" spans="1:2" x14ac:dyDescent="0.25">
      <c r="A655">
        <v>168</v>
      </c>
      <c r="B655">
        <v>-111</v>
      </c>
    </row>
    <row r="656" spans="1:2" x14ac:dyDescent="0.25">
      <c r="A656">
        <v>31</v>
      </c>
      <c r="B656">
        <v>-7</v>
      </c>
    </row>
    <row r="657" spans="1:2" x14ac:dyDescent="0.25">
      <c r="A657">
        <v>114</v>
      </c>
      <c r="B657">
        <v>41</v>
      </c>
    </row>
    <row r="658" spans="1:2" x14ac:dyDescent="0.25">
      <c r="A658">
        <v>111</v>
      </c>
      <c r="B658">
        <v>9</v>
      </c>
    </row>
    <row r="659" spans="1:2" x14ac:dyDescent="0.25">
      <c r="A659">
        <v>11</v>
      </c>
      <c r="B659">
        <v>-8</v>
      </c>
    </row>
    <row r="660" spans="1:2" x14ac:dyDescent="0.25">
      <c r="A660">
        <v>110</v>
      </c>
      <c r="B660">
        <v>35</v>
      </c>
    </row>
    <row r="661" spans="1:2" x14ac:dyDescent="0.25">
      <c r="A661">
        <v>59</v>
      </c>
      <c r="B661">
        <v>15</v>
      </c>
    </row>
    <row r="662" spans="1:2" x14ac:dyDescent="0.25">
      <c r="A662">
        <v>166</v>
      </c>
      <c r="B662">
        <v>27</v>
      </c>
    </row>
    <row r="663" spans="1:2" x14ac:dyDescent="0.25">
      <c r="A663">
        <v>109</v>
      </c>
      <c r="B663">
        <v>-6</v>
      </c>
    </row>
    <row r="664" spans="1:2" x14ac:dyDescent="0.25">
      <c r="A664">
        <v>34</v>
      </c>
      <c r="B664">
        <v>-6</v>
      </c>
    </row>
    <row r="665" spans="1:2" x14ac:dyDescent="0.25">
      <c r="A665">
        <v>109</v>
      </c>
      <c r="B665">
        <v>40</v>
      </c>
    </row>
    <row r="666" spans="1:2" x14ac:dyDescent="0.25">
      <c r="A666">
        <v>108</v>
      </c>
      <c r="B666">
        <v>22</v>
      </c>
    </row>
    <row r="667" spans="1:2" x14ac:dyDescent="0.25">
      <c r="A667">
        <v>103</v>
      </c>
      <c r="B667">
        <v>50</v>
      </c>
    </row>
    <row r="668" spans="1:2" x14ac:dyDescent="0.25">
      <c r="A668">
        <v>10</v>
      </c>
      <c r="B668">
        <v>-8</v>
      </c>
    </row>
    <row r="669" spans="1:2" x14ac:dyDescent="0.25">
      <c r="A669">
        <v>90</v>
      </c>
      <c r="B669">
        <v>17</v>
      </c>
    </row>
    <row r="670" spans="1:2" x14ac:dyDescent="0.25">
      <c r="A670">
        <v>105</v>
      </c>
      <c r="B670">
        <v>46</v>
      </c>
    </row>
    <row r="671" spans="1:2" x14ac:dyDescent="0.25">
      <c r="A671">
        <v>105</v>
      </c>
      <c r="B671">
        <v>20</v>
      </c>
    </row>
    <row r="672" spans="1:2" x14ac:dyDescent="0.25">
      <c r="A672">
        <v>22</v>
      </c>
      <c r="B672">
        <v>-6</v>
      </c>
    </row>
    <row r="673" spans="1:2" x14ac:dyDescent="0.25">
      <c r="A673">
        <v>105</v>
      </c>
      <c r="B673">
        <v>-33</v>
      </c>
    </row>
    <row r="674" spans="1:2" x14ac:dyDescent="0.25">
      <c r="A674">
        <v>105</v>
      </c>
      <c r="B674">
        <v>25</v>
      </c>
    </row>
    <row r="675" spans="1:2" x14ac:dyDescent="0.25">
      <c r="A675">
        <v>25</v>
      </c>
      <c r="B675">
        <v>-7</v>
      </c>
    </row>
    <row r="676" spans="1:2" x14ac:dyDescent="0.25">
      <c r="A676">
        <v>104</v>
      </c>
      <c r="B676">
        <v>2</v>
      </c>
    </row>
    <row r="677" spans="1:2" x14ac:dyDescent="0.25">
      <c r="A677">
        <v>16</v>
      </c>
      <c r="B677">
        <v>5</v>
      </c>
    </row>
    <row r="678" spans="1:2" x14ac:dyDescent="0.25">
      <c r="A678">
        <v>64</v>
      </c>
      <c r="B678">
        <v>-7</v>
      </c>
    </row>
    <row r="679" spans="1:2" x14ac:dyDescent="0.25">
      <c r="A679">
        <v>38</v>
      </c>
      <c r="B679">
        <v>-6</v>
      </c>
    </row>
    <row r="680" spans="1:2" x14ac:dyDescent="0.25">
      <c r="A680">
        <v>83</v>
      </c>
      <c r="B680">
        <v>12</v>
      </c>
    </row>
    <row r="681" spans="1:2" x14ac:dyDescent="0.25">
      <c r="A681">
        <v>103</v>
      </c>
      <c r="B681">
        <v>36</v>
      </c>
    </row>
    <row r="682" spans="1:2" x14ac:dyDescent="0.25">
      <c r="A682">
        <v>37</v>
      </c>
      <c r="B682">
        <v>-6</v>
      </c>
    </row>
    <row r="683" spans="1:2" x14ac:dyDescent="0.25">
      <c r="A683">
        <v>105</v>
      </c>
      <c r="B683">
        <v>33</v>
      </c>
    </row>
    <row r="684" spans="1:2" x14ac:dyDescent="0.25">
      <c r="A684">
        <v>78</v>
      </c>
      <c r="B684">
        <v>-6</v>
      </c>
    </row>
    <row r="685" spans="1:2" x14ac:dyDescent="0.25">
      <c r="A685">
        <v>102</v>
      </c>
      <c r="B685">
        <v>-90</v>
      </c>
    </row>
    <row r="686" spans="1:2" x14ac:dyDescent="0.25">
      <c r="A686">
        <v>102</v>
      </c>
      <c r="B686">
        <v>11</v>
      </c>
    </row>
    <row r="687" spans="1:2" x14ac:dyDescent="0.25">
      <c r="A687">
        <v>10</v>
      </c>
      <c r="B687">
        <v>-8</v>
      </c>
    </row>
    <row r="688" spans="1:2" x14ac:dyDescent="0.25">
      <c r="A688">
        <v>101</v>
      </c>
      <c r="B688">
        <v>18</v>
      </c>
    </row>
    <row r="689" spans="1:2" x14ac:dyDescent="0.25">
      <c r="A689">
        <v>42</v>
      </c>
      <c r="B689">
        <v>-6</v>
      </c>
    </row>
    <row r="690" spans="1:2" x14ac:dyDescent="0.25">
      <c r="A690">
        <v>56</v>
      </c>
      <c r="B690">
        <v>18</v>
      </c>
    </row>
    <row r="691" spans="1:2" x14ac:dyDescent="0.25">
      <c r="A691">
        <v>95</v>
      </c>
      <c r="B691">
        <v>5</v>
      </c>
    </row>
    <row r="692" spans="1:2" x14ac:dyDescent="0.25">
      <c r="A692">
        <v>159</v>
      </c>
      <c r="B692">
        <v>2</v>
      </c>
    </row>
    <row r="693" spans="1:2" x14ac:dyDescent="0.25">
      <c r="A693">
        <v>158</v>
      </c>
      <c r="B693">
        <v>69</v>
      </c>
    </row>
    <row r="694" spans="1:2" x14ac:dyDescent="0.25">
      <c r="A694">
        <v>106</v>
      </c>
      <c r="B694">
        <v>0</v>
      </c>
    </row>
    <row r="695" spans="1:2" x14ac:dyDescent="0.25">
      <c r="A695">
        <v>101</v>
      </c>
      <c r="B695">
        <v>16</v>
      </c>
    </row>
    <row r="696" spans="1:2" x14ac:dyDescent="0.25">
      <c r="A696">
        <v>107</v>
      </c>
      <c r="B696">
        <v>37</v>
      </c>
    </row>
    <row r="697" spans="1:2" x14ac:dyDescent="0.25">
      <c r="A697">
        <v>156</v>
      </c>
      <c r="B697">
        <v>36</v>
      </c>
    </row>
    <row r="698" spans="1:2" x14ac:dyDescent="0.25">
      <c r="A698">
        <v>108</v>
      </c>
      <c r="B698">
        <v>-19</v>
      </c>
    </row>
    <row r="699" spans="1:2" x14ac:dyDescent="0.25">
      <c r="A699">
        <v>107</v>
      </c>
      <c r="B699">
        <v>-54</v>
      </c>
    </row>
    <row r="700" spans="1:2" x14ac:dyDescent="0.25">
      <c r="A700">
        <v>100</v>
      </c>
      <c r="B700">
        <v>-58</v>
      </c>
    </row>
    <row r="701" spans="1:2" x14ac:dyDescent="0.25">
      <c r="A701">
        <v>108</v>
      </c>
      <c r="B701">
        <v>26</v>
      </c>
    </row>
    <row r="702" spans="1:2" x14ac:dyDescent="0.25">
      <c r="A702">
        <v>100</v>
      </c>
      <c r="B702">
        <v>6</v>
      </c>
    </row>
    <row r="703" spans="1:2" x14ac:dyDescent="0.25">
      <c r="A703">
        <v>100</v>
      </c>
      <c r="B703">
        <v>-23</v>
      </c>
    </row>
    <row r="704" spans="1:2" x14ac:dyDescent="0.25">
      <c r="A704">
        <v>43</v>
      </c>
      <c r="B704">
        <v>17</v>
      </c>
    </row>
    <row r="705" spans="1:2" x14ac:dyDescent="0.25">
      <c r="A705">
        <v>155</v>
      </c>
      <c r="B705">
        <v>26</v>
      </c>
    </row>
    <row r="706" spans="1:2" x14ac:dyDescent="0.25">
      <c r="A706">
        <v>151</v>
      </c>
      <c r="B706">
        <v>9</v>
      </c>
    </row>
    <row r="707" spans="1:2" x14ac:dyDescent="0.25">
      <c r="A707">
        <v>151</v>
      </c>
      <c r="B707">
        <v>29</v>
      </c>
    </row>
    <row r="708" spans="1:2" x14ac:dyDescent="0.25">
      <c r="A708">
        <v>110</v>
      </c>
      <c r="B708">
        <v>-68</v>
      </c>
    </row>
    <row r="709" spans="1:2" x14ac:dyDescent="0.25">
      <c r="A709">
        <v>98</v>
      </c>
      <c r="B709">
        <v>9</v>
      </c>
    </row>
    <row r="710" spans="1:2" x14ac:dyDescent="0.25">
      <c r="A710">
        <v>97</v>
      </c>
      <c r="B710">
        <v>-62</v>
      </c>
    </row>
    <row r="711" spans="1:2" x14ac:dyDescent="0.25">
      <c r="A711">
        <v>111</v>
      </c>
      <c r="B711">
        <v>35</v>
      </c>
    </row>
    <row r="712" spans="1:2" x14ac:dyDescent="0.25">
      <c r="A712">
        <v>45</v>
      </c>
      <c r="B712">
        <v>17</v>
      </c>
    </row>
    <row r="713" spans="1:2" x14ac:dyDescent="0.25">
      <c r="A713">
        <v>112</v>
      </c>
      <c r="B713">
        <v>15</v>
      </c>
    </row>
    <row r="714" spans="1:2" x14ac:dyDescent="0.25">
      <c r="A714">
        <v>110</v>
      </c>
      <c r="B714">
        <v>20</v>
      </c>
    </row>
    <row r="715" spans="1:2" x14ac:dyDescent="0.25">
      <c r="A715">
        <v>98</v>
      </c>
      <c r="B715">
        <v>-5</v>
      </c>
    </row>
    <row r="716" spans="1:2" x14ac:dyDescent="0.25">
      <c r="A716">
        <v>110</v>
      </c>
      <c r="B716">
        <v>12</v>
      </c>
    </row>
    <row r="717" spans="1:2" x14ac:dyDescent="0.25">
      <c r="A717">
        <v>95</v>
      </c>
      <c r="B717">
        <v>11</v>
      </c>
    </row>
    <row r="718" spans="1:2" x14ac:dyDescent="0.25">
      <c r="A718">
        <v>1228</v>
      </c>
      <c r="B718">
        <v>14</v>
      </c>
    </row>
    <row r="719" spans="1:2" x14ac:dyDescent="0.25">
      <c r="A719">
        <v>29</v>
      </c>
      <c r="B719">
        <v>0</v>
      </c>
    </row>
    <row r="720" spans="1:2" x14ac:dyDescent="0.25">
      <c r="A720">
        <v>94</v>
      </c>
      <c r="B720">
        <v>27</v>
      </c>
    </row>
    <row r="721" spans="1:2" x14ac:dyDescent="0.25">
      <c r="A721">
        <v>115</v>
      </c>
      <c r="B721">
        <v>25</v>
      </c>
    </row>
    <row r="722" spans="1:2" x14ac:dyDescent="0.25">
      <c r="A722">
        <v>149</v>
      </c>
      <c r="B722">
        <v>15</v>
      </c>
    </row>
    <row r="723" spans="1:2" x14ac:dyDescent="0.25">
      <c r="A723">
        <v>148</v>
      </c>
      <c r="B723">
        <v>23</v>
      </c>
    </row>
    <row r="724" spans="1:2" x14ac:dyDescent="0.25">
      <c r="A724">
        <v>93</v>
      </c>
      <c r="B724">
        <v>15</v>
      </c>
    </row>
    <row r="725" spans="1:2" x14ac:dyDescent="0.25">
      <c r="A725">
        <v>113</v>
      </c>
      <c r="B725">
        <v>24</v>
      </c>
    </row>
    <row r="726" spans="1:2" x14ac:dyDescent="0.25">
      <c r="A726">
        <v>48</v>
      </c>
      <c r="B726">
        <v>2</v>
      </c>
    </row>
    <row r="727" spans="1:2" x14ac:dyDescent="0.25">
      <c r="A727">
        <v>148</v>
      </c>
      <c r="B727">
        <v>9</v>
      </c>
    </row>
    <row r="728" spans="1:2" x14ac:dyDescent="0.25">
      <c r="A728">
        <v>114</v>
      </c>
      <c r="B728">
        <v>11</v>
      </c>
    </row>
    <row r="729" spans="1:2" x14ac:dyDescent="0.25">
      <c r="A729">
        <v>92</v>
      </c>
      <c r="B729">
        <v>42</v>
      </c>
    </row>
    <row r="730" spans="1:2" x14ac:dyDescent="0.25">
      <c r="A730">
        <v>117</v>
      </c>
      <c r="B730">
        <v>14</v>
      </c>
    </row>
    <row r="731" spans="1:2" x14ac:dyDescent="0.25">
      <c r="A731">
        <v>21</v>
      </c>
      <c r="B731">
        <v>-10</v>
      </c>
    </row>
    <row r="732" spans="1:2" x14ac:dyDescent="0.25">
      <c r="A732">
        <v>33</v>
      </c>
      <c r="B732">
        <v>-10</v>
      </c>
    </row>
    <row r="733" spans="1:2" x14ac:dyDescent="0.25">
      <c r="A733">
        <v>114</v>
      </c>
      <c r="B733">
        <v>8</v>
      </c>
    </row>
    <row r="734" spans="1:2" x14ac:dyDescent="0.25">
      <c r="A734">
        <v>115</v>
      </c>
      <c r="B734">
        <v>0</v>
      </c>
    </row>
    <row r="735" spans="1:2" x14ac:dyDescent="0.25">
      <c r="A735">
        <v>90</v>
      </c>
      <c r="B735">
        <v>29</v>
      </c>
    </row>
    <row r="736" spans="1:2" x14ac:dyDescent="0.25">
      <c r="A736">
        <v>61</v>
      </c>
      <c r="B736">
        <v>1</v>
      </c>
    </row>
    <row r="737" spans="1:2" x14ac:dyDescent="0.25">
      <c r="A737">
        <v>119</v>
      </c>
      <c r="B737">
        <v>1</v>
      </c>
    </row>
    <row r="738" spans="1:2" x14ac:dyDescent="0.25">
      <c r="A738">
        <v>117</v>
      </c>
      <c r="B738">
        <v>36</v>
      </c>
    </row>
    <row r="739" spans="1:2" x14ac:dyDescent="0.25">
      <c r="A739">
        <v>148</v>
      </c>
      <c r="B739">
        <v>54</v>
      </c>
    </row>
    <row r="740" spans="1:2" x14ac:dyDescent="0.25">
      <c r="A740">
        <v>249</v>
      </c>
      <c r="B740">
        <v>-5</v>
      </c>
    </row>
    <row r="741" spans="1:2" x14ac:dyDescent="0.25">
      <c r="A741">
        <v>147</v>
      </c>
      <c r="B741">
        <v>73</v>
      </c>
    </row>
    <row r="742" spans="1:2" x14ac:dyDescent="0.25">
      <c r="A742">
        <v>118</v>
      </c>
      <c r="B742">
        <v>35</v>
      </c>
    </row>
    <row r="743" spans="1:2" x14ac:dyDescent="0.25">
      <c r="A743">
        <v>119</v>
      </c>
      <c r="B743">
        <v>56</v>
      </c>
    </row>
    <row r="744" spans="1:2" x14ac:dyDescent="0.25">
      <c r="A744">
        <v>90</v>
      </c>
      <c r="B744">
        <v>27</v>
      </c>
    </row>
    <row r="745" spans="1:2" x14ac:dyDescent="0.25">
      <c r="A745">
        <v>32</v>
      </c>
      <c r="B745">
        <v>1</v>
      </c>
    </row>
    <row r="746" spans="1:2" x14ac:dyDescent="0.25">
      <c r="A746">
        <v>89</v>
      </c>
      <c r="B746">
        <v>-89</v>
      </c>
    </row>
    <row r="747" spans="1:2" x14ac:dyDescent="0.25">
      <c r="A747">
        <v>146</v>
      </c>
      <c r="B747">
        <v>66</v>
      </c>
    </row>
    <row r="748" spans="1:2" x14ac:dyDescent="0.25">
      <c r="A748">
        <v>89</v>
      </c>
      <c r="B748">
        <v>-37</v>
      </c>
    </row>
    <row r="749" spans="1:2" x14ac:dyDescent="0.25">
      <c r="A749">
        <v>88</v>
      </c>
      <c r="B749">
        <v>11</v>
      </c>
    </row>
    <row r="750" spans="1:2" x14ac:dyDescent="0.25">
      <c r="A750">
        <v>121</v>
      </c>
      <c r="B750">
        <v>41</v>
      </c>
    </row>
    <row r="751" spans="1:2" x14ac:dyDescent="0.25">
      <c r="A751">
        <v>88</v>
      </c>
      <c r="B751">
        <v>20</v>
      </c>
    </row>
    <row r="752" spans="1:2" x14ac:dyDescent="0.25">
      <c r="A752">
        <v>87</v>
      </c>
      <c r="B752">
        <v>-83</v>
      </c>
    </row>
    <row r="753" spans="1:2" x14ac:dyDescent="0.25">
      <c r="A753">
        <v>87</v>
      </c>
      <c r="B753">
        <v>4</v>
      </c>
    </row>
    <row r="754" spans="1:2" x14ac:dyDescent="0.25">
      <c r="A754">
        <v>122</v>
      </c>
      <c r="B754">
        <v>15</v>
      </c>
    </row>
    <row r="755" spans="1:2" x14ac:dyDescent="0.25">
      <c r="A755">
        <v>87</v>
      </c>
      <c r="B755">
        <v>10</v>
      </c>
    </row>
    <row r="756" spans="1:2" x14ac:dyDescent="0.25">
      <c r="A756">
        <v>53</v>
      </c>
      <c r="B756">
        <v>8</v>
      </c>
    </row>
    <row r="757" spans="1:2" x14ac:dyDescent="0.25">
      <c r="A757">
        <v>87</v>
      </c>
      <c r="B757">
        <v>-32</v>
      </c>
    </row>
    <row r="758" spans="1:2" x14ac:dyDescent="0.25">
      <c r="A758">
        <v>86</v>
      </c>
      <c r="B758">
        <v>-55</v>
      </c>
    </row>
    <row r="759" spans="1:2" x14ac:dyDescent="0.25">
      <c r="A759">
        <v>125</v>
      </c>
      <c r="B759">
        <v>22</v>
      </c>
    </row>
    <row r="760" spans="1:2" x14ac:dyDescent="0.25">
      <c r="A760">
        <v>128</v>
      </c>
      <c r="B760">
        <v>-3</v>
      </c>
    </row>
    <row r="761" spans="1:2" x14ac:dyDescent="0.25">
      <c r="A761">
        <v>143</v>
      </c>
      <c r="B761">
        <v>-124</v>
      </c>
    </row>
    <row r="762" spans="1:2" x14ac:dyDescent="0.25">
      <c r="A762">
        <v>86</v>
      </c>
      <c r="B762">
        <v>22</v>
      </c>
    </row>
    <row r="763" spans="1:2" x14ac:dyDescent="0.25">
      <c r="A763">
        <v>86</v>
      </c>
      <c r="B763">
        <v>9</v>
      </c>
    </row>
    <row r="764" spans="1:2" x14ac:dyDescent="0.25">
      <c r="A764">
        <v>85</v>
      </c>
      <c r="B764">
        <v>-9</v>
      </c>
    </row>
    <row r="765" spans="1:2" x14ac:dyDescent="0.25">
      <c r="A765">
        <v>129</v>
      </c>
      <c r="B765">
        <v>-75</v>
      </c>
    </row>
    <row r="766" spans="1:2" x14ac:dyDescent="0.25">
      <c r="A766">
        <v>84</v>
      </c>
      <c r="B766">
        <v>-42</v>
      </c>
    </row>
    <row r="767" spans="1:2" x14ac:dyDescent="0.25">
      <c r="A767">
        <v>83</v>
      </c>
      <c r="B767">
        <v>-81</v>
      </c>
    </row>
    <row r="768" spans="1:2" x14ac:dyDescent="0.25">
      <c r="A768">
        <v>143</v>
      </c>
      <c r="B768">
        <v>6</v>
      </c>
    </row>
    <row r="769" spans="1:2" x14ac:dyDescent="0.25">
      <c r="A769">
        <v>336</v>
      </c>
      <c r="B769">
        <v>123</v>
      </c>
    </row>
    <row r="770" spans="1:2" x14ac:dyDescent="0.25">
      <c r="A770">
        <v>323</v>
      </c>
      <c r="B770">
        <v>122</v>
      </c>
    </row>
    <row r="771" spans="1:2" x14ac:dyDescent="0.25">
      <c r="A771">
        <v>130</v>
      </c>
      <c r="B771">
        <v>61</v>
      </c>
    </row>
    <row r="772" spans="1:2" x14ac:dyDescent="0.25">
      <c r="A772">
        <v>152</v>
      </c>
      <c r="B772">
        <v>-3</v>
      </c>
    </row>
    <row r="773" spans="1:2" x14ac:dyDescent="0.25">
      <c r="A773">
        <v>25</v>
      </c>
      <c r="B773">
        <v>10</v>
      </c>
    </row>
    <row r="774" spans="1:2" x14ac:dyDescent="0.25">
      <c r="A774">
        <v>140</v>
      </c>
      <c r="B774">
        <v>15</v>
      </c>
    </row>
    <row r="775" spans="1:2" x14ac:dyDescent="0.25">
      <c r="A775">
        <v>45</v>
      </c>
      <c r="B775">
        <v>0</v>
      </c>
    </row>
    <row r="776" spans="1:2" x14ac:dyDescent="0.25">
      <c r="A776">
        <v>132</v>
      </c>
      <c r="B776">
        <v>49</v>
      </c>
    </row>
    <row r="777" spans="1:2" x14ac:dyDescent="0.25">
      <c r="A777">
        <v>133</v>
      </c>
      <c r="B777">
        <v>12</v>
      </c>
    </row>
    <row r="778" spans="1:2" x14ac:dyDescent="0.25">
      <c r="A778">
        <v>82</v>
      </c>
      <c r="B778">
        <v>13</v>
      </c>
    </row>
    <row r="779" spans="1:2" x14ac:dyDescent="0.25">
      <c r="A779">
        <v>140</v>
      </c>
      <c r="B779">
        <v>56</v>
      </c>
    </row>
    <row r="780" spans="1:2" x14ac:dyDescent="0.25">
      <c r="A780">
        <v>81</v>
      </c>
      <c r="B780">
        <v>19</v>
      </c>
    </row>
    <row r="781" spans="1:2" x14ac:dyDescent="0.25">
      <c r="A781">
        <v>137</v>
      </c>
      <c r="B781">
        <v>38</v>
      </c>
    </row>
    <row r="782" spans="1:2" x14ac:dyDescent="0.25">
      <c r="A782">
        <v>137</v>
      </c>
      <c r="B782">
        <v>-41</v>
      </c>
    </row>
    <row r="783" spans="1:2" x14ac:dyDescent="0.25">
      <c r="A783">
        <v>140</v>
      </c>
      <c r="B783">
        <v>57</v>
      </c>
    </row>
    <row r="784" spans="1:2" x14ac:dyDescent="0.25">
      <c r="A784">
        <v>139</v>
      </c>
      <c r="B784">
        <v>30</v>
      </c>
    </row>
    <row r="785" spans="1:2" x14ac:dyDescent="0.25">
      <c r="A785">
        <v>138</v>
      </c>
      <c r="B785">
        <v>11</v>
      </c>
    </row>
    <row r="786" spans="1:2" x14ac:dyDescent="0.25">
      <c r="A786">
        <v>79</v>
      </c>
      <c r="B786">
        <v>-124</v>
      </c>
    </row>
    <row r="787" spans="1:2" x14ac:dyDescent="0.25">
      <c r="A787">
        <v>136</v>
      </c>
      <c r="B787">
        <v>41</v>
      </c>
    </row>
    <row r="788" spans="1:2" x14ac:dyDescent="0.25">
      <c r="A788">
        <v>145</v>
      </c>
      <c r="B788">
        <v>16</v>
      </c>
    </row>
    <row r="789" spans="1:2" x14ac:dyDescent="0.25">
      <c r="A789">
        <v>44</v>
      </c>
      <c r="B789">
        <v>20</v>
      </c>
    </row>
    <row r="790" spans="1:2" x14ac:dyDescent="0.25">
      <c r="A790">
        <v>79</v>
      </c>
      <c r="B790">
        <v>6</v>
      </c>
    </row>
    <row r="791" spans="1:2" x14ac:dyDescent="0.25">
      <c r="A791">
        <v>79</v>
      </c>
      <c r="B791">
        <v>36</v>
      </c>
    </row>
    <row r="792" spans="1:2" x14ac:dyDescent="0.25">
      <c r="A792">
        <v>134</v>
      </c>
      <c r="B792">
        <v>-13</v>
      </c>
    </row>
    <row r="793" spans="1:2" x14ac:dyDescent="0.25">
      <c r="A793">
        <v>133</v>
      </c>
      <c r="B793">
        <v>5</v>
      </c>
    </row>
    <row r="794" spans="1:2" x14ac:dyDescent="0.25">
      <c r="A794">
        <v>47</v>
      </c>
      <c r="B794">
        <v>20</v>
      </c>
    </row>
    <row r="795" spans="1:2" x14ac:dyDescent="0.25">
      <c r="A795">
        <v>133</v>
      </c>
      <c r="B795">
        <v>-42</v>
      </c>
    </row>
    <row r="796" spans="1:2" x14ac:dyDescent="0.25">
      <c r="A796">
        <v>78</v>
      </c>
      <c r="B796">
        <v>27</v>
      </c>
    </row>
    <row r="797" spans="1:2" x14ac:dyDescent="0.25">
      <c r="A797">
        <v>78</v>
      </c>
      <c r="B797">
        <v>7</v>
      </c>
    </row>
    <row r="798" spans="1:2" x14ac:dyDescent="0.25">
      <c r="A798">
        <v>76</v>
      </c>
      <c r="B798">
        <v>-92</v>
      </c>
    </row>
    <row r="799" spans="1:2" x14ac:dyDescent="0.25">
      <c r="A799">
        <v>76</v>
      </c>
      <c r="B799">
        <v>-50</v>
      </c>
    </row>
    <row r="800" spans="1:2" x14ac:dyDescent="0.25">
      <c r="A800">
        <v>76</v>
      </c>
      <c r="B800">
        <v>19</v>
      </c>
    </row>
    <row r="801" spans="1:2" x14ac:dyDescent="0.25">
      <c r="A801">
        <v>74</v>
      </c>
      <c r="B801">
        <v>29</v>
      </c>
    </row>
    <row r="802" spans="1:2" x14ac:dyDescent="0.25">
      <c r="A802">
        <v>74</v>
      </c>
      <c r="B802">
        <v>-25</v>
      </c>
    </row>
    <row r="803" spans="1:2" x14ac:dyDescent="0.25">
      <c r="A803">
        <v>146</v>
      </c>
      <c r="B803">
        <v>-63</v>
      </c>
    </row>
    <row r="804" spans="1:2" x14ac:dyDescent="0.25">
      <c r="A804">
        <v>73</v>
      </c>
      <c r="B804">
        <v>-31</v>
      </c>
    </row>
    <row r="805" spans="1:2" x14ac:dyDescent="0.25">
      <c r="A805">
        <v>80</v>
      </c>
      <c r="B805">
        <v>22</v>
      </c>
    </row>
    <row r="806" spans="1:2" x14ac:dyDescent="0.25">
      <c r="A806">
        <v>133</v>
      </c>
      <c r="B806">
        <v>46</v>
      </c>
    </row>
    <row r="807" spans="1:2" x14ac:dyDescent="0.25">
      <c r="A807">
        <v>146</v>
      </c>
      <c r="B807">
        <v>7</v>
      </c>
    </row>
    <row r="808" spans="1:2" x14ac:dyDescent="0.25">
      <c r="A808">
        <v>130</v>
      </c>
      <c r="B808">
        <v>-41</v>
      </c>
    </row>
    <row r="809" spans="1:2" x14ac:dyDescent="0.25">
      <c r="A809">
        <v>141</v>
      </c>
      <c r="B809">
        <v>41</v>
      </c>
    </row>
    <row r="810" spans="1:2" x14ac:dyDescent="0.25">
      <c r="A810">
        <v>147</v>
      </c>
      <c r="B810">
        <v>21</v>
      </c>
    </row>
    <row r="811" spans="1:2" x14ac:dyDescent="0.25">
      <c r="A811">
        <v>73</v>
      </c>
      <c r="B811">
        <v>-7</v>
      </c>
    </row>
    <row r="812" spans="1:2" x14ac:dyDescent="0.25">
      <c r="A812">
        <v>148</v>
      </c>
      <c r="B812">
        <v>72</v>
      </c>
    </row>
    <row r="813" spans="1:2" x14ac:dyDescent="0.25">
      <c r="A813">
        <v>58</v>
      </c>
      <c r="B813">
        <v>0</v>
      </c>
    </row>
    <row r="814" spans="1:2" x14ac:dyDescent="0.25">
      <c r="A814">
        <v>21</v>
      </c>
      <c r="B814">
        <v>-13</v>
      </c>
    </row>
    <row r="815" spans="1:2" x14ac:dyDescent="0.25">
      <c r="A815">
        <v>148</v>
      </c>
      <c r="B815">
        <v>25</v>
      </c>
    </row>
    <row r="816" spans="1:2" x14ac:dyDescent="0.25">
      <c r="A816">
        <v>144</v>
      </c>
      <c r="B816">
        <v>-7</v>
      </c>
    </row>
    <row r="817" spans="1:2" x14ac:dyDescent="0.25">
      <c r="A817">
        <v>145</v>
      </c>
      <c r="B817">
        <v>-104</v>
      </c>
    </row>
    <row r="818" spans="1:2" x14ac:dyDescent="0.25">
      <c r="A818">
        <v>72</v>
      </c>
      <c r="B818">
        <v>-49</v>
      </c>
    </row>
    <row r="819" spans="1:2" x14ac:dyDescent="0.25">
      <c r="A819">
        <v>125</v>
      </c>
      <c r="B819">
        <v>15</v>
      </c>
    </row>
    <row r="820" spans="1:2" x14ac:dyDescent="0.25">
      <c r="A820">
        <v>149</v>
      </c>
      <c r="B820">
        <v>15</v>
      </c>
    </row>
    <row r="821" spans="1:2" x14ac:dyDescent="0.25">
      <c r="A821">
        <v>72</v>
      </c>
      <c r="B821">
        <v>16</v>
      </c>
    </row>
    <row r="822" spans="1:2" x14ac:dyDescent="0.25">
      <c r="A822">
        <v>71</v>
      </c>
      <c r="B822">
        <v>0</v>
      </c>
    </row>
    <row r="823" spans="1:2" x14ac:dyDescent="0.25">
      <c r="A823">
        <v>71</v>
      </c>
      <c r="B823">
        <v>-14</v>
      </c>
    </row>
    <row r="824" spans="1:2" x14ac:dyDescent="0.25">
      <c r="A824">
        <v>154</v>
      </c>
      <c r="B824">
        <v>-85</v>
      </c>
    </row>
    <row r="825" spans="1:2" x14ac:dyDescent="0.25">
      <c r="A825">
        <v>191</v>
      </c>
      <c r="B825">
        <v>13</v>
      </c>
    </row>
    <row r="826" spans="1:2" x14ac:dyDescent="0.25">
      <c r="A826">
        <v>170</v>
      </c>
      <c r="B826">
        <v>19</v>
      </c>
    </row>
    <row r="827" spans="1:2" x14ac:dyDescent="0.25">
      <c r="A827">
        <v>47</v>
      </c>
      <c r="B827">
        <v>-3</v>
      </c>
    </row>
    <row r="828" spans="1:2" x14ac:dyDescent="0.25">
      <c r="A828">
        <v>122</v>
      </c>
      <c r="B828">
        <v>-47</v>
      </c>
    </row>
    <row r="829" spans="1:2" x14ac:dyDescent="0.25">
      <c r="A829">
        <v>70</v>
      </c>
      <c r="B829">
        <v>26</v>
      </c>
    </row>
    <row r="830" spans="1:2" x14ac:dyDescent="0.25">
      <c r="A830">
        <v>155</v>
      </c>
      <c r="B830">
        <v>5</v>
      </c>
    </row>
    <row r="831" spans="1:2" x14ac:dyDescent="0.25">
      <c r="A831">
        <v>67</v>
      </c>
      <c r="B831">
        <v>-86</v>
      </c>
    </row>
    <row r="832" spans="1:2" x14ac:dyDescent="0.25">
      <c r="A832">
        <v>67</v>
      </c>
      <c r="B832">
        <v>-42</v>
      </c>
    </row>
    <row r="833" spans="1:2" x14ac:dyDescent="0.25">
      <c r="A833">
        <v>148</v>
      </c>
      <c r="B833">
        <v>-101</v>
      </c>
    </row>
    <row r="834" spans="1:2" x14ac:dyDescent="0.25">
      <c r="A834">
        <v>122</v>
      </c>
      <c r="B834">
        <v>38</v>
      </c>
    </row>
    <row r="835" spans="1:2" x14ac:dyDescent="0.25">
      <c r="A835">
        <v>16</v>
      </c>
      <c r="B835">
        <v>-5</v>
      </c>
    </row>
    <row r="836" spans="1:2" x14ac:dyDescent="0.25">
      <c r="A836">
        <v>121</v>
      </c>
      <c r="B836">
        <v>-17</v>
      </c>
    </row>
    <row r="837" spans="1:2" x14ac:dyDescent="0.25">
      <c r="A837">
        <v>42</v>
      </c>
      <c r="B837">
        <v>-15</v>
      </c>
    </row>
    <row r="838" spans="1:2" x14ac:dyDescent="0.25">
      <c r="A838">
        <v>65</v>
      </c>
      <c r="B838">
        <v>-4</v>
      </c>
    </row>
    <row r="839" spans="1:2" x14ac:dyDescent="0.25">
      <c r="A839">
        <v>119</v>
      </c>
      <c r="B839">
        <v>-43</v>
      </c>
    </row>
    <row r="840" spans="1:2" x14ac:dyDescent="0.25">
      <c r="A840">
        <v>155</v>
      </c>
      <c r="B840">
        <v>56</v>
      </c>
    </row>
    <row r="841" spans="1:2" x14ac:dyDescent="0.25">
      <c r="A841">
        <v>119</v>
      </c>
      <c r="B841">
        <v>-5</v>
      </c>
    </row>
    <row r="842" spans="1:2" x14ac:dyDescent="0.25">
      <c r="A842">
        <v>118</v>
      </c>
      <c r="B842">
        <v>25</v>
      </c>
    </row>
    <row r="843" spans="1:2" x14ac:dyDescent="0.25">
      <c r="A843">
        <v>116</v>
      </c>
      <c r="B843">
        <v>22</v>
      </c>
    </row>
    <row r="844" spans="1:2" x14ac:dyDescent="0.25">
      <c r="A844">
        <v>158</v>
      </c>
      <c r="B844">
        <v>-29</v>
      </c>
    </row>
    <row r="845" spans="1:2" x14ac:dyDescent="0.25">
      <c r="A845">
        <v>158</v>
      </c>
      <c r="B845">
        <v>69</v>
      </c>
    </row>
    <row r="846" spans="1:2" x14ac:dyDescent="0.25">
      <c r="A846">
        <v>65</v>
      </c>
      <c r="B846">
        <v>-52</v>
      </c>
    </row>
    <row r="847" spans="1:2" x14ac:dyDescent="0.25">
      <c r="A847">
        <v>160</v>
      </c>
      <c r="B847">
        <v>-59</v>
      </c>
    </row>
    <row r="848" spans="1:2" x14ac:dyDescent="0.25">
      <c r="A848">
        <v>162</v>
      </c>
      <c r="B848">
        <v>20</v>
      </c>
    </row>
    <row r="849" spans="1:2" x14ac:dyDescent="0.25">
      <c r="A849">
        <v>63</v>
      </c>
      <c r="B849">
        <v>1</v>
      </c>
    </row>
    <row r="850" spans="1:2" x14ac:dyDescent="0.25">
      <c r="A850">
        <v>64</v>
      </c>
      <c r="B850">
        <v>27</v>
      </c>
    </row>
    <row r="851" spans="1:2" x14ac:dyDescent="0.25">
      <c r="A851">
        <v>166</v>
      </c>
      <c r="B851">
        <v>-113</v>
      </c>
    </row>
    <row r="852" spans="1:2" x14ac:dyDescent="0.25">
      <c r="A852">
        <v>167</v>
      </c>
      <c r="B852">
        <v>43</v>
      </c>
    </row>
    <row r="853" spans="1:2" x14ac:dyDescent="0.25">
      <c r="A853">
        <v>123</v>
      </c>
      <c r="B853">
        <v>17</v>
      </c>
    </row>
    <row r="854" spans="1:2" x14ac:dyDescent="0.25">
      <c r="A854">
        <v>63</v>
      </c>
      <c r="B854">
        <v>14</v>
      </c>
    </row>
    <row r="855" spans="1:2" x14ac:dyDescent="0.25">
      <c r="A855">
        <v>891</v>
      </c>
      <c r="B855">
        <v>0</v>
      </c>
    </row>
    <row r="856" spans="1:2" x14ac:dyDescent="0.25">
      <c r="A856">
        <v>75</v>
      </c>
      <c r="B856">
        <v>28</v>
      </c>
    </row>
    <row r="857" spans="1:2" x14ac:dyDescent="0.25">
      <c r="A857">
        <v>62</v>
      </c>
      <c r="B857">
        <v>6</v>
      </c>
    </row>
    <row r="858" spans="1:2" x14ac:dyDescent="0.25">
      <c r="A858">
        <v>29</v>
      </c>
      <c r="B858">
        <v>-18</v>
      </c>
    </row>
    <row r="859" spans="1:2" x14ac:dyDescent="0.25">
      <c r="A859">
        <v>168</v>
      </c>
      <c r="B859">
        <v>18</v>
      </c>
    </row>
    <row r="860" spans="1:2" x14ac:dyDescent="0.25">
      <c r="A860">
        <v>70</v>
      </c>
      <c r="B860">
        <v>24</v>
      </c>
    </row>
    <row r="861" spans="1:2" x14ac:dyDescent="0.25">
      <c r="A861">
        <v>169</v>
      </c>
      <c r="B861">
        <v>55</v>
      </c>
    </row>
    <row r="862" spans="1:2" x14ac:dyDescent="0.25">
      <c r="A862">
        <v>32</v>
      </c>
      <c r="B862">
        <v>-8</v>
      </c>
    </row>
    <row r="863" spans="1:2" x14ac:dyDescent="0.25">
      <c r="A863">
        <v>44</v>
      </c>
      <c r="B863">
        <v>-8</v>
      </c>
    </row>
    <row r="864" spans="1:2" x14ac:dyDescent="0.25">
      <c r="A864">
        <v>116</v>
      </c>
      <c r="B864">
        <v>-56</v>
      </c>
    </row>
    <row r="865" spans="1:2" x14ac:dyDescent="0.25">
      <c r="A865">
        <v>156</v>
      </c>
      <c r="B865">
        <v>21</v>
      </c>
    </row>
    <row r="866" spans="1:2" x14ac:dyDescent="0.25">
      <c r="A866">
        <v>62</v>
      </c>
      <c r="B866">
        <v>6</v>
      </c>
    </row>
    <row r="867" spans="1:2" x14ac:dyDescent="0.25">
      <c r="A867">
        <v>54</v>
      </c>
      <c r="B867">
        <v>1</v>
      </c>
    </row>
    <row r="868" spans="1:2" x14ac:dyDescent="0.25">
      <c r="A868">
        <v>111</v>
      </c>
      <c r="B868">
        <v>11</v>
      </c>
    </row>
    <row r="869" spans="1:2" x14ac:dyDescent="0.25">
      <c r="A869">
        <v>158</v>
      </c>
      <c r="B869">
        <v>-63</v>
      </c>
    </row>
    <row r="870" spans="1:2" x14ac:dyDescent="0.25">
      <c r="A870">
        <v>7</v>
      </c>
      <c r="B870">
        <v>-3</v>
      </c>
    </row>
    <row r="871" spans="1:2" x14ac:dyDescent="0.25">
      <c r="A871">
        <v>61</v>
      </c>
      <c r="B871">
        <v>28</v>
      </c>
    </row>
    <row r="872" spans="1:2" x14ac:dyDescent="0.25">
      <c r="A872">
        <v>61</v>
      </c>
      <c r="B872">
        <v>-50</v>
      </c>
    </row>
    <row r="873" spans="1:2" x14ac:dyDescent="0.25">
      <c r="A873">
        <v>154</v>
      </c>
      <c r="B873">
        <v>26</v>
      </c>
    </row>
    <row r="874" spans="1:2" x14ac:dyDescent="0.25">
      <c r="A874">
        <v>62</v>
      </c>
      <c r="B874">
        <v>1</v>
      </c>
    </row>
    <row r="875" spans="1:2" x14ac:dyDescent="0.25">
      <c r="A875">
        <v>169</v>
      </c>
      <c r="B875">
        <v>38</v>
      </c>
    </row>
    <row r="876" spans="1:2" x14ac:dyDescent="0.25">
      <c r="A876">
        <v>61</v>
      </c>
      <c r="B876">
        <v>18</v>
      </c>
    </row>
    <row r="877" spans="1:2" x14ac:dyDescent="0.25">
      <c r="A877">
        <v>61</v>
      </c>
      <c r="B877">
        <v>-23</v>
      </c>
    </row>
    <row r="878" spans="1:2" x14ac:dyDescent="0.25">
      <c r="A878">
        <v>171</v>
      </c>
      <c r="B878">
        <v>14</v>
      </c>
    </row>
    <row r="879" spans="1:2" x14ac:dyDescent="0.25">
      <c r="A879">
        <v>60</v>
      </c>
      <c r="B879">
        <v>-49</v>
      </c>
    </row>
    <row r="880" spans="1:2" x14ac:dyDescent="0.25">
      <c r="A880">
        <v>25</v>
      </c>
      <c r="B880">
        <v>-11</v>
      </c>
    </row>
    <row r="881" spans="1:2" x14ac:dyDescent="0.25">
      <c r="A881">
        <v>163</v>
      </c>
      <c r="B881">
        <v>26</v>
      </c>
    </row>
    <row r="882" spans="1:2" x14ac:dyDescent="0.25">
      <c r="A882">
        <v>173</v>
      </c>
      <c r="B882">
        <v>86</v>
      </c>
    </row>
    <row r="883" spans="1:2" x14ac:dyDescent="0.25">
      <c r="A883">
        <v>257</v>
      </c>
      <c r="B883">
        <v>-3</v>
      </c>
    </row>
    <row r="884" spans="1:2" x14ac:dyDescent="0.25">
      <c r="A884">
        <v>108</v>
      </c>
      <c r="B884">
        <v>37</v>
      </c>
    </row>
    <row r="885" spans="1:2" x14ac:dyDescent="0.25">
      <c r="A885">
        <v>177</v>
      </c>
      <c r="B885">
        <v>41</v>
      </c>
    </row>
    <row r="886" spans="1:2" x14ac:dyDescent="0.25">
      <c r="A886">
        <v>106</v>
      </c>
      <c r="B886">
        <v>15</v>
      </c>
    </row>
    <row r="887" spans="1:2" x14ac:dyDescent="0.25">
      <c r="A887">
        <v>41</v>
      </c>
      <c r="B887">
        <v>-14</v>
      </c>
    </row>
    <row r="888" spans="1:2" x14ac:dyDescent="0.25">
      <c r="A888">
        <v>168</v>
      </c>
      <c r="B888">
        <v>-10</v>
      </c>
    </row>
    <row r="889" spans="1:2" x14ac:dyDescent="0.25">
      <c r="A889">
        <v>60</v>
      </c>
      <c r="B889">
        <v>21</v>
      </c>
    </row>
    <row r="890" spans="1:2" x14ac:dyDescent="0.25">
      <c r="A890">
        <v>31</v>
      </c>
      <c r="B890">
        <v>-11</v>
      </c>
    </row>
    <row r="891" spans="1:2" x14ac:dyDescent="0.25">
      <c r="A891">
        <v>179</v>
      </c>
      <c r="B891">
        <v>0</v>
      </c>
    </row>
    <row r="892" spans="1:2" x14ac:dyDescent="0.25">
      <c r="A892">
        <v>106</v>
      </c>
      <c r="B892">
        <v>12</v>
      </c>
    </row>
    <row r="893" spans="1:2" x14ac:dyDescent="0.25">
      <c r="A893">
        <v>60</v>
      </c>
      <c r="B893">
        <v>13</v>
      </c>
    </row>
    <row r="894" spans="1:2" x14ac:dyDescent="0.25">
      <c r="A894">
        <v>180</v>
      </c>
      <c r="B894">
        <v>5</v>
      </c>
    </row>
    <row r="895" spans="1:2" x14ac:dyDescent="0.25">
      <c r="A895">
        <v>60</v>
      </c>
      <c r="B895">
        <v>-10</v>
      </c>
    </row>
    <row r="896" spans="1:2" x14ac:dyDescent="0.25">
      <c r="A896">
        <v>59</v>
      </c>
      <c r="B896">
        <v>25</v>
      </c>
    </row>
    <row r="897" spans="1:2" x14ac:dyDescent="0.25">
      <c r="A897">
        <v>170</v>
      </c>
      <c r="B897">
        <v>73</v>
      </c>
    </row>
    <row r="898" spans="1:2" x14ac:dyDescent="0.25">
      <c r="A898">
        <v>59</v>
      </c>
      <c r="B898">
        <v>10</v>
      </c>
    </row>
    <row r="899" spans="1:2" x14ac:dyDescent="0.25">
      <c r="A899">
        <v>24</v>
      </c>
      <c r="B899">
        <v>-21</v>
      </c>
    </row>
    <row r="900" spans="1:2" x14ac:dyDescent="0.25">
      <c r="A900">
        <v>105</v>
      </c>
      <c r="B900">
        <v>-26</v>
      </c>
    </row>
    <row r="901" spans="1:2" x14ac:dyDescent="0.25">
      <c r="A901">
        <v>103</v>
      </c>
      <c r="B901">
        <v>46</v>
      </c>
    </row>
    <row r="902" spans="1:2" x14ac:dyDescent="0.25">
      <c r="A902">
        <v>171</v>
      </c>
      <c r="B902">
        <v>17</v>
      </c>
    </row>
    <row r="903" spans="1:2" x14ac:dyDescent="0.25">
      <c r="A903">
        <v>102</v>
      </c>
      <c r="B903">
        <v>13</v>
      </c>
    </row>
    <row r="904" spans="1:2" x14ac:dyDescent="0.25">
      <c r="A904">
        <v>98</v>
      </c>
      <c r="B904">
        <v>12</v>
      </c>
    </row>
    <row r="905" spans="1:2" x14ac:dyDescent="0.25">
      <c r="A905">
        <v>59</v>
      </c>
      <c r="B905">
        <v>10</v>
      </c>
    </row>
    <row r="906" spans="1:2" x14ac:dyDescent="0.25">
      <c r="A906">
        <v>189</v>
      </c>
      <c r="B906">
        <v>60</v>
      </c>
    </row>
    <row r="907" spans="1:2" x14ac:dyDescent="0.25">
      <c r="A907">
        <v>58</v>
      </c>
      <c r="B907">
        <v>-52</v>
      </c>
    </row>
    <row r="908" spans="1:2" x14ac:dyDescent="0.25">
      <c r="A908">
        <v>60</v>
      </c>
      <c r="B908">
        <v>3</v>
      </c>
    </row>
    <row r="909" spans="1:2" x14ac:dyDescent="0.25">
      <c r="A909">
        <v>58</v>
      </c>
      <c r="B909">
        <v>-8</v>
      </c>
    </row>
    <row r="910" spans="1:2" x14ac:dyDescent="0.25">
      <c r="A910">
        <v>94</v>
      </c>
      <c r="B910">
        <v>20</v>
      </c>
    </row>
    <row r="911" spans="1:2" x14ac:dyDescent="0.25">
      <c r="A911">
        <v>193</v>
      </c>
      <c r="B911">
        <v>-166</v>
      </c>
    </row>
    <row r="912" spans="1:2" x14ac:dyDescent="0.25">
      <c r="A912">
        <v>199</v>
      </c>
      <c r="B912">
        <v>0</v>
      </c>
    </row>
    <row r="913" spans="1:2" x14ac:dyDescent="0.25">
      <c r="A913">
        <v>202</v>
      </c>
      <c r="B913">
        <v>89</v>
      </c>
    </row>
    <row r="914" spans="1:2" x14ac:dyDescent="0.25">
      <c r="A914">
        <v>58</v>
      </c>
      <c r="B914">
        <v>17</v>
      </c>
    </row>
    <row r="915" spans="1:2" x14ac:dyDescent="0.25">
      <c r="A915">
        <v>57</v>
      </c>
      <c r="B915">
        <v>-28</v>
      </c>
    </row>
    <row r="916" spans="1:2" x14ac:dyDescent="0.25">
      <c r="A916">
        <v>204</v>
      </c>
      <c r="B916">
        <v>-94</v>
      </c>
    </row>
    <row r="917" spans="1:2" x14ac:dyDescent="0.25">
      <c r="A917">
        <v>98</v>
      </c>
      <c r="B917">
        <v>-12</v>
      </c>
    </row>
    <row r="918" spans="1:2" x14ac:dyDescent="0.25">
      <c r="A918">
        <v>22</v>
      </c>
      <c r="B918">
        <v>-12</v>
      </c>
    </row>
    <row r="919" spans="1:2" x14ac:dyDescent="0.25">
      <c r="A919">
        <v>97</v>
      </c>
      <c r="B919">
        <v>17</v>
      </c>
    </row>
    <row r="920" spans="1:2" x14ac:dyDescent="0.25">
      <c r="A920">
        <v>57</v>
      </c>
      <c r="B920">
        <v>24</v>
      </c>
    </row>
    <row r="921" spans="1:2" x14ac:dyDescent="0.25">
      <c r="A921">
        <v>97</v>
      </c>
      <c r="B921">
        <v>14</v>
      </c>
    </row>
    <row r="922" spans="1:2" x14ac:dyDescent="0.25">
      <c r="A922">
        <v>97</v>
      </c>
      <c r="B922">
        <v>17</v>
      </c>
    </row>
    <row r="923" spans="1:2" x14ac:dyDescent="0.25">
      <c r="A923">
        <v>96</v>
      </c>
      <c r="B923">
        <v>22</v>
      </c>
    </row>
    <row r="924" spans="1:2" x14ac:dyDescent="0.25">
      <c r="A924">
        <v>94</v>
      </c>
      <c r="B924">
        <v>27</v>
      </c>
    </row>
    <row r="925" spans="1:2" x14ac:dyDescent="0.25">
      <c r="A925">
        <v>26</v>
      </c>
      <c r="B925">
        <v>-17</v>
      </c>
    </row>
    <row r="926" spans="1:2" x14ac:dyDescent="0.25">
      <c r="A926">
        <v>93</v>
      </c>
      <c r="B926">
        <v>44</v>
      </c>
    </row>
    <row r="927" spans="1:2" x14ac:dyDescent="0.25">
      <c r="A927">
        <v>93</v>
      </c>
      <c r="B927">
        <v>-65</v>
      </c>
    </row>
    <row r="928" spans="1:2" x14ac:dyDescent="0.25">
      <c r="A928">
        <v>92</v>
      </c>
      <c r="B928">
        <v>5</v>
      </c>
    </row>
    <row r="929" spans="1:2" x14ac:dyDescent="0.25">
      <c r="A929">
        <v>57</v>
      </c>
      <c r="B929">
        <v>27</v>
      </c>
    </row>
    <row r="930" spans="1:2" x14ac:dyDescent="0.25">
      <c r="A930">
        <v>57</v>
      </c>
      <c r="B930">
        <v>7</v>
      </c>
    </row>
    <row r="931" spans="1:2" x14ac:dyDescent="0.25">
      <c r="A931">
        <v>57</v>
      </c>
      <c r="B931">
        <v>21</v>
      </c>
    </row>
    <row r="932" spans="1:2" x14ac:dyDescent="0.25">
      <c r="A932">
        <v>128</v>
      </c>
      <c r="B932">
        <v>4</v>
      </c>
    </row>
    <row r="933" spans="1:2" x14ac:dyDescent="0.25">
      <c r="A933">
        <v>89</v>
      </c>
      <c r="B933">
        <v>-4</v>
      </c>
    </row>
    <row r="934" spans="1:2" x14ac:dyDescent="0.25">
      <c r="A934">
        <v>221</v>
      </c>
      <c r="B934">
        <v>26</v>
      </c>
    </row>
    <row r="935" spans="1:2" x14ac:dyDescent="0.25">
      <c r="A935">
        <v>205</v>
      </c>
      <c r="B935">
        <v>-119</v>
      </c>
    </row>
    <row r="936" spans="1:2" x14ac:dyDescent="0.25">
      <c r="A936">
        <v>191</v>
      </c>
      <c r="B936">
        <v>51</v>
      </c>
    </row>
    <row r="937" spans="1:2" x14ac:dyDescent="0.25">
      <c r="A937">
        <v>206</v>
      </c>
      <c r="B937">
        <v>18</v>
      </c>
    </row>
    <row r="938" spans="1:2" x14ac:dyDescent="0.25">
      <c r="A938">
        <v>56</v>
      </c>
      <c r="B938">
        <v>0</v>
      </c>
    </row>
    <row r="939" spans="1:2" x14ac:dyDescent="0.25">
      <c r="A939">
        <v>88</v>
      </c>
      <c r="B939">
        <v>16</v>
      </c>
    </row>
    <row r="940" spans="1:2" x14ac:dyDescent="0.25">
      <c r="A940">
        <v>224</v>
      </c>
      <c r="B940">
        <v>58</v>
      </c>
    </row>
    <row r="941" spans="1:2" x14ac:dyDescent="0.25">
      <c r="A941">
        <v>193</v>
      </c>
      <c r="B941">
        <v>8</v>
      </c>
    </row>
    <row r="942" spans="1:2" x14ac:dyDescent="0.25">
      <c r="A942">
        <v>87</v>
      </c>
      <c r="B942">
        <v>36</v>
      </c>
    </row>
    <row r="943" spans="1:2" x14ac:dyDescent="0.25">
      <c r="A943">
        <v>189</v>
      </c>
      <c r="B943">
        <v>4</v>
      </c>
    </row>
    <row r="944" spans="1:2" x14ac:dyDescent="0.25">
      <c r="A944">
        <v>55</v>
      </c>
      <c r="B944">
        <v>-33</v>
      </c>
    </row>
    <row r="945" spans="1:2" x14ac:dyDescent="0.25">
      <c r="A945">
        <v>85</v>
      </c>
      <c r="B945">
        <v>-1</v>
      </c>
    </row>
    <row r="946" spans="1:2" x14ac:dyDescent="0.25">
      <c r="A946">
        <v>252</v>
      </c>
      <c r="B946">
        <v>56</v>
      </c>
    </row>
    <row r="947" spans="1:2" x14ac:dyDescent="0.25">
      <c r="A947">
        <v>197</v>
      </c>
      <c r="B947">
        <v>73</v>
      </c>
    </row>
    <row r="948" spans="1:2" x14ac:dyDescent="0.25">
      <c r="A948">
        <v>17</v>
      </c>
      <c r="B948">
        <v>-3</v>
      </c>
    </row>
    <row r="949" spans="1:2" x14ac:dyDescent="0.25">
      <c r="A949">
        <v>100</v>
      </c>
      <c r="B949">
        <v>28</v>
      </c>
    </row>
    <row r="950" spans="1:2" x14ac:dyDescent="0.25">
      <c r="A950">
        <v>80</v>
      </c>
      <c r="B950">
        <v>-19</v>
      </c>
    </row>
    <row r="951" spans="1:2" x14ac:dyDescent="0.25">
      <c r="A951">
        <v>75</v>
      </c>
      <c r="B951">
        <v>29</v>
      </c>
    </row>
    <row r="952" spans="1:2" x14ac:dyDescent="0.25">
      <c r="A952">
        <v>26</v>
      </c>
      <c r="B952">
        <v>4</v>
      </c>
    </row>
    <row r="953" spans="1:2" x14ac:dyDescent="0.25">
      <c r="A953">
        <v>55</v>
      </c>
      <c r="B953">
        <v>12</v>
      </c>
    </row>
    <row r="954" spans="1:2" x14ac:dyDescent="0.25">
      <c r="A954">
        <v>157</v>
      </c>
      <c r="B954">
        <v>5</v>
      </c>
    </row>
    <row r="955" spans="1:2" x14ac:dyDescent="0.25">
      <c r="A955">
        <v>200</v>
      </c>
      <c r="B955">
        <v>-60</v>
      </c>
    </row>
    <row r="956" spans="1:2" x14ac:dyDescent="0.25">
      <c r="A956">
        <v>230</v>
      </c>
      <c r="B956">
        <v>5</v>
      </c>
    </row>
    <row r="957" spans="1:2" x14ac:dyDescent="0.25">
      <c r="A957">
        <v>213</v>
      </c>
      <c r="B957">
        <v>-145</v>
      </c>
    </row>
    <row r="958" spans="1:2" x14ac:dyDescent="0.25">
      <c r="A958">
        <v>55</v>
      </c>
      <c r="B958">
        <v>4</v>
      </c>
    </row>
    <row r="959" spans="1:2" x14ac:dyDescent="0.25">
      <c r="A959">
        <v>220</v>
      </c>
      <c r="B959">
        <v>-19</v>
      </c>
    </row>
    <row r="960" spans="1:2" x14ac:dyDescent="0.25">
      <c r="A960">
        <v>150</v>
      </c>
      <c r="B960">
        <v>32</v>
      </c>
    </row>
    <row r="961" spans="1:2" x14ac:dyDescent="0.25">
      <c r="A961">
        <v>203</v>
      </c>
      <c r="B961">
        <v>84</v>
      </c>
    </row>
    <row r="962" spans="1:2" x14ac:dyDescent="0.25">
      <c r="A962">
        <v>93</v>
      </c>
      <c r="B962">
        <v>31</v>
      </c>
    </row>
    <row r="963" spans="1:2" x14ac:dyDescent="0.25">
      <c r="A963">
        <v>290</v>
      </c>
      <c r="B963">
        <v>35</v>
      </c>
    </row>
    <row r="964" spans="1:2" x14ac:dyDescent="0.25">
      <c r="A964">
        <v>48</v>
      </c>
      <c r="B964">
        <v>6</v>
      </c>
    </row>
    <row r="965" spans="1:2" x14ac:dyDescent="0.25">
      <c r="A965">
        <v>221</v>
      </c>
      <c r="B965">
        <v>35</v>
      </c>
    </row>
    <row r="966" spans="1:2" x14ac:dyDescent="0.25">
      <c r="A966">
        <v>55</v>
      </c>
      <c r="B966">
        <v>18</v>
      </c>
    </row>
    <row r="967" spans="1:2" x14ac:dyDescent="0.25">
      <c r="A967">
        <v>227</v>
      </c>
      <c r="B967">
        <v>102</v>
      </c>
    </row>
    <row r="968" spans="1:2" x14ac:dyDescent="0.25">
      <c r="A968">
        <v>55</v>
      </c>
      <c r="B968">
        <v>-39</v>
      </c>
    </row>
    <row r="969" spans="1:2" x14ac:dyDescent="0.25">
      <c r="A969">
        <v>207</v>
      </c>
      <c r="B969">
        <v>33</v>
      </c>
    </row>
    <row r="970" spans="1:2" x14ac:dyDescent="0.25">
      <c r="A970">
        <v>64</v>
      </c>
      <c r="B970">
        <v>6</v>
      </c>
    </row>
    <row r="971" spans="1:2" x14ac:dyDescent="0.25">
      <c r="A971">
        <v>89</v>
      </c>
      <c r="B971">
        <v>6</v>
      </c>
    </row>
    <row r="972" spans="1:2" x14ac:dyDescent="0.25">
      <c r="A972">
        <v>54</v>
      </c>
      <c r="B972">
        <v>27</v>
      </c>
    </row>
    <row r="973" spans="1:2" x14ac:dyDescent="0.25">
      <c r="A973">
        <v>84</v>
      </c>
      <c r="B973">
        <v>41</v>
      </c>
    </row>
    <row r="974" spans="1:2" x14ac:dyDescent="0.25">
      <c r="A974">
        <v>209</v>
      </c>
      <c r="B974">
        <v>-21</v>
      </c>
    </row>
    <row r="975" spans="1:2" x14ac:dyDescent="0.25">
      <c r="A975">
        <v>79</v>
      </c>
      <c r="B975">
        <v>33</v>
      </c>
    </row>
    <row r="976" spans="1:2" x14ac:dyDescent="0.25">
      <c r="A976">
        <v>54</v>
      </c>
      <c r="B976">
        <v>8</v>
      </c>
    </row>
    <row r="977" spans="1:2" x14ac:dyDescent="0.25">
      <c r="A977">
        <v>229</v>
      </c>
      <c r="B977">
        <v>59</v>
      </c>
    </row>
    <row r="978" spans="1:2" x14ac:dyDescent="0.25">
      <c r="A978">
        <v>158</v>
      </c>
      <c r="B978">
        <v>38</v>
      </c>
    </row>
    <row r="979" spans="1:2" x14ac:dyDescent="0.25">
      <c r="A979">
        <v>248</v>
      </c>
      <c r="B979">
        <v>105</v>
      </c>
    </row>
    <row r="980" spans="1:2" x14ac:dyDescent="0.25">
      <c r="A980">
        <v>199</v>
      </c>
      <c r="B980">
        <v>6</v>
      </c>
    </row>
    <row r="981" spans="1:2" x14ac:dyDescent="0.25">
      <c r="A981">
        <v>253</v>
      </c>
      <c r="B981">
        <v>-11</v>
      </c>
    </row>
    <row r="982" spans="1:2" x14ac:dyDescent="0.25">
      <c r="A982">
        <v>257</v>
      </c>
      <c r="B982">
        <v>-252</v>
      </c>
    </row>
    <row r="983" spans="1:2" x14ac:dyDescent="0.25">
      <c r="A983">
        <v>193</v>
      </c>
      <c r="B983">
        <v>33</v>
      </c>
    </row>
    <row r="984" spans="1:2" x14ac:dyDescent="0.25">
      <c r="A984">
        <v>109</v>
      </c>
      <c r="B984">
        <v>35</v>
      </c>
    </row>
    <row r="985" spans="1:2" x14ac:dyDescent="0.25">
      <c r="A985">
        <v>214</v>
      </c>
      <c r="B985">
        <v>30</v>
      </c>
    </row>
    <row r="986" spans="1:2" x14ac:dyDescent="0.25">
      <c r="A986">
        <v>141</v>
      </c>
      <c r="B986">
        <v>7</v>
      </c>
    </row>
    <row r="987" spans="1:2" x14ac:dyDescent="0.25">
      <c r="A987">
        <v>201</v>
      </c>
      <c r="B987">
        <v>32</v>
      </c>
    </row>
    <row r="988" spans="1:2" x14ac:dyDescent="0.25">
      <c r="A988">
        <v>54</v>
      </c>
      <c r="B988">
        <v>12</v>
      </c>
    </row>
    <row r="989" spans="1:2" x14ac:dyDescent="0.25">
      <c r="A989">
        <v>83</v>
      </c>
      <c r="B989">
        <v>6</v>
      </c>
    </row>
    <row r="990" spans="1:2" x14ac:dyDescent="0.25">
      <c r="A990">
        <v>54</v>
      </c>
      <c r="B990">
        <v>-3</v>
      </c>
    </row>
    <row r="991" spans="1:2" x14ac:dyDescent="0.25">
      <c r="A991">
        <v>53</v>
      </c>
      <c r="B991">
        <v>5</v>
      </c>
    </row>
    <row r="992" spans="1:2" x14ac:dyDescent="0.25">
      <c r="A992">
        <v>258</v>
      </c>
      <c r="B992">
        <v>-27</v>
      </c>
    </row>
    <row r="993" spans="1:2" x14ac:dyDescent="0.25">
      <c r="A993">
        <v>199</v>
      </c>
      <c r="B993">
        <v>8</v>
      </c>
    </row>
    <row r="994" spans="1:2" x14ac:dyDescent="0.25">
      <c r="A994">
        <v>82</v>
      </c>
      <c r="B994">
        <v>-27</v>
      </c>
    </row>
    <row r="995" spans="1:2" x14ac:dyDescent="0.25">
      <c r="A995">
        <v>139</v>
      </c>
      <c r="B995">
        <v>36</v>
      </c>
    </row>
    <row r="996" spans="1:2" x14ac:dyDescent="0.25">
      <c r="A996">
        <v>53</v>
      </c>
      <c r="B996">
        <v>15</v>
      </c>
    </row>
    <row r="997" spans="1:2" x14ac:dyDescent="0.25">
      <c r="A997">
        <v>53</v>
      </c>
      <c r="B997">
        <v>1</v>
      </c>
    </row>
    <row r="998" spans="1:2" x14ac:dyDescent="0.25">
      <c r="A998">
        <v>101</v>
      </c>
      <c r="B998">
        <v>38</v>
      </c>
    </row>
    <row r="999" spans="1:2" x14ac:dyDescent="0.25">
      <c r="A999">
        <v>262</v>
      </c>
      <c r="B999">
        <v>215</v>
      </c>
    </row>
    <row r="1000" spans="1:2" x14ac:dyDescent="0.25">
      <c r="A1000">
        <v>82</v>
      </c>
      <c r="B1000">
        <v>-39</v>
      </c>
    </row>
    <row r="1001" spans="1:2" x14ac:dyDescent="0.25">
      <c r="A1001">
        <v>154</v>
      </c>
      <c r="B1001">
        <v>39</v>
      </c>
    </row>
    <row r="1002" spans="1:2" x14ac:dyDescent="0.25">
      <c r="A1002">
        <v>52</v>
      </c>
      <c r="B1002">
        <v>18</v>
      </c>
    </row>
    <row r="1003" spans="1:2" x14ac:dyDescent="0.25">
      <c r="A1003">
        <v>1599</v>
      </c>
      <c r="B1003">
        <v>37</v>
      </c>
    </row>
    <row r="1004" spans="1:2" x14ac:dyDescent="0.25">
      <c r="A1004">
        <v>338</v>
      </c>
      <c r="B1004">
        <v>41</v>
      </c>
    </row>
    <row r="1005" spans="1:2" x14ac:dyDescent="0.25">
      <c r="A1005">
        <v>51</v>
      </c>
      <c r="B1005">
        <v>-49</v>
      </c>
    </row>
    <row r="1006" spans="1:2" x14ac:dyDescent="0.25">
      <c r="A1006">
        <v>224</v>
      </c>
      <c r="B1006">
        <v>-81</v>
      </c>
    </row>
    <row r="1007" spans="1:2" x14ac:dyDescent="0.25">
      <c r="A1007">
        <v>207</v>
      </c>
      <c r="B1007">
        <v>37</v>
      </c>
    </row>
    <row r="1008" spans="1:2" x14ac:dyDescent="0.25">
      <c r="A1008">
        <v>51</v>
      </c>
      <c r="B1008">
        <v>14</v>
      </c>
    </row>
    <row r="1009" spans="1:2" x14ac:dyDescent="0.25">
      <c r="A1009">
        <v>82</v>
      </c>
      <c r="B1009">
        <v>8</v>
      </c>
    </row>
    <row r="1010" spans="1:2" x14ac:dyDescent="0.25">
      <c r="A1010">
        <v>50</v>
      </c>
      <c r="B1010">
        <v>-17</v>
      </c>
    </row>
    <row r="1011" spans="1:2" x14ac:dyDescent="0.25">
      <c r="A1011">
        <v>263</v>
      </c>
      <c r="B1011">
        <v>-31</v>
      </c>
    </row>
    <row r="1012" spans="1:2" x14ac:dyDescent="0.25">
      <c r="A1012">
        <v>50</v>
      </c>
      <c r="B1012">
        <v>7</v>
      </c>
    </row>
    <row r="1013" spans="1:2" x14ac:dyDescent="0.25">
      <c r="A1013">
        <v>245</v>
      </c>
      <c r="B1013">
        <v>-3</v>
      </c>
    </row>
    <row r="1014" spans="1:2" x14ac:dyDescent="0.25">
      <c r="A1014">
        <v>82</v>
      </c>
      <c r="B1014">
        <v>24</v>
      </c>
    </row>
    <row r="1015" spans="1:2" x14ac:dyDescent="0.25">
      <c r="A1015">
        <v>229</v>
      </c>
      <c r="B1015">
        <v>-41</v>
      </c>
    </row>
    <row r="1016" spans="1:2" x14ac:dyDescent="0.25">
      <c r="A1016">
        <v>50</v>
      </c>
      <c r="B1016">
        <v>14</v>
      </c>
    </row>
    <row r="1017" spans="1:2" x14ac:dyDescent="0.25">
      <c r="A1017">
        <v>220</v>
      </c>
      <c r="B1017">
        <v>40</v>
      </c>
    </row>
    <row r="1018" spans="1:2" x14ac:dyDescent="0.25">
      <c r="A1018">
        <v>263</v>
      </c>
      <c r="B1018">
        <v>-63</v>
      </c>
    </row>
    <row r="1019" spans="1:2" x14ac:dyDescent="0.25">
      <c r="A1019">
        <v>81</v>
      </c>
      <c r="B1019">
        <v>-41</v>
      </c>
    </row>
    <row r="1020" spans="1:2" x14ac:dyDescent="0.25">
      <c r="A1020">
        <v>50</v>
      </c>
      <c r="B1020">
        <v>-17</v>
      </c>
    </row>
    <row r="1021" spans="1:2" x14ac:dyDescent="0.25">
      <c r="A1021">
        <v>49</v>
      </c>
      <c r="B1021">
        <v>5</v>
      </c>
    </row>
    <row r="1022" spans="1:2" x14ac:dyDescent="0.25">
      <c r="A1022">
        <v>237</v>
      </c>
      <c r="B1022">
        <v>47</v>
      </c>
    </row>
    <row r="1023" spans="1:2" x14ac:dyDescent="0.25">
      <c r="A1023">
        <v>264</v>
      </c>
      <c r="B1023">
        <v>-30</v>
      </c>
    </row>
    <row r="1024" spans="1:2" x14ac:dyDescent="0.25">
      <c r="A1024">
        <v>49</v>
      </c>
      <c r="B1024">
        <v>3</v>
      </c>
    </row>
    <row r="1025" spans="1:2" x14ac:dyDescent="0.25">
      <c r="A1025">
        <v>63</v>
      </c>
      <c r="B1025">
        <v>-24</v>
      </c>
    </row>
    <row r="1026" spans="1:2" x14ac:dyDescent="0.25">
      <c r="A1026">
        <v>81</v>
      </c>
      <c r="B1026">
        <v>-51</v>
      </c>
    </row>
    <row r="1027" spans="1:2" x14ac:dyDescent="0.25">
      <c r="A1027">
        <v>264</v>
      </c>
      <c r="B1027">
        <v>71</v>
      </c>
    </row>
    <row r="1028" spans="1:2" x14ac:dyDescent="0.25">
      <c r="A1028">
        <v>48</v>
      </c>
      <c r="B1028">
        <v>11</v>
      </c>
    </row>
    <row r="1029" spans="1:2" x14ac:dyDescent="0.25">
      <c r="A1029">
        <v>48</v>
      </c>
      <c r="B1029">
        <v>15</v>
      </c>
    </row>
    <row r="1030" spans="1:2" x14ac:dyDescent="0.25">
      <c r="A1030">
        <v>245</v>
      </c>
      <c r="B1030">
        <v>-78</v>
      </c>
    </row>
    <row r="1031" spans="1:2" x14ac:dyDescent="0.25">
      <c r="A1031">
        <v>146</v>
      </c>
      <c r="B1031">
        <v>42</v>
      </c>
    </row>
    <row r="1032" spans="1:2" x14ac:dyDescent="0.25">
      <c r="A1032">
        <v>245</v>
      </c>
      <c r="B1032">
        <v>10</v>
      </c>
    </row>
    <row r="1033" spans="1:2" x14ac:dyDescent="0.25">
      <c r="A1033">
        <v>245</v>
      </c>
      <c r="B1033">
        <v>91</v>
      </c>
    </row>
    <row r="1034" spans="1:2" x14ac:dyDescent="0.25">
      <c r="A1034">
        <v>80</v>
      </c>
      <c r="B1034">
        <v>3</v>
      </c>
    </row>
    <row r="1035" spans="1:2" x14ac:dyDescent="0.25">
      <c r="A1035">
        <v>269</v>
      </c>
      <c r="B1035">
        <v>33</v>
      </c>
    </row>
    <row r="1036" spans="1:2" x14ac:dyDescent="0.25">
      <c r="A1036">
        <v>80</v>
      </c>
      <c r="B1036">
        <v>22</v>
      </c>
    </row>
    <row r="1037" spans="1:2" x14ac:dyDescent="0.25">
      <c r="A1037">
        <v>284</v>
      </c>
      <c r="B1037">
        <v>44</v>
      </c>
    </row>
    <row r="1038" spans="1:2" x14ac:dyDescent="0.25">
      <c r="A1038">
        <v>313</v>
      </c>
      <c r="B1038">
        <v>44</v>
      </c>
    </row>
    <row r="1039" spans="1:2" x14ac:dyDescent="0.25">
      <c r="A1039">
        <v>80</v>
      </c>
      <c r="B1039">
        <v>-26</v>
      </c>
    </row>
    <row r="1040" spans="1:2" x14ac:dyDescent="0.25">
      <c r="A1040">
        <v>48</v>
      </c>
      <c r="B1040">
        <v>-8</v>
      </c>
    </row>
    <row r="1041" spans="1:2" x14ac:dyDescent="0.25">
      <c r="A1041">
        <v>87</v>
      </c>
      <c r="B1041">
        <v>16</v>
      </c>
    </row>
    <row r="1042" spans="1:2" x14ac:dyDescent="0.25">
      <c r="A1042">
        <v>47</v>
      </c>
      <c r="B1042">
        <v>-114</v>
      </c>
    </row>
    <row r="1043" spans="1:2" x14ac:dyDescent="0.25">
      <c r="A1043">
        <v>140</v>
      </c>
      <c r="B1043">
        <v>28</v>
      </c>
    </row>
    <row r="1044" spans="1:2" x14ac:dyDescent="0.25">
      <c r="A1044">
        <v>47</v>
      </c>
      <c r="B1044">
        <v>1</v>
      </c>
    </row>
    <row r="1045" spans="1:2" x14ac:dyDescent="0.25">
      <c r="A1045">
        <v>79</v>
      </c>
      <c r="B1045">
        <v>-2</v>
      </c>
    </row>
    <row r="1046" spans="1:2" x14ac:dyDescent="0.25">
      <c r="A1046">
        <v>78</v>
      </c>
      <c r="B1046">
        <v>-64</v>
      </c>
    </row>
    <row r="1047" spans="1:2" x14ac:dyDescent="0.25">
      <c r="A1047">
        <v>47</v>
      </c>
      <c r="B1047">
        <v>-3</v>
      </c>
    </row>
    <row r="1048" spans="1:2" x14ac:dyDescent="0.25">
      <c r="A1048">
        <v>185</v>
      </c>
      <c r="B1048">
        <v>48</v>
      </c>
    </row>
    <row r="1049" spans="1:2" x14ac:dyDescent="0.25">
      <c r="A1049">
        <v>77</v>
      </c>
      <c r="B1049">
        <v>36</v>
      </c>
    </row>
    <row r="1050" spans="1:2" x14ac:dyDescent="0.25">
      <c r="A1050">
        <v>259</v>
      </c>
      <c r="B1050">
        <v>47</v>
      </c>
    </row>
    <row r="1051" spans="1:2" x14ac:dyDescent="0.25">
      <c r="A1051">
        <v>75</v>
      </c>
      <c r="B1051">
        <v>0</v>
      </c>
    </row>
    <row r="1052" spans="1:2" x14ac:dyDescent="0.25">
      <c r="A1052">
        <v>75</v>
      </c>
      <c r="B1052">
        <v>0</v>
      </c>
    </row>
    <row r="1053" spans="1:2" x14ac:dyDescent="0.25">
      <c r="A1053">
        <v>46</v>
      </c>
      <c r="B1053">
        <v>0</v>
      </c>
    </row>
    <row r="1054" spans="1:2" x14ac:dyDescent="0.25">
      <c r="A1054">
        <v>46</v>
      </c>
      <c r="B1054">
        <v>13</v>
      </c>
    </row>
    <row r="1055" spans="1:2" x14ac:dyDescent="0.25">
      <c r="A1055">
        <v>200</v>
      </c>
      <c r="B1055">
        <v>13</v>
      </c>
    </row>
    <row r="1056" spans="1:2" x14ac:dyDescent="0.25">
      <c r="A1056">
        <v>46</v>
      </c>
      <c r="B1056">
        <v>-14</v>
      </c>
    </row>
    <row r="1057" spans="1:2" x14ac:dyDescent="0.25">
      <c r="A1057">
        <v>126</v>
      </c>
      <c r="B1057">
        <v>52</v>
      </c>
    </row>
    <row r="1058" spans="1:2" x14ac:dyDescent="0.25">
      <c r="A1058">
        <v>74</v>
      </c>
      <c r="B1058">
        <v>29</v>
      </c>
    </row>
    <row r="1059" spans="1:2" x14ac:dyDescent="0.25">
      <c r="A1059">
        <v>45</v>
      </c>
      <c r="B1059">
        <v>13</v>
      </c>
    </row>
    <row r="1060" spans="1:2" x14ac:dyDescent="0.25">
      <c r="A1060">
        <v>74</v>
      </c>
      <c r="B1060">
        <v>9</v>
      </c>
    </row>
    <row r="1061" spans="1:2" x14ac:dyDescent="0.25">
      <c r="A1061">
        <v>129</v>
      </c>
      <c r="B1061">
        <v>11</v>
      </c>
    </row>
    <row r="1062" spans="1:2" x14ac:dyDescent="0.25">
      <c r="A1062">
        <v>122</v>
      </c>
      <c r="B1062">
        <v>50</v>
      </c>
    </row>
    <row r="1063" spans="1:2" x14ac:dyDescent="0.25">
      <c r="A1063">
        <v>74</v>
      </c>
      <c r="B1063">
        <v>-51</v>
      </c>
    </row>
    <row r="1064" spans="1:2" x14ac:dyDescent="0.25">
      <c r="A1064">
        <v>278</v>
      </c>
      <c r="B1064">
        <v>39</v>
      </c>
    </row>
    <row r="1065" spans="1:2" x14ac:dyDescent="0.25">
      <c r="A1065">
        <v>282</v>
      </c>
      <c r="B1065">
        <v>14</v>
      </c>
    </row>
    <row r="1066" spans="1:2" x14ac:dyDescent="0.25">
      <c r="A1066">
        <v>45</v>
      </c>
      <c r="B1066">
        <v>0</v>
      </c>
    </row>
    <row r="1067" spans="1:2" x14ac:dyDescent="0.25">
      <c r="A1067">
        <v>45</v>
      </c>
      <c r="B1067">
        <v>6</v>
      </c>
    </row>
    <row r="1068" spans="1:2" x14ac:dyDescent="0.25">
      <c r="A1068">
        <v>45</v>
      </c>
      <c r="B1068">
        <v>16</v>
      </c>
    </row>
    <row r="1069" spans="1:2" x14ac:dyDescent="0.25">
      <c r="A1069">
        <v>73</v>
      </c>
      <c r="B1069">
        <v>-36</v>
      </c>
    </row>
    <row r="1070" spans="1:2" x14ac:dyDescent="0.25">
      <c r="A1070">
        <v>45</v>
      </c>
      <c r="B1070">
        <v>12</v>
      </c>
    </row>
    <row r="1071" spans="1:2" x14ac:dyDescent="0.25">
      <c r="A1071">
        <v>72</v>
      </c>
      <c r="B1071">
        <v>-6</v>
      </c>
    </row>
    <row r="1072" spans="1:2" x14ac:dyDescent="0.25">
      <c r="A1072">
        <v>71</v>
      </c>
      <c r="B1072">
        <v>-44</v>
      </c>
    </row>
    <row r="1073" spans="1:2" x14ac:dyDescent="0.25">
      <c r="A1073">
        <v>45</v>
      </c>
      <c r="B1073">
        <v>-2</v>
      </c>
    </row>
    <row r="1074" spans="1:2" x14ac:dyDescent="0.25">
      <c r="A1074">
        <v>286</v>
      </c>
      <c r="B1074">
        <v>140</v>
      </c>
    </row>
    <row r="1075" spans="1:2" x14ac:dyDescent="0.25">
      <c r="A1075">
        <v>294</v>
      </c>
      <c r="B1075">
        <v>138</v>
      </c>
    </row>
    <row r="1076" spans="1:2" x14ac:dyDescent="0.25">
      <c r="A1076">
        <v>223</v>
      </c>
      <c r="B1076">
        <v>4</v>
      </c>
    </row>
    <row r="1077" spans="1:2" x14ac:dyDescent="0.25">
      <c r="A1077">
        <v>20</v>
      </c>
      <c r="B1077">
        <v>-2</v>
      </c>
    </row>
    <row r="1078" spans="1:2" x14ac:dyDescent="0.25">
      <c r="A1078">
        <v>302</v>
      </c>
      <c r="B1078">
        <v>75</v>
      </c>
    </row>
    <row r="1079" spans="1:2" x14ac:dyDescent="0.25">
      <c r="A1079">
        <v>113</v>
      </c>
      <c r="B1079">
        <v>28</v>
      </c>
    </row>
    <row r="1080" spans="1:2" x14ac:dyDescent="0.25">
      <c r="A1080">
        <v>44</v>
      </c>
      <c r="B1080">
        <v>2</v>
      </c>
    </row>
    <row r="1081" spans="1:2" x14ac:dyDescent="0.25">
      <c r="A1081">
        <v>305</v>
      </c>
      <c r="B1081">
        <v>-270</v>
      </c>
    </row>
    <row r="1082" spans="1:2" x14ac:dyDescent="0.25">
      <c r="A1082">
        <v>306</v>
      </c>
      <c r="B1082">
        <v>-147</v>
      </c>
    </row>
    <row r="1083" spans="1:2" x14ac:dyDescent="0.25">
      <c r="A1083">
        <v>70</v>
      </c>
      <c r="B1083">
        <v>-64</v>
      </c>
    </row>
    <row r="1084" spans="1:2" x14ac:dyDescent="0.25">
      <c r="A1084">
        <v>44</v>
      </c>
      <c r="B1084">
        <v>11</v>
      </c>
    </row>
    <row r="1085" spans="1:2" x14ac:dyDescent="0.25">
      <c r="A1085">
        <v>44</v>
      </c>
      <c r="B1085">
        <v>14</v>
      </c>
    </row>
    <row r="1086" spans="1:2" x14ac:dyDescent="0.25">
      <c r="A1086">
        <v>319</v>
      </c>
      <c r="B1086">
        <v>312</v>
      </c>
    </row>
    <row r="1087" spans="1:2" x14ac:dyDescent="0.25">
      <c r="A1087">
        <v>287</v>
      </c>
      <c r="B1087">
        <v>-280</v>
      </c>
    </row>
    <row r="1088" spans="1:2" x14ac:dyDescent="0.25">
      <c r="A1088">
        <v>44</v>
      </c>
      <c r="B1088">
        <v>10</v>
      </c>
    </row>
    <row r="1089" spans="1:2" x14ac:dyDescent="0.25">
      <c r="A1089">
        <v>288</v>
      </c>
      <c r="B1089">
        <v>-180</v>
      </c>
    </row>
    <row r="1090" spans="1:2" x14ac:dyDescent="0.25">
      <c r="A1090">
        <v>49</v>
      </c>
      <c r="B1090">
        <v>-31</v>
      </c>
    </row>
    <row r="1091" spans="1:2" x14ac:dyDescent="0.25">
      <c r="A1091">
        <v>43</v>
      </c>
      <c r="B1091">
        <v>-10</v>
      </c>
    </row>
    <row r="1092" spans="1:2" x14ac:dyDescent="0.25">
      <c r="A1092">
        <v>43</v>
      </c>
      <c r="B1092">
        <v>5</v>
      </c>
    </row>
    <row r="1093" spans="1:2" x14ac:dyDescent="0.25">
      <c r="A1093">
        <v>68</v>
      </c>
      <c r="B1093">
        <v>-27</v>
      </c>
    </row>
    <row r="1094" spans="1:2" x14ac:dyDescent="0.25">
      <c r="A1094">
        <v>320</v>
      </c>
      <c r="B1094">
        <v>144</v>
      </c>
    </row>
    <row r="1095" spans="1:2" x14ac:dyDescent="0.25">
      <c r="A1095">
        <v>67</v>
      </c>
      <c r="B1095">
        <v>2</v>
      </c>
    </row>
    <row r="1096" spans="1:2" x14ac:dyDescent="0.25">
      <c r="A1096">
        <v>66</v>
      </c>
      <c r="B1096">
        <v>-12</v>
      </c>
    </row>
    <row r="1097" spans="1:2" x14ac:dyDescent="0.25">
      <c r="A1097">
        <v>321</v>
      </c>
      <c r="B1097">
        <v>26</v>
      </c>
    </row>
    <row r="1098" spans="1:2" x14ac:dyDescent="0.25">
      <c r="A1098">
        <v>43</v>
      </c>
      <c r="B1098">
        <v>-5</v>
      </c>
    </row>
    <row r="1099" spans="1:2" x14ac:dyDescent="0.25">
      <c r="A1099">
        <v>114</v>
      </c>
      <c r="B1099">
        <v>-39</v>
      </c>
    </row>
    <row r="1100" spans="1:2" x14ac:dyDescent="0.25">
      <c r="A1100">
        <v>43</v>
      </c>
      <c r="B1100">
        <v>17</v>
      </c>
    </row>
    <row r="1101" spans="1:2" x14ac:dyDescent="0.25">
      <c r="A1101">
        <v>43</v>
      </c>
      <c r="B1101">
        <v>21</v>
      </c>
    </row>
    <row r="1102" spans="1:2" x14ac:dyDescent="0.25">
      <c r="A1102">
        <v>637</v>
      </c>
      <c r="B1102">
        <v>50</v>
      </c>
    </row>
    <row r="1103" spans="1:2" x14ac:dyDescent="0.25">
      <c r="A1103">
        <v>300</v>
      </c>
      <c r="B1103">
        <v>42</v>
      </c>
    </row>
    <row r="1104" spans="1:2" x14ac:dyDescent="0.25">
      <c r="A1104">
        <v>341</v>
      </c>
      <c r="B1104">
        <v>44</v>
      </c>
    </row>
    <row r="1105" spans="1:2" x14ac:dyDescent="0.25">
      <c r="A1105">
        <v>102</v>
      </c>
      <c r="B1105">
        <v>0</v>
      </c>
    </row>
    <row r="1106" spans="1:2" x14ac:dyDescent="0.25">
      <c r="A1106">
        <v>328</v>
      </c>
      <c r="B1106">
        <v>-15</v>
      </c>
    </row>
    <row r="1107" spans="1:2" x14ac:dyDescent="0.25">
      <c r="A1107">
        <v>341</v>
      </c>
      <c r="B1107">
        <v>160</v>
      </c>
    </row>
    <row r="1108" spans="1:2" x14ac:dyDescent="0.25">
      <c r="A1108">
        <v>62</v>
      </c>
      <c r="B1108">
        <v>11</v>
      </c>
    </row>
    <row r="1109" spans="1:2" x14ac:dyDescent="0.25">
      <c r="A1109">
        <v>42</v>
      </c>
      <c r="B1109">
        <v>13</v>
      </c>
    </row>
    <row r="1110" spans="1:2" x14ac:dyDescent="0.25">
      <c r="A1110">
        <v>62</v>
      </c>
      <c r="B1110">
        <v>28</v>
      </c>
    </row>
    <row r="1111" spans="1:2" x14ac:dyDescent="0.25">
      <c r="A1111">
        <v>42</v>
      </c>
      <c r="B1111">
        <v>7</v>
      </c>
    </row>
    <row r="1112" spans="1:2" x14ac:dyDescent="0.25">
      <c r="A1112">
        <v>42</v>
      </c>
      <c r="B1112">
        <v>-3</v>
      </c>
    </row>
    <row r="1113" spans="1:2" x14ac:dyDescent="0.25">
      <c r="A1113">
        <v>313</v>
      </c>
      <c r="B1113">
        <v>-13</v>
      </c>
    </row>
    <row r="1114" spans="1:2" x14ac:dyDescent="0.25">
      <c r="A1114">
        <v>109</v>
      </c>
      <c r="B1114">
        <v>52</v>
      </c>
    </row>
    <row r="1115" spans="1:2" x14ac:dyDescent="0.25">
      <c r="A1115">
        <v>226</v>
      </c>
      <c r="B1115">
        <v>58</v>
      </c>
    </row>
    <row r="1116" spans="1:2" x14ac:dyDescent="0.25">
      <c r="A1116">
        <v>62</v>
      </c>
      <c r="B1116">
        <v>-1</v>
      </c>
    </row>
    <row r="1117" spans="1:2" x14ac:dyDescent="0.25">
      <c r="A1117">
        <v>61</v>
      </c>
      <c r="B1117">
        <v>-25</v>
      </c>
    </row>
    <row r="1118" spans="1:2" x14ac:dyDescent="0.25">
      <c r="A1118">
        <v>222</v>
      </c>
      <c r="B1118">
        <v>74</v>
      </c>
    </row>
    <row r="1119" spans="1:2" x14ac:dyDescent="0.25">
      <c r="A1119">
        <v>342</v>
      </c>
      <c r="B1119">
        <v>-154</v>
      </c>
    </row>
    <row r="1120" spans="1:2" x14ac:dyDescent="0.25">
      <c r="A1120">
        <v>344</v>
      </c>
      <c r="B1120">
        <v>-34</v>
      </c>
    </row>
    <row r="1121" spans="1:2" x14ac:dyDescent="0.25">
      <c r="A1121">
        <v>345</v>
      </c>
      <c r="B1121">
        <v>38</v>
      </c>
    </row>
    <row r="1122" spans="1:2" x14ac:dyDescent="0.25">
      <c r="A1122">
        <v>46</v>
      </c>
      <c r="B1122">
        <v>0</v>
      </c>
    </row>
    <row r="1123" spans="1:2" x14ac:dyDescent="0.25">
      <c r="A1123">
        <v>255</v>
      </c>
      <c r="B1123">
        <v>74</v>
      </c>
    </row>
    <row r="1124" spans="1:2" x14ac:dyDescent="0.25">
      <c r="A1124">
        <v>360</v>
      </c>
      <c r="B1124">
        <v>32</v>
      </c>
    </row>
    <row r="1125" spans="1:2" x14ac:dyDescent="0.25">
      <c r="A1125">
        <v>372</v>
      </c>
      <c r="B1125">
        <v>59</v>
      </c>
    </row>
    <row r="1126" spans="1:2" x14ac:dyDescent="0.25">
      <c r="A1126">
        <v>61</v>
      </c>
      <c r="B1126">
        <v>30</v>
      </c>
    </row>
    <row r="1127" spans="1:2" x14ac:dyDescent="0.25">
      <c r="A1127">
        <v>42</v>
      </c>
      <c r="B1127">
        <v>12</v>
      </c>
    </row>
    <row r="1128" spans="1:2" x14ac:dyDescent="0.25">
      <c r="A1128">
        <v>42</v>
      </c>
      <c r="B1128">
        <v>-26</v>
      </c>
    </row>
    <row r="1129" spans="1:2" x14ac:dyDescent="0.25">
      <c r="A1129">
        <v>61</v>
      </c>
      <c r="B1129">
        <v>25</v>
      </c>
    </row>
    <row r="1130" spans="1:2" x14ac:dyDescent="0.25">
      <c r="A1130">
        <v>41</v>
      </c>
      <c r="B1130">
        <v>11</v>
      </c>
    </row>
    <row r="1131" spans="1:2" x14ac:dyDescent="0.25">
      <c r="A1131">
        <v>40</v>
      </c>
      <c r="B1131">
        <v>13</v>
      </c>
    </row>
    <row r="1132" spans="1:2" x14ac:dyDescent="0.25">
      <c r="A1132">
        <v>59</v>
      </c>
      <c r="B1132">
        <v>21</v>
      </c>
    </row>
    <row r="1133" spans="1:2" x14ac:dyDescent="0.25">
      <c r="A1133">
        <v>57</v>
      </c>
      <c r="B1133">
        <v>27</v>
      </c>
    </row>
    <row r="1134" spans="1:2" x14ac:dyDescent="0.25">
      <c r="A1134">
        <v>17</v>
      </c>
      <c r="B1134">
        <v>6</v>
      </c>
    </row>
    <row r="1135" spans="1:2" x14ac:dyDescent="0.25">
      <c r="A1135">
        <v>40</v>
      </c>
      <c r="B1135">
        <v>10</v>
      </c>
    </row>
    <row r="1136" spans="1:2" x14ac:dyDescent="0.25">
      <c r="A1136">
        <v>349</v>
      </c>
      <c r="B1136">
        <v>-24</v>
      </c>
    </row>
    <row r="1137" spans="1:2" x14ac:dyDescent="0.25">
      <c r="A1137">
        <v>335</v>
      </c>
      <c r="B1137">
        <v>-22</v>
      </c>
    </row>
    <row r="1138" spans="1:2" x14ac:dyDescent="0.25">
      <c r="A1138">
        <v>40</v>
      </c>
      <c r="B1138">
        <v>16</v>
      </c>
    </row>
    <row r="1139" spans="1:2" x14ac:dyDescent="0.25">
      <c r="A1139">
        <v>40</v>
      </c>
      <c r="B1139">
        <v>17</v>
      </c>
    </row>
    <row r="1140" spans="1:2" x14ac:dyDescent="0.25">
      <c r="A1140">
        <v>40</v>
      </c>
      <c r="B1140">
        <v>-7</v>
      </c>
    </row>
    <row r="1141" spans="1:2" x14ac:dyDescent="0.25">
      <c r="A1141">
        <v>352</v>
      </c>
      <c r="B1141">
        <v>74</v>
      </c>
    </row>
    <row r="1142" spans="1:2" x14ac:dyDescent="0.25">
      <c r="A1142">
        <v>55</v>
      </c>
      <c r="B1142">
        <v>-26</v>
      </c>
    </row>
    <row r="1143" spans="1:2" x14ac:dyDescent="0.25">
      <c r="A1143">
        <v>352</v>
      </c>
      <c r="B1143">
        <v>18</v>
      </c>
    </row>
    <row r="1144" spans="1:2" x14ac:dyDescent="0.25">
      <c r="A1144">
        <v>53</v>
      </c>
      <c r="B1144">
        <v>-18</v>
      </c>
    </row>
    <row r="1145" spans="1:2" x14ac:dyDescent="0.25">
      <c r="A1145">
        <v>51</v>
      </c>
      <c r="B1145">
        <v>7</v>
      </c>
    </row>
    <row r="1146" spans="1:2" x14ac:dyDescent="0.25">
      <c r="A1146">
        <v>40</v>
      </c>
      <c r="B1146">
        <v>-37</v>
      </c>
    </row>
    <row r="1147" spans="1:2" x14ac:dyDescent="0.25">
      <c r="A1147">
        <v>39</v>
      </c>
      <c r="B1147">
        <v>14</v>
      </c>
    </row>
    <row r="1148" spans="1:2" x14ac:dyDescent="0.25">
      <c r="A1148">
        <v>355</v>
      </c>
      <c r="B1148">
        <v>-4</v>
      </c>
    </row>
    <row r="1149" spans="1:2" x14ac:dyDescent="0.25">
      <c r="A1149">
        <v>357</v>
      </c>
      <c r="B1149">
        <v>139</v>
      </c>
    </row>
    <row r="1150" spans="1:2" x14ac:dyDescent="0.25">
      <c r="A1150">
        <v>38</v>
      </c>
      <c r="B1150">
        <v>18</v>
      </c>
    </row>
    <row r="1151" spans="1:2" x14ac:dyDescent="0.25">
      <c r="A1151">
        <v>38</v>
      </c>
      <c r="B1151">
        <v>9</v>
      </c>
    </row>
    <row r="1152" spans="1:2" x14ac:dyDescent="0.25">
      <c r="A1152">
        <v>141</v>
      </c>
      <c r="B1152">
        <v>10</v>
      </c>
    </row>
    <row r="1153" spans="1:2" x14ac:dyDescent="0.25">
      <c r="A1153">
        <v>36</v>
      </c>
      <c r="B1153">
        <v>4</v>
      </c>
    </row>
    <row r="1154" spans="1:2" x14ac:dyDescent="0.25">
      <c r="A1154">
        <v>351</v>
      </c>
      <c r="B1154">
        <v>-94</v>
      </c>
    </row>
    <row r="1155" spans="1:2" x14ac:dyDescent="0.25">
      <c r="A1155">
        <v>369</v>
      </c>
      <c r="B1155">
        <v>15</v>
      </c>
    </row>
    <row r="1156" spans="1:2" x14ac:dyDescent="0.25">
      <c r="A1156">
        <v>53</v>
      </c>
      <c r="B1156">
        <v>24</v>
      </c>
    </row>
    <row r="1157" spans="1:2" x14ac:dyDescent="0.25">
      <c r="A1157">
        <v>371</v>
      </c>
      <c r="B1157">
        <v>115</v>
      </c>
    </row>
    <row r="1158" spans="1:2" x14ac:dyDescent="0.25">
      <c r="A1158">
        <v>499</v>
      </c>
      <c r="B1158">
        <v>33</v>
      </c>
    </row>
    <row r="1159" spans="1:2" x14ac:dyDescent="0.25">
      <c r="A1159">
        <v>223</v>
      </c>
      <c r="B1159">
        <v>62</v>
      </c>
    </row>
    <row r="1160" spans="1:2" x14ac:dyDescent="0.25">
      <c r="A1160">
        <v>50</v>
      </c>
      <c r="B1160">
        <v>-4</v>
      </c>
    </row>
    <row r="1161" spans="1:2" x14ac:dyDescent="0.25">
      <c r="A1161">
        <v>391</v>
      </c>
      <c r="B1161">
        <v>90</v>
      </c>
    </row>
    <row r="1162" spans="1:2" x14ac:dyDescent="0.25">
      <c r="A1162">
        <v>416</v>
      </c>
      <c r="B1162">
        <v>137</v>
      </c>
    </row>
    <row r="1163" spans="1:2" x14ac:dyDescent="0.25">
      <c r="A1163">
        <v>424</v>
      </c>
      <c r="B1163">
        <v>-17</v>
      </c>
    </row>
    <row r="1164" spans="1:2" x14ac:dyDescent="0.25">
      <c r="A1164">
        <v>362</v>
      </c>
      <c r="B1164">
        <v>127</v>
      </c>
    </row>
    <row r="1165" spans="1:2" x14ac:dyDescent="0.25">
      <c r="A1165">
        <v>36</v>
      </c>
      <c r="B1165">
        <v>-7</v>
      </c>
    </row>
    <row r="1166" spans="1:2" x14ac:dyDescent="0.25">
      <c r="A1166">
        <v>34</v>
      </c>
      <c r="B1166">
        <v>-10</v>
      </c>
    </row>
    <row r="1167" spans="1:2" x14ac:dyDescent="0.25">
      <c r="A1167">
        <v>367</v>
      </c>
      <c r="B1167">
        <v>73</v>
      </c>
    </row>
    <row r="1168" spans="1:2" x14ac:dyDescent="0.25">
      <c r="A1168">
        <v>425</v>
      </c>
      <c r="B1168">
        <v>208</v>
      </c>
    </row>
    <row r="1169" spans="1:2" x14ac:dyDescent="0.25">
      <c r="A1169">
        <v>433</v>
      </c>
      <c r="B1169">
        <v>26</v>
      </c>
    </row>
    <row r="1170" spans="1:2" x14ac:dyDescent="0.25">
      <c r="A1170">
        <v>460</v>
      </c>
      <c r="B1170">
        <v>31</v>
      </c>
    </row>
    <row r="1171" spans="1:2" x14ac:dyDescent="0.25">
      <c r="A1171">
        <v>62</v>
      </c>
      <c r="B1171">
        <v>-56</v>
      </c>
    </row>
    <row r="1172" spans="1:2" x14ac:dyDescent="0.25">
      <c r="A1172">
        <v>50</v>
      </c>
      <c r="B1172">
        <v>16</v>
      </c>
    </row>
    <row r="1173" spans="1:2" x14ac:dyDescent="0.25">
      <c r="A1173">
        <v>460</v>
      </c>
      <c r="B1173">
        <v>-143</v>
      </c>
    </row>
    <row r="1174" spans="1:2" x14ac:dyDescent="0.25">
      <c r="A1174">
        <v>34</v>
      </c>
      <c r="B1174">
        <v>3</v>
      </c>
    </row>
    <row r="1175" spans="1:2" x14ac:dyDescent="0.25">
      <c r="A1175">
        <v>227</v>
      </c>
      <c r="B1175">
        <v>59</v>
      </c>
    </row>
    <row r="1176" spans="1:2" x14ac:dyDescent="0.25">
      <c r="A1176">
        <v>469</v>
      </c>
      <c r="B1176">
        <v>33</v>
      </c>
    </row>
    <row r="1177" spans="1:2" x14ac:dyDescent="0.25">
      <c r="A1177">
        <v>103</v>
      </c>
      <c r="B1177">
        <v>46</v>
      </c>
    </row>
    <row r="1178" spans="1:2" x14ac:dyDescent="0.25">
      <c r="A1178">
        <v>34</v>
      </c>
      <c r="B1178">
        <v>-13</v>
      </c>
    </row>
    <row r="1179" spans="1:2" x14ac:dyDescent="0.25">
      <c r="A1179">
        <v>137</v>
      </c>
      <c r="B1179">
        <v>63</v>
      </c>
    </row>
    <row r="1180" spans="1:2" x14ac:dyDescent="0.25">
      <c r="A1180">
        <v>34</v>
      </c>
      <c r="B1180">
        <v>12</v>
      </c>
    </row>
    <row r="1181" spans="1:2" x14ac:dyDescent="0.25">
      <c r="A1181">
        <v>474</v>
      </c>
      <c r="B1181">
        <v>56</v>
      </c>
    </row>
    <row r="1182" spans="1:2" x14ac:dyDescent="0.25">
      <c r="A1182">
        <v>50</v>
      </c>
      <c r="B1182">
        <v>3</v>
      </c>
    </row>
    <row r="1183" spans="1:2" x14ac:dyDescent="0.25">
      <c r="A1183">
        <v>69</v>
      </c>
      <c r="B1183">
        <v>-67</v>
      </c>
    </row>
    <row r="1184" spans="1:2" x14ac:dyDescent="0.25">
      <c r="A1184">
        <v>389</v>
      </c>
      <c r="B1184">
        <v>-83</v>
      </c>
    </row>
    <row r="1185" spans="1:2" x14ac:dyDescent="0.25">
      <c r="A1185">
        <v>77</v>
      </c>
      <c r="B1185">
        <v>-43</v>
      </c>
    </row>
    <row r="1186" spans="1:2" x14ac:dyDescent="0.25">
      <c r="A1186">
        <v>51</v>
      </c>
      <c r="B1186">
        <v>21</v>
      </c>
    </row>
    <row r="1187" spans="1:2" x14ac:dyDescent="0.25">
      <c r="A1187">
        <v>394</v>
      </c>
      <c r="B1187">
        <v>146</v>
      </c>
    </row>
    <row r="1188" spans="1:2" x14ac:dyDescent="0.25">
      <c r="A1188">
        <v>48</v>
      </c>
      <c r="B1188">
        <v>-22</v>
      </c>
    </row>
    <row r="1189" spans="1:2" x14ac:dyDescent="0.25">
      <c r="A1189">
        <v>34</v>
      </c>
      <c r="B1189">
        <v>-12</v>
      </c>
    </row>
    <row r="1190" spans="1:2" x14ac:dyDescent="0.25">
      <c r="A1190">
        <v>484</v>
      </c>
      <c r="B1190">
        <v>28</v>
      </c>
    </row>
    <row r="1191" spans="1:2" x14ac:dyDescent="0.25">
      <c r="A1191">
        <v>47</v>
      </c>
      <c r="B1191">
        <v>-27</v>
      </c>
    </row>
    <row r="1192" spans="1:2" x14ac:dyDescent="0.25">
      <c r="A1192">
        <v>45</v>
      </c>
      <c r="B1192">
        <v>8</v>
      </c>
    </row>
    <row r="1193" spans="1:2" x14ac:dyDescent="0.25">
      <c r="A1193">
        <v>128</v>
      </c>
      <c r="B1193">
        <v>55</v>
      </c>
    </row>
    <row r="1194" spans="1:2" x14ac:dyDescent="0.25">
      <c r="A1194">
        <v>669</v>
      </c>
      <c r="B1194">
        <v>74</v>
      </c>
    </row>
    <row r="1195" spans="1:2" x14ac:dyDescent="0.25">
      <c r="A1195">
        <v>34</v>
      </c>
      <c r="B1195">
        <v>13</v>
      </c>
    </row>
    <row r="1196" spans="1:2" x14ac:dyDescent="0.25">
      <c r="A1196">
        <v>44</v>
      </c>
      <c r="B1196">
        <v>14</v>
      </c>
    </row>
    <row r="1197" spans="1:2" x14ac:dyDescent="0.25">
      <c r="A1197">
        <v>33</v>
      </c>
      <c r="B1197">
        <v>1</v>
      </c>
    </row>
    <row r="1198" spans="1:2" x14ac:dyDescent="0.25">
      <c r="A1198">
        <v>33</v>
      </c>
      <c r="B1198">
        <v>10</v>
      </c>
    </row>
    <row r="1199" spans="1:2" x14ac:dyDescent="0.25">
      <c r="A1199">
        <v>487</v>
      </c>
      <c r="B1199">
        <v>-23</v>
      </c>
    </row>
    <row r="1200" spans="1:2" x14ac:dyDescent="0.25">
      <c r="A1200">
        <v>497</v>
      </c>
      <c r="B1200">
        <v>179</v>
      </c>
    </row>
    <row r="1201" spans="1:2" x14ac:dyDescent="0.25">
      <c r="A1201">
        <v>508</v>
      </c>
      <c r="B1201">
        <v>203</v>
      </c>
    </row>
    <row r="1202" spans="1:2" x14ac:dyDescent="0.25">
      <c r="A1202">
        <v>524</v>
      </c>
      <c r="B1202">
        <v>-25</v>
      </c>
    </row>
    <row r="1203" spans="1:2" x14ac:dyDescent="0.25">
      <c r="A1203">
        <v>425</v>
      </c>
      <c r="B1203">
        <v>183</v>
      </c>
    </row>
    <row r="1204" spans="1:2" x14ac:dyDescent="0.25">
      <c r="A1204">
        <v>168</v>
      </c>
      <c r="B1204">
        <v>56</v>
      </c>
    </row>
    <row r="1205" spans="1:2" x14ac:dyDescent="0.25">
      <c r="A1205">
        <v>141</v>
      </c>
      <c r="B1205">
        <v>28</v>
      </c>
    </row>
    <row r="1206" spans="1:2" x14ac:dyDescent="0.25">
      <c r="A1206">
        <v>429</v>
      </c>
      <c r="B1206">
        <v>17</v>
      </c>
    </row>
    <row r="1207" spans="1:2" x14ac:dyDescent="0.25">
      <c r="A1207">
        <v>44</v>
      </c>
      <c r="B1207">
        <v>-8</v>
      </c>
    </row>
    <row r="1208" spans="1:2" x14ac:dyDescent="0.25">
      <c r="A1208">
        <v>149</v>
      </c>
      <c r="B1208">
        <v>136</v>
      </c>
    </row>
    <row r="1209" spans="1:2" x14ac:dyDescent="0.25">
      <c r="A1209">
        <v>44</v>
      </c>
      <c r="B1209">
        <v>-34</v>
      </c>
    </row>
    <row r="1210" spans="1:2" x14ac:dyDescent="0.25">
      <c r="A1210">
        <v>33</v>
      </c>
      <c r="B1210">
        <v>10</v>
      </c>
    </row>
    <row r="1211" spans="1:2" x14ac:dyDescent="0.25">
      <c r="A1211">
        <v>33</v>
      </c>
      <c r="B1211">
        <v>9</v>
      </c>
    </row>
    <row r="1212" spans="1:2" x14ac:dyDescent="0.25">
      <c r="A1212">
        <v>442</v>
      </c>
      <c r="B1212">
        <v>31</v>
      </c>
    </row>
    <row r="1213" spans="1:2" x14ac:dyDescent="0.25">
      <c r="A1213">
        <v>41</v>
      </c>
      <c r="B1213">
        <v>6</v>
      </c>
    </row>
    <row r="1214" spans="1:2" x14ac:dyDescent="0.25">
      <c r="A1214">
        <v>33</v>
      </c>
      <c r="B1214">
        <v>-12</v>
      </c>
    </row>
    <row r="1215" spans="1:2" x14ac:dyDescent="0.25">
      <c r="A1215">
        <v>32</v>
      </c>
      <c r="B1215">
        <v>3</v>
      </c>
    </row>
    <row r="1216" spans="1:2" x14ac:dyDescent="0.25">
      <c r="A1216">
        <v>32</v>
      </c>
      <c r="B1216">
        <v>6</v>
      </c>
    </row>
    <row r="1217" spans="1:2" x14ac:dyDescent="0.25">
      <c r="A1217">
        <v>179</v>
      </c>
      <c r="B1217">
        <v>77</v>
      </c>
    </row>
    <row r="1218" spans="1:2" x14ac:dyDescent="0.25">
      <c r="A1218">
        <v>31</v>
      </c>
      <c r="B1218">
        <v>10</v>
      </c>
    </row>
    <row r="1219" spans="1:2" x14ac:dyDescent="0.25">
      <c r="A1219">
        <v>140</v>
      </c>
      <c r="B1219">
        <v>68</v>
      </c>
    </row>
    <row r="1220" spans="1:2" x14ac:dyDescent="0.25">
      <c r="A1220">
        <v>529</v>
      </c>
      <c r="B1220">
        <v>137</v>
      </c>
    </row>
    <row r="1221" spans="1:2" x14ac:dyDescent="0.25">
      <c r="A1221">
        <v>534</v>
      </c>
      <c r="B1221">
        <v>0</v>
      </c>
    </row>
    <row r="1222" spans="1:2" x14ac:dyDescent="0.25">
      <c r="A1222">
        <v>41</v>
      </c>
      <c r="B1222">
        <v>-6</v>
      </c>
    </row>
    <row r="1223" spans="1:2" x14ac:dyDescent="0.25">
      <c r="A1223">
        <v>379</v>
      </c>
      <c r="B1223">
        <v>63</v>
      </c>
    </row>
    <row r="1224" spans="1:2" x14ac:dyDescent="0.25">
      <c r="A1224">
        <v>81</v>
      </c>
      <c r="B1224">
        <v>-44</v>
      </c>
    </row>
    <row r="1225" spans="1:2" x14ac:dyDescent="0.25">
      <c r="A1225">
        <v>40</v>
      </c>
      <c r="B1225">
        <v>-33</v>
      </c>
    </row>
    <row r="1226" spans="1:2" x14ac:dyDescent="0.25">
      <c r="A1226">
        <v>40</v>
      </c>
      <c r="B1226">
        <v>18</v>
      </c>
    </row>
    <row r="1227" spans="1:2" x14ac:dyDescent="0.25">
      <c r="A1227">
        <v>534</v>
      </c>
      <c r="B1227">
        <v>0</v>
      </c>
    </row>
    <row r="1228" spans="1:2" x14ac:dyDescent="0.25">
      <c r="A1228">
        <v>31</v>
      </c>
      <c r="B1228">
        <v>9</v>
      </c>
    </row>
    <row r="1229" spans="1:2" x14ac:dyDescent="0.25">
      <c r="A1229">
        <v>473</v>
      </c>
      <c r="B1229">
        <v>-113</v>
      </c>
    </row>
    <row r="1230" spans="1:2" x14ac:dyDescent="0.25">
      <c r="A1230">
        <v>31</v>
      </c>
      <c r="B1230">
        <v>-10</v>
      </c>
    </row>
    <row r="1231" spans="1:2" x14ac:dyDescent="0.25">
      <c r="A1231">
        <v>31</v>
      </c>
      <c r="B1231">
        <v>-3</v>
      </c>
    </row>
    <row r="1232" spans="1:2" x14ac:dyDescent="0.25">
      <c r="A1232">
        <v>91</v>
      </c>
      <c r="B1232">
        <v>15</v>
      </c>
    </row>
    <row r="1233" spans="1:2" x14ac:dyDescent="0.25">
      <c r="A1233">
        <v>30</v>
      </c>
      <c r="B1233">
        <v>-25</v>
      </c>
    </row>
    <row r="1234" spans="1:2" x14ac:dyDescent="0.25">
      <c r="A1234">
        <v>30</v>
      </c>
      <c r="B1234">
        <v>6</v>
      </c>
    </row>
    <row r="1235" spans="1:2" x14ac:dyDescent="0.25">
      <c r="A1235">
        <v>40</v>
      </c>
      <c r="B1235">
        <v>0</v>
      </c>
    </row>
    <row r="1236" spans="1:2" x14ac:dyDescent="0.25">
      <c r="A1236">
        <v>534</v>
      </c>
      <c r="B1236">
        <v>5</v>
      </c>
    </row>
    <row r="1237" spans="1:2" x14ac:dyDescent="0.25">
      <c r="A1237">
        <v>539</v>
      </c>
      <c r="B1237">
        <v>-146</v>
      </c>
    </row>
    <row r="1238" spans="1:2" x14ac:dyDescent="0.25">
      <c r="A1238">
        <v>490</v>
      </c>
      <c r="B1238">
        <v>-128</v>
      </c>
    </row>
    <row r="1239" spans="1:2" x14ac:dyDescent="0.25">
      <c r="A1239">
        <v>163</v>
      </c>
      <c r="B1239">
        <v>81</v>
      </c>
    </row>
    <row r="1240" spans="1:2" x14ac:dyDescent="0.25">
      <c r="A1240">
        <v>184</v>
      </c>
      <c r="B1240">
        <v>85</v>
      </c>
    </row>
    <row r="1241" spans="1:2" x14ac:dyDescent="0.25">
      <c r="A1241">
        <v>494</v>
      </c>
      <c r="B1241">
        <v>54</v>
      </c>
    </row>
    <row r="1242" spans="1:2" x14ac:dyDescent="0.25">
      <c r="A1242">
        <v>30</v>
      </c>
      <c r="B1242">
        <v>11</v>
      </c>
    </row>
    <row r="1243" spans="1:2" x14ac:dyDescent="0.25">
      <c r="A1243">
        <v>30</v>
      </c>
      <c r="B1243">
        <v>0</v>
      </c>
    </row>
    <row r="1244" spans="1:2" x14ac:dyDescent="0.25">
      <c r="A1244">
        <v>39</v>
      </c>
      <c r="B1244">
        <v>-18</v>
      </c>
    </row>
    <row r="1245" spans="1:2" x14ac:dyDescent="0.25">
      <c r="A1245">
        <v>1700</v>
      </c>
      <c r="B1245">
        <v>85</v>
      </c>
    </row>
    <row r="1246" spans="1:2" x14ac:dyDescent="0.25">
      <c r="A1246">
        <v>332</v>
      </c>
      <c r="B1246">
        <v>-43</v>
      </c>
    </row>
    <row r="1247" spans="1:2" x14ac:dyDescent="0.25">
      <c r="A1247">
        <v>436</v>
      </c>
      <c r="B1247">
        <v>131</v>
      </c>
    </row>
    <row r="1248" spans="1:2" x14ac:dyDescent="0.25">
      <c r="A1248">
        <v>30</v>
      </c>
      <c r="B1248">
        <v>-5</v>
      </c>
    </row>
    <row r="1249" spans="1:2" x14ac:dyDescent="0.25">
      <c r="A1249">
        <v>30</v>
      </c>
      <c r="B1249">
        <v>-10</v>
      </c>
    </row>
    <row r="1250" spans="1:2" x14ac:dyDescent="0.25">
      <c r="A1250">
        <v>38</v>
      </c>
      <c r="B1250">
        <v>-13</v>
      </c>
    </row>
    <row r="1251" spans="1:2" x14ac:dyDescent="0.25">
      <c r="A1251">
        <v>511</v>
      </c>
      <c r="B1251">
        <v>194</v>
      </c>
    </row>
    <row r="1252" spans="1:2" x14ac:dyDescent="0.25">
      <c r="A1252">
        <v>37</v>
      </c>
      <c r="B1252">
        <v>-53</v>
      </c>
    </row>
    <row r="1253" spans="1:2" x14ac:dyDescent="0.25">
      <c r="A1253">
        <v>513</v>
      </c>
      <c r="B1253">
        <v>215</v>
      </c>
    </row>
    <row r="1254" spans="1:2" x14ac:dyDescent="0.25">
      <c r="A1254">
        <v>516</v>
      </c>
      <c r="B1254">
        <v>69</v>
      </c>
    </row>
    <row r="1255" spans="1:2" x14ac:dyDescent="0.25">
      <c r="A1255">
        <v>559</v>
      </c>
      <c r="B1255">
        <v>-19</v>
      </c>
    </row>
    <row r="1256" spans="1:2" x14ac:dyDescent="0.25">
      <c r="A1256">
        <v>29</v>
      </c>
      <c r="B1256">
        <v>-10</v>
      </c>
    </row>
    <row r="1257" spans="1:2" x14ac:dyDescent="0.25">
      <c r="A1257">
        <v>148</v>
      </c>
      <c r="B1257">
        <v>52</v>
      </c>
    </row>
    <row r="1258" spans="1:2" x14ac:dyDescent="0.25">
      <c r="A1258">
        <v>559</v>
      </c>
      <c r="B1258">
        <v>-174</v>
      </c>
    </row>
    <row r="1259" spans="1:2" x14ac:dyDescent="0.25">
      <c r="A1259">
        <v>527</v>
      </c>
      <c r="B1259">
        <v>26</v>
      </c>
    </row>
    <row r="1260" spans="1:2" x14ac:dyDescent="0.25">
      <c r="A1260">
        <v>560</v>
      </c>
      <c r="B1260">
        <v>44</v>
      </c>
    </row>
    <row r="1261" spans="1:2" x14ac:dyDescent="0.25">
      <c r="A1261">
        <v>571</v>
      </c>
      <c r="B1261">
        <v>108</v>
      </c>
    </row>
    <row r="1262" spans="1:2" x14ac:dyDescent="0.25">
      <c r="A1262">
        <v>29</v>
      </c>
      <c r="B1262">
        <v>2</v>
      </c>
    </row>
    <row r="1263" spans="1:2" x14ac:dyDescent="0.25">
      <c r="A1263">
        <v>29</v>
      </c>
      <c r="B1263">
        <v>3</v>
      </c>
    </row>
    <row r="1264" spans="1:2" x14ac:dyDescent="0.25">
      <c r="A1264">
        <v>29</v>
      </c>
      <c r="B1264">
        <v>-3</v>
      </c>
    </row>
    <row r="1265" spans="1:2" x14ac:dyDescent="0.25">
      <c r="A1265">
        <v>35</v>
      </c>
      <c r="B1265">
        <v>14</v>
      </c>
    </row>
    <row r="1266" spans="1:2" x14ac:dyDescent="0.25">
      <c r="A1266">
        <v>579</v>
      </c>
      <c r="B1266">
        <v>139</v>
      </c>
    </row>
    <row r="1267" spans="1:2" x14ac:dyDescent="0.25">
      <c r="A1267">
        <v>29</v>
      </c>
      <c r="B1267">
        <v>-24</v>
      </c>
    </row>
    <row r="1268" spans="1:2" x14ac:dyDescent="0.25">
      <c r="A1268">
        <v>593</v>
      </c>
      <c r="B1268">
        <v>213</v>
      </c>
    </row>
    <row r="1269" spans="1:2" x14ac:dyDescent="0.25">
      <c r="A1269">
        <v>217</v>
      </c>
      <c r="B1269">
        <v>72</v>
      </c>
    </row>
    <row r="1270" spans="1:2" x14ac:dyDescent="0.25">
      <c r="A1270">
        <v>353</v>
      </c>
      <c r="B1270">
        <v>90</v>
      </c>
    </row>
    <row r="1271" spans="1:2" x14ac:dyDescent="0.25">
      <c r="A1271">
        <v>382</v>
      </c>
      <c r="B1271">
        <v>92</v>
      </c>
    </row>
    <row r="1272" spans="1:2" x14ac:dyDescent="0.25">
      <c r="A1272">
        <v>597</v>
      </c>
      <c r="B1272">
        <v>93</v>
      </c>
    </row>
    <row r="1273" spans="1:2" x14ac:dyDescent="0.25">
      <c r="A1273">
        <v>212</v>
      </c>
      <c r="B1273">
        <v>97</v>
      </c>
    </row>
    <row r="1274" spans="1:2" x14ac:dyDescent="0.25">
      <c r="A1274">
        <v>689</v>
      </c>
      <c r="B1274">
        <v>90</v>
      </c>
    </row>
    <row r="1275" spans="1:2" x14ac:dyDescent="0.25">
      <c r="A1275">
        <v>28</v>
      </c>
      <c r="B1275">
        <v>-10</v>
      </c>
    </row>
    <row r="1276" spans="1:2" x14ac:dyDescent="0.25">
      <c r="A1276">
        <v>34</v>
      </c>
      <c r="B1276">
        <v>12</v>
      </c>
    </row>
    <row r="1277" spans="1:2" x14ac:dyDescent="0.25">
      <c r="A1277">
        <v>600</v>
      </c>
      <c r="B1277">
        <v>-102</v>
      </c>
    </row>
    <row r="1278" spans="1:2" x14ac:dyDescent="0.25">
      <c r="A1278">
        <v>637</v>
      </c>
      <c r="B1278">
        <v>113</v>
      </c>
    </row>
    <row r="1279" spans="1:2" x14ac:dyDescent="0.25">
      <c r="A1279">
        <v>616</v>
      </c>
      <c r="B1279">
        <v>-69</v>
      </c>
    </row>
    <row r="1280" spans="1:2" x14ac:dyDescent="0.25">
      <c r="A1280">
        <v>624</v>
      </c>
      <c r="B1280">
        <v>37</v>
      </c>
    </row>
    <row r="1281" spans="1:2" x14ac:dyDescent="0.25">
      <c r="A1281">
        <v>28</v>
      </c>
      <c r="B1281">
        <v>4</v>
      </c>
    </row>
    <row r="1282" spans="1:2" x14ac:dyDescent="0.25">
      <c r="A1282">
        <v>584</v>
      </c>
      <c r="B1282">
        <v>-444</v>
      </c>
    </row>
    <row r="1283" spans="1:2" x14ac:dyDescent="0.25">
      <c r="A1283">
        <v>28</v>
      </c>
      <c r="B1283">
        <v>6</v>
      </c>
    </row>
    <row r="1284" spans="1:2" x14ac:dyDescent="0.25">
      <c r="A1284">
        <v>33</v>
      </c>
      <c r="B1284">
        <v>-1</v>
      </c>
    </row>
    <row r="1285" spans="1:2" x14ac:dyDescent="0.25">
      <c r="A1285">
        <v>27</v>
      </c>
      <c r="B1285">
        <v>-20</v>
      </c>
    </row>
    <row r="1286" spans="1:2" x14ac:dyDescent="0.25">
      <c r="A1286">
        <v>27</v>
      </c>
      <c r="B1286">
        <v>5</v>
      </c>
    </row>
    <row r="1287" spans="1:2" x14ac:dyDescent="0.25">
      <c r="A1287">
        <v>27</v>
      </c>
      <c r="B1287">
        <v>4</v>
      </c>
    </row>
    <row r="1288" spans="1:2" x14ac:dyDescent="0.25">
      <c r="A1288">
        <v>635</v>
      </c>
      <c r="B1288">
        <v>-349</v>
      </c>
    </row>
    <row r="1289" spans="1:2" x14ac:dyDescent="0.25">
      <c r="A1289">
        <v>598</v>
      </c>
      <c r="B1289">
        <v>166</v>
      </c>
    </row>
    <row r="1290" spans="1:2" x14ac:dyDescent="0.25">
      <c r="A1290">
        <v>636</v>
      </c>
      <c r="B1290">
        <v>-204</v>
      </c>
    </row>
    <row r="1291" spans="1:2" x14ac:dyDescent="0.25">
      <c r="A1291">
        <v>27</v>
      </c>
      <c r="B1291">
        <v>9</v>
      </c>
    </row>
    <row r="1292" spans="1:2" x14ac:dyDescent="0.25">
      <c r="A1292">
        <v>27</v>
      </c>
      <c r="B1292">
        <v>-6</v>
      </c>
    </row>
    <row r="1293" spans="1:2" x14ac:dyDescent="0.25">
      <c r="A1293">
        <v>637</v>
      </c>
      <c r="B1293">
        <v>212</v>
      </c>
    </row>
    <row r="1294" spans="1:2" x14ac:dyDescent="0.25">
      <c r="A1294">
        <v>290</v>
      </c>
      <c r="B1294">
        <v>110</v>
      </c>
    </row>
    <row r="1295" spans="1:2" x14ac:dyDescent="0.25">
      <c r="A1295">
        <v>27</v>
      </c>
      <c r="B1295">
        <v>-25</v>
      </c>
    </row>
    <row r="1296" spans="1:2" x14ac:dyDescent="0.25">
      <c r="A1296">
        <v>632</v>
      </c>
      <c r="B1296">
        <v>-114</v>
      </c>
    </row>
    <row r="1297" spans="1:2" x14ac:dyDescent="0.25">
      <c r="A1297">
        <v>643</v>
      </c>
      <c r="B1297">
        <v>-45</v>
      </c>
    </row>
    <row r="1298" spans="1:2" x14ac:dyDescent="0.25">
      <c r="A1298">
        <v>652</v>
      </c>
      <c r="B1298">
        <v>13</v>
      </c>
    </row>
    <row r="1299" spans="1:2" x14ac:dyDescent="0.25">
      <c r="A1299">
        <v>33</v>
      </c>
      <c r="B1299">
        <v>-27</v>
      </c>
    </row>
    <row r="1300" spans="1:2" x14ac:dyDescent="0.25">
      <c r="A1300">
        <v>26</v>
      </c>
      <c r="B1300">
        <v>2</v>
      </c>
    </row>
    <row r="1301" spans="1:2" x14ac:dyDescent="0.25">
      <c r="A1301">
        <v>633</v>
      </c>
      <c r="B1301">
        <v>-633</v>
      </c>
    </row>
    <row r="1302" spans="1:2" x14ac:dyDescent="0.25">
      <c r="A1302">
        <v>26</v>
      </c>
      <c r="B1302">
        <v>9</v>
      </c>
    </row>
    <row r="1303" spans="1:2" x14ac:dyDescent="0.25">
      <c r="A1303">
        <v>191</v>
      </c>
      <c r="B1303">
        <v>93</v>
      </c>
    </row>
    <row r="1304" spans="1:2" x14ac:dyDescent="0.25">
      <c r="A1304">
        <v>887</v>
      </c>
      <c r="B1304">
        <v>80</v>
      </c>
    </row>
    <row r="1305" spans="1:2" x14ac:dyDescent="0.25">
      <c r="A1305">
        <v>637</v>
      </c>
      <c r="B1305">
        <v>261</v>
      </c>
    </row>
    <row r="1306" spans="1:2" x14ac:dyDescent="0.25">
      <c r="A1306">
        <v>670</v>
      </c>
      <c r="B1306">
        <v>15</v>
      </c>
    </row>
    <row r="1307" spans="1:2" x14ac:dyDescent="0.25">
      <c r="A1307">
        <v>26</v>
      </c>
      <c r="B1307">
        <v>7</v>
      </c>
    </row>
    <row r="1308" spans="1:2" x14ac:dyDescent="0.25">
      <c r="A1308">
        <v>676</v>
      </c>
      <c r="B1308">
        <v>195</v>
      </c>
    </row>
    <row r="1309" spans="1:2" x14ac:dyDescent="0.25">
      <c r="A1309">
        <v>26</v>
      </c>
      <c r="B1309">
        <v>12</v>
      </c>
    </row>
    <row r="1310" spans="1:2" x14ac:dyDescent="0.25">
      <c r="A1310">
        <v>26</v>
      </c>
      <c r="B1310">
        <v>-24</v>
      </c>
    </row>
    <row r="1311" spans="1:2" x14ac:dyDescent="0.25">
      <c r="A1311">
        <v>25</v>
      </c>
      <c r="B1311">
        <v>7</v>
      </c>
    </row>
    <row r="1312" spans="1:2" x14ac:dyDescent="0.25">
      <c r="A1312">
        <v>24</v>
      </c>
      <c r="B1312">
        <v>-30</v>
      </c>
    </row>
    <row r="1313" spans="1:2" x14ac:dyDescent="0.25">
      <c r="A1313">
        <v>32</v>
      </c>
      <c r="B1313">
        <v>-12</v>
      </c>
    </row>
    <row r="1314" spans="1:2" x14ac:dyDescent="0.25">
      <c r="A1314">
        <v>31</v>
      </c>
      <c r="B1314">
        <v>-2</v>
      </c>
    </row>
    <row r="1315" spans="1:2" x14ac:dyDescent="0.25">
      <c r="A1315">
        <v>651</v>
      </c>
      <c r="B1315">
        <v>169</v>
      </c>
    </row>
    <row r="1316" spans="1:2" x14ac:dyDescent="0.25">
      <c r="A1316">
        <v>326</v>
      </c>
      <c r="B1316">
        <v>107</v>
      </c>
    </row>
    <row r="1317" spans="1:2" x14ac:dyDescent="0.25">
      <c r="A1317">
        <v>30</v>
      </c>
      <c r="B1317">
        <v>-6</v>
      </c>
    </row>
    <row r="1318" spans="1:2" x14ac:dyDescent="0.25">
      <c r="A1318">
        <v>30</v>
      </c>
      <c r="B1318">
        <v>5</v>
      </c>
    </row>
    <row r="1319" spans="1:2" x14ac:dyDescent="0.25">
      <c r="A1319">
        <v>662</v>
      </c>
      <c r="B1319">
        <v>240</v>
      </c>
    </row>
    <row r="1320" spans="1:2" x14ac:dyDescent="0.25">
      <c r="A1320">
        <v>30</v>
      </c>
      <c r="B1320">
        <v>-23</v>
      </c>
    </row>
    <row r="1321" spans="1:2" x14ac:dyDescent="0.25">
      <c r="A1321">
        <v>29</v>
      </c>
      <c r="B1321">
        <v>9</v>
      </c>
    </row>
    <row r="1322" spans="1:2" x14ac:dyDescent="0.25">
      <c r="A1322">
        <v>28</v>
      </c>
      <c r="B1322">
        <v>1</v>
      </c>
    </row>
    <row r="1323" spans="1:2" x14ac:dyDescent="0.25">
      <c r="A1323">
        <v>28</v>
      </c>
      <c r="B1323">
        <v>-3</v>
      </c>
    </row>
    <row r="1324" spans="1:2" x14ac:dyDescent="0.25">
      <c r="A1324">
        <v>24</v>
      </c>
      <c r="B1324">
        <v>2</v>
      </c>
    </row>
    <row r="1325" spans="1:2" x14ac:dyDescent="0.25">
      <c r="A1325">
        <v>28</v>
      </c>
      <c r="B1325">
        <v>-26</v>
      </c>
    </row>
    <row r="1326" spans="1:2" x14ac:dyDescent="0.25">
      <c r="A1326">
        <v>27</v>
      </c>
      <c r="B1326">
        <v>5</v>
      </c>
    </row>
    <row r="1327" spans="1:2" x14ac:dyDescent="0.25">
      <c r="A1327">
        <v>27</v>
      </c>
      <c r="B1327">
        <v>-15</v>
      </c>
    </row>
    <row r="1328" spans="1:2" x14ac:dyDescent="0.25">
      <c r="A1328">
        <v>24</v>
      </c>
      <c r="B1328">
        <v>11</v>
      </c>
    </row>
    <row r="1329" spans="1:2" x14ac:dyDescent="0.25">
      <c r="A1329">
        <v>23</v>
      </c>
      <c r="B1329">
        <v>-6</v>
      </c>
    </row>
    <row r="1330" spans="1:2" x14ac:dyDescent="0.25">
      <c r="A1330">
        <v>322</v>
      </c>
      <c r="B1330">
        <v>193</v>
      </c>
    </row>
    <row r="1331" spans="1:2" x14ac:dyDescent="0.25">
      <c r="A1331">
        <v>688</v>
      </c>
      <c r="B1331">
        <v>-103</v>
      </c>
    </row>
    <row r="1332" spans="1:2" x14ac:dyDescent="0.25">
      <c r="A1332">
        <v>23</v>
      </c>
      <c r="B1332">
        <v>-3</v>
      </c>
    </row>
    <row r="1333" spans="1:2" x14ac:dyDescent="0.25">
      <c r="A1333">
        <v>26</v>
      </c>
      <c r="B1333">
        <v>3</v>
      </c>
    </row>
    <row r="1334" spans="1:2" x14ac:dyDescent="0.25">
      <c r="A1334">
        <v>68</v>
      </c>
      <c r="B1334">
        <v>-56</v>
      </c>
    </row>
    <row r="1335" spans="1:2" x14ac:dyDescent="0.25">
      <c r="A1335">
        <v>462</v>
      </c>
      <c r="B1335">
        <v>169</v>
      </c>
    </row>
    <row r="1336" spans="1:2" x14ac:dyDescent="0.25">
      <c r="A1336">
        <v>941</v>
      </c>
      <c r="B1336">
        <v>203</v>
      </c>
    </row>
    <row r="1337" spans="1:2" x14ac:dyDescent="0.25">
      <c r="A1337">
        <v>23</v>
      </c>
      <c r="B1337">
        <v>4</v>
      </c>
    </row>
    <row r="1338" spans="1:2" x14ac:dyDescent="0.25">
      <c r="A1338">
        <v>720</v>
      </c>
      <c r="B1338">
        <v>43</v>
      </c>
    </row>
    <row r="1339" spans="1:2" x14ac:dyDescent="0.25">
      <c r="A1339">
        <v>724</v>
      </c>
      <c r="B1339">
        <v>-447</v>
      </c>
    </row>
    <row r="1340" spans="1:2" x14ac:dyDescent="0.25">
      <c r="A1340">
        <v>724</v>
      </c>
      <c r="B1340">
        <v>253</v>
      </c>
    </row>
    <row r="1341" spans="1:2" x14ac:dyDescent="0.25">
      <c r="A1341">
        <v>26</v>
      </c>
      <c r="B1341">
        <v>10</v>
      </c>
    </row>
    <row r="1342" spans="1:2" x14ac:dyDescent="0.25">
      <c r="A1342">
        <v>22</v>
      </c>
      <c r="B1342">
        <v>-2</v>
      </c>
    </row>
    <row r="1343" spans="1:2" x14ac:dyDescent="0.25">
      <c r="A1343">
        <v>711</v>
      </c>
      <c r="B1343">
        <v>-8</v>
      </c>
    </row>
    <row r="1344" spans="1:2" x14ac:dyDescent="0.25">
      <c r="A1344">
        <v>107</v>
      </c>
      <c r="B1344">
        <v>31</v>
      </c>
    </row>
    <row r="1345" spans="1:2" x14ac:dyDescent="0.25">
      <c r="A1345">
        <v>765</v>
      </c>
      <c r="B1345">
        <v>-153</v>
      </c>
    </row>
    <row r="1346" spans="1:2" x14ac:dyDescent="0.25">
      <c r="A1346">
        <v>22</v>
      </c>
      <c r="B1346">
        <v>8</v>
      </c>
    </row>
    <row r="1347" spans="1:2" x14ac:dyDescent="0.25">
      <c r="A1347">
        <v>26</v>
      </c>
      <c r="B1347">
        <v>-5</v>
      </c>
    </row>
    <row r="1348" spans="1:2" x14ac:dyDescent="0.25">
      <c r="A1348">
        <v>22</v>
      </c>
      <c r="B1348">
        <v>8</v>
      </c>
    </row>
    <row r="1349" spans="1:2" x14ac:dyDescent="0.25">
      <c r="A1349">
        <v>743</v>
      </c>
      <c r="B1349">
        <v>89</v>
      </c>
    </row>
    <row r="1350" spans="1:2" x14ac:dyDescent="0.25">
      <c r="A1350">
        <v>22</v>
      </c>
      <c r="B1350">
        <v>-15</v>
      </c>
    </row>
    <row r="1351" spans="1:2" x14ac:dyDescent="0.25">
      <c r="A1351">
        <v>781</v>
      </c>
      <c r="B1351">
        <v>594</v>
      </c>
    </row>
    <row r="1352" spans="1:2" x14ac:dyDescent="0.25">
      <c r="A1352">
        <v>25</v>
      </c>
      <c r="B1352">
        <v>-2</v>
      </c>
    </row>
    <row r="1353" spans="1:2" x14ac:dyDescent="0.25">
      <c r="A1353">
        <v>25</v>
      </c>
      <c r="B1353">
        <v>2</v>
      </c>
    </row>
    <row r="1354" spans="1:2" x14ac:dyDescent="0.25">
      <c r="A1354">
        <v>119</v>
      </c>
      <c r="B1354">
        <v>43</v>
      </c>
    </row>
    <row r="1355" spans="1:2" x14ac:dyDescent="0.25">
      <c r="A1355">
        <v>785</v>
      </c>
      <c r="B1355">
        <v>52</v>
      </c>
    </row>
    <row r="1356" spans="1:2" x14ac:dyDescent="0.25">
      <c r="A1356">
        <v>183</v>
      </c>
      <c r="B1356">
        <v>-66</v>
      </c>
    </row>
    <row r="1357" spans="1:2" x14ac:dyDescent="0.25">
      <c r="A1357">
        <v>22</v>
      </c>
      <c r="B1357">
        <v>4</v>
      </c>
    </row>
    <row r="1358" spans="1:2" x14ac:dyDescent="0.25">
      <c r="A1358">
        <v>642</v>
      </c>
      <c r="B1358">
        <v>180</v>
      </c>
    </row>
    <row r="1359" spans="1:2" x14ac:dyDescent="0.25">
      <c r="A1359">
        <v>767</v>
      </c>
      <c r="B1359">
        <v>-353</v>
      </c>
    </row>
    <row r="1360" spans="1:2" x14ac:dyDescent="0.25">
      <c r="A1360">
        <v>770</v>
      </c>
      <c r="B1360">
        <v>323</v>
      </c>
    </row>
    <row r="1361" spans="1:2" x14ac:dyDescent="0.25">
      <c r="A1361">
        <v>21</v>
      </c>
      <c r="B1361">
        <v>-17</v>
      </c>
    </row>
    <row r="1362" spans="1:2" x14ac:dyDescent="0.25">
      <c r="A1362">
        <v>21</v>
      </c>
      <c r="B1362">
        <v>-6</v>
      </c>
    </row>
    <row r="1363" spans="1:2" x14ac:dyDescent="0.25">
      <c r="A1363">
        <v>492</v>
      </c>
      <c r="B1363">
        <v>187</v>
      </c>
    </row>
    <row r="1364" spans="1:2" x14ac:dyDescent="0.25">
      <c r="A1364">
        <v>816</v>
      </c>
      <c r="B1364">
        <v>-96</v>
      </c>
    </row>
    <row r="1365" spans="1:2" x14ac:dyDescent="0.25">
      <c r="A1365">
        <v>25</v>
      </c>
      <c r="B1365">
        <v>2</v>
      </c>
    </row>
    <row r="1366" spans="1:2" x14ac:dyDescent="0.25">
      <c r="A1366">
        <v>802</v>
      </c>
      <c r="B1366">
        <v>120</v>
      </c>
    </row>
    <row r="1367" spans="1:2" x14ac:dyDescent="0.25">
      <c r="A1367">
        <v>811</v>
      </c>
      <c r="B1367">
        <v>154</v>
      </c>
    </row>
    <row r="1368" spans="1:2" x14ac:dyDescent="0.25">
      <c r="A1368">
        <v>835</v>
      </c>
      <c r="B1368">
        <v>267</v>
      </c>
    </row>
    <row r="1369" spans="1:2" x14ac:dyDescent="0.25">
      <c r="A1369">
        <v>21</v>
      </c>
      <c r="B1369">
        <v>-5</v>
      </c>
    </row>
    <row r="1370" spans="1:2" x14ac:dyDescent="0.25">
      <c r="A1370">
        <v>450</v>
      </c>
      <c r="B1370">
        <v>-190</v>
      </c>
    </row>
    <row r="1371" spans="1:2" x14ac:dyDescent="0.25">
      <c r="A1371">
        <v>24</v>
      </c>
      <c r="B1371">
        <v>-1</v>
      </c>
    </row>
    <row r="1372" spans="1:2" x14ac:dyDescent="0.25">
      <c r="A1372">
        <v>832</v>
      </c>
      <c r="B1372">
        <v>0</v>
      </c>
    </row>
    <row r="1373" spans="1:2" x14ac:dyDescent="0.25">
      <c r="A1373">
        <v>833</v>
      </c>
      <c r="B1373">
        <v>93</v>
      </c>
    </row>
    <row r="1374" spans="1:2" x14ac:dyDescent="0.25">
      <c r="A1374">
        <v>20</v>
      </c>
      <c r="B1374">
        <v>6</v>
      </c>
    </row>
    <row r="1375" spans="1:2" x14ac:dyDescent="0.25">
      <c r="A1375">
        <v>23</v>
      </c>
      <c r="B1375">
        <v>-5</v>
      </c>
    </row>
    <row r="1376" spans="1:2" x14ac:dyDescent="0.25">
      <c r="A1376">
        <v>550</v>
      </c>
      <c r="B1376">
        <v>-242</v>
      </c>
    </row>
    <row r="1377" spans="1:2" x14ac:dyDescent="0.25">
      <c r="A1377">
        <v>148</v>
      </c>
      <c r="B1377">
        <v>-91</v>
      </c>
    </row>
    <row r="1378" spans="1:2" x14ac:dyDescent="0.25">
      <c r="A1378">
        <v>846</v>
      </c>
      <c r="B1378">
        <v>9</v>
      </c>
    </row>
    <row r="1379" spans="1:2" x14ac:dyDescent="0.25">
      <c r="A1379">
        <v>856</v>
      </c>
      <c r="B1379">
        <v>385</v>
      </c>
    </row>
    <row r="1380" spans="1:2" x14ac:dyDescent="0.25">
      <c r="A1380">
        <v>871</v>
      </c>
      <c r="B1380">
        <v>131</v>
      </c>
    </row>
    <row r="1381" spans="1:2" x14ac:dyDescent="0.25">
      <c r="A1381">
        <v>19</v>
      </c>
      <c r="B1381">
        <v>-18</v>
      </c>
    </row>
    <row r="1382" spans="1:2" x14ac:dyDescent="0.25">
      <c r="A1382">
        <v>610</v>
      </c>
      <c r="B1382">
        <v>-66</v>
      </c>
    </row>
    <row r="1383" spans="1:2" x14ac:dyDescent="0.25">
      <c r="A1383">
        <v>880</v>
      </c>
      <c r="B1383">
        <v>97</v>
      </c>
    </row>
    <row r="1384" spans="1:2" x14ac:dyDescent="0.25">
      <c r="A1384">
        <v>22</v>
      </c>
      <c r="B1384">
        <v>-8</v>
      </c>
    </row>
    <row r="1385" spans="1:2" x14ac:dyDescent="0.25">
      <c r="A1385">
        <v>22</v>
      </c>
      <c r="B1385">
        <v>11</v>
      </c>
    </row>
    <row r="1386" spans="1:2" x14ac:dyDescent="0.25">
      <c r="A1386">
        <v>21</v>
      </c>
      <c r="B1386">
        <v>4</v>
      </c>
    </row>
    <row r="1387" spans="1:2" x14ac:dyDescent="0.25">
      <c r="A1387">
        <v>18</v>
      </c>
      <c r="B1387">
        <v>1</v>
      </c>
    </row>
    <row r="1388" spans="1:2" x14ac:dyDescent="0.25">
      <c r="A1388">
        <v>911</v>
      </c>
      <c r="B1388">
        <v>202</v>
      </c>
    </row>
    <row r="1389" spans="1:2" x14ac:dyDescent="0.25">
      <c r="A1389">
        <v>18</v>
      </c>
      <c r="B1389">
        <v>2</v>
      </c>
    </row>
    <row r="1390" spans="1:2" x14ac:dyDescent="0.25">
      <c r="A1390">
        <v>911</v>
      </c>
      <c r="B1390">
        <v>355</v>
      </c>
    </row>
    <row r="1391" spans="1:2" x14ac:dyDescent="0.25">
      <c r="A1391">
        <v>143</v>
      </c>
      <c r="B1391">
        <v>-129</v>
      </c>
    </row>
    <row r="1392" spans="1:2" x14ac:dyDescent="0.25">
      <c r="A1392">
        <v>918</v>
      </c>
      <c r="B1392">
        <v>22</v>
      </c>
    </row>
    <row r="1393" spans="1:2" x14ac:dyDescent="0.25">
      <c r="A1393">
        <v>925</v>
      </c>
      <c r="B1393">
        <v>-447</v>
      </c>
    </row>
    <row r="1394" spans="1:2" x14ac:dyDescent="0.25">
      <c r="A1394">
        <v>17</v>
      </c>
      <c r="B1394">
        <v>8</v>
      </c>
    </row>
    <row r="1395" spans="1:2" x14ac:dyDescent="0.25">
      <c r="A1395">
        <v>465</v>
      </c>
      <c r="B1395">
        <v>207</v>
      </c>
    </row>
    <row r="1396" spans="1:2" x14ac:dyDescent="0.25">
      <c r="A1396">
        <v>17</v>
      </c>
      <c r="B1396">
        <v>-9</v>
      </c>
    </row>
    <row r="1397" spans="1:2" x14ac:dyDescent="0.25">
      <c r="A1397">
        <v>935</v>
      </c>
      <c r="B1397">
        <v>114</v>
      </c>
    </row>
    <row r="1398" spans="1:2" x14ac:dyDescent="0.25">
      <c r="A1398">
        <v>16</v>
      </c>
      <c r="B1398">
        <v>-10</v>
      </c>
    </row>
    <row r="1399" spans="1:2" x14ac:dyDescent="0.25">
      <c r="A1399">
        <v>954</v>
      </c>
      <c r="B1399">
        <v>95</v>
      </c>
    </row>
    <row r="1400" spans="1:2" x14ac:dyDescent="0.25">
      <c r="A1400">
        <v>915</v>
      </c>
      <c r="B1400">
        <v>-99</v>
      </c>
    </row>
    <row r="1401" spans="1:2" x14ac:dyDescent="0.25">
      <c r="A1401">
        <v>955</v>
      </c>
      <c r="B1401">
        <v>305</v>
      </c>
    </row>
    <row r="1402" spans="1:2" x14ac:dyDescent="0.25">
      <c r="A1402">
        <v>976</v>
      </c>
      <c r="B1402">
        <v>293</v>
      </c>
    </row>
    <row r="1403" spans="1:2" x14ac:dyDescent="0.25">
      <c r="A1403">
        <v>1069</v>
      </c>
      <c r="B1403">
        <v>0</v>
      </c>
    </row>
    <row r="1404" spans="1:2" x14ac:dyDescent="0.25">
      <c r="A1404">
        <v>19</v>
      </c>
      <c r="B1404">
        <v>-15</v>
      </c>
    </row>
    <row r="1405" spans="1:2" x14ac:dyDescent="0.25">
      <c r="A1405">
        <v>16</v>
      </c>
      <c r="B1405">
        <v>6</v>
      </c>
    </row>
    <row r="1406" spans="1:2" x14ac:dyDescent="0.25">
      <c r="A1406">
        <v>1030</v>
      </c>
      <c r="B1406">
        <v>206</v>
      </c>
    </row>
    <row r="1407" spans="1:2" x14ac:dyDescent="0.25">
      <c r="A1407">
        <v>620</v>
      </c>
      <c r="B1407">
        <v>82</v>
      </c>
    </row>
    <row r="1408" spans="1:2" x14ac:dyDescent="0.25">
      <c r="A1408">
        <v>16</v>
      </c>
      <c r="B1408">
        <v>8</v>
      </c>
    </row>
    <row r="1409" spans="1:2" x14ac:dyDescent="0.25">
      <c r="A1409">
        <v>19</v>
      </c>
      <c r="B1409">
        <v>8</v>
      </c>
    </row>
    <row r="1410" spans="1:2" x14ac:dyDescent="0.25">
      <c r="A1410">
        <v>249</v>
      </c>
      <c r="B1410">
        <v>-130</v>
      </c>
    </row>
    <row r="1411" spans="1:2" x14ac:dyDescent="0.25">
      <c r="A1411">
        <v>16</v>
      </c>
      <c r="B1411">
        <v>6</v>
      </c>
    </row>
    <row r="1412" spans="1:2" x14ac:dyDescent="0.25">
      <c r="A1412">
        <v>1361</v>
      </c>
      <c r="B1412">
        <v>197</v>
      </c>
    </row>
    <row r="1413" spans="1:2" x14ac:dyDescent="0.25">
      <c r="A1413">
        <v>15</v>
      </c>
      <c r="B1413">
        <v>1</v>
      </c>
    </row>
    <row r="1414" spans="1:2" x14ac:dyDescent="0.25">
      <c r="A1414">
        <v>1076</v>
      </c>
      <c r="B1414">
        <v>-38</v>
      </c>
    </row>
    <row r="1415" spans="1:2" x14ac:dyDescent="0.25">
      <c r="A1415">
        <v>18</v>
      </c>
      <c r="B1415">
        <v>2</v>
      </c>
    </row>
    <row r="1416" spans="1:2" x14ac:dyDescent="0.25">
      <c r="A1416">
        <v>1101</v>
      </c>
      <c r="B1416">
        <v>352</v>
      </c>
    </row>
    <row r="1417" spans="1:2" x14ac:dyDescent="0.25">
      <c r="A1417">
        <v>15</v>
      </c>
      <c r="B1417">
        <v>2</v>
      </c>
    </row>
    <row r="1418" spans="1:2" x14ac:dyDescent="0.25">
      <c r="A1418">
        <v>1104</v>
      </c>
      <c r="B1418">
        <v>209</v>
      </c>
    </row>
    <row r="1419" spans="1:2" x14ac:dyDescent="0.25">
      <c r="A1419">
        <v>14</v>
      </c>
      <c r="B1419">
        <v>2</v>
      </c>
    </row>
    <row r="1420" spans="1:2" x14ac:dyDescent="0.25">
      <c r="A1420">
        <v>14</v>
      </c>
      <c r="B1420">
        <v>5</v>
      </c>
    </row>
    <row r="1421" spans="1:2" x14ac:dyDescent="0.25">
      <c r="A1421">
        <v>14</v>
      </c>
      <c r="B1421">
        <v>-3</v>
      </c>
    </row>
    <row r="1422" spans="1:2" x14ac:dyDescent="0.25">
      <c r="A1422">
        <v>14</v>
      </c>
      <c r="B1422">
        <v>-1</v>
      </c>
    </row>
    <row r="1423" spans="1:2" x14ac:dyDescent="0.25">
      <c r="A1423">
        <v>13</v>
      </c>
      <c r="B1423">
        <v>-8</v>
      </c>
    </row>
    <row r="1424" spans="1:2" x14ac:dyDescent="0.25">
      <c r="A1424">
        <v>13</v>
      </c>
      <c r="B1424">
        <v>-1</v>
      </c>
    </row>
    <row r="1425" spans="1:2" x14ac:dyDescent="0.25">
      <c r="A1425">
        <v>1275</v>
      </c>
      <c r="B1425">
        <v>1148</v>
      </c>
    </row>
    <row r="1426" spans="1:2" x14ac:dyDescent="0.25">
      <c r="A1426">
        <v>17</v>
      </c>
      <c r="B1426">
        <v>1</v>
      </c>
    </row>
    <row r="1427" spans="1:2" x14ac:dyDescent="0.25">
      <c r="A1427">
        <v>13</v>
      </c>
      <c r="B1427">
        <v>0</v>
      </c>
    </row>
    <row r="1428" spans="1:2" x14ac:dyDescent="0.25">
      <c r="A1428">
        <v>1270</v>
      </c>
      <c r="B1428">
        <v>546</v>
      </c>
    </row>
    <row r="1429" spans="1:2" x14ac:dyDescent="0.25">
      <c r="A1429">
        <v>13</v>
      </c>
      <c r="B1429">
        <v>-2</v>
      </c>
    </row>
    <row r="1430" spans="1:2" x14ac:dyDescent="0.25">
      <c r="A1430">
        <v>13</v>
      </c>
      <c r="B1430">
        <v>3</v>
      </c>
    </row>
    <row r="1431" spans="1:2" x14ac:dyDescent="0.25">
      <c r="A1431">
        <v>17</v>
      </c>
      <c r="B1431">
        <v>5</v>
      </c>
    </row>
    <row r="1432" spans="1:2" x14ac:dyDescent="0.25">
      <c r="A1432">
        <v>13</v>
      </c>
      <c r="B1432">
        <v>-13</v>
      </c>
    </row>
    <row r="1433" spans="1:2" x14ac:dyDescent="0.25">
      <c r="A1433">
        <v>13</v>
      </c>
      <c r="B1433">
        <v>-9</v>
      </c>
    </row>
    <row r="1434" spans="1:2" x14ac:dyDescent="0.25">
      <c r="A1434">
        <v>1263</v>
      </c>
      <c r="B1434">
        <v>-56</v>
      </c>
    </row>
    <row r="1435" spans="1:2" x14ac:dyDescent="0.25">
      <c r="A1435">
        <v>1629</v>
      </c>
      <c r="B1435">
        <v>-153</v>
      </c>
    </row>
    <row r="1436" spans="1:2" x14ac:dyDescent="0.25">
      <c r="A1436">
        <v>17</v>
      </c>
      <c r="B1436">
        <v>7</v>
      </c>
    </row>
    <row r="1437" spans="1:2" x14ac:dyDescent="0.25">
      <c r="A1437">
        <v>17</v>
      </c>
      <c r="B1437">
        <v>2</v>
      </c>
    </row>
    <row r="1438" spans="1:2" x14ac:dyDescent="0.25">
      <c r="A1438">
        <v>1250</v>
      </c>
      <c r="B1438">
        <v>-12</v>
      </c>
    </row>
    <row r="1439" spans="1:2" x14ac:dyDescent="0.25">
      <c r="A1439">
        <v>17</v>
      </c>
      <c r="B1439">
        <v>-11</v>
      </c>
    </row>
    <row r="1440" spans="1:2" x14ac:dyDescent="0.25">
      <c r="A1440">
        <v>977</v>
      </c>
      <c r="B1440">
        <v>-244</v>
      </c>
    </row>
    <row r="1441" spans="1:2" x14ac:dyDescent="0.25">
      <c r="A1441">
        <v>1246</v>
      </c>
      <c r="B1441">
        <v>62</v>
      </c>
    </row>
    <row r="1442" spans="1:2" x14ac:dyDescent="0.25">
      <c r="A1442">
        <v>12</v>
      </c>
      <c r="B1442">
        <v>1</v>
      </c>
    </row>
    <row r="1443" spans="1:2" x14ac:dyDescent="0.25">
      <c r="A1443">
        <v>11</v>
      </c>
      <c r="B1443">
        <v>-4</v>
      </c>
    </row>
    <row r="1444" spans="1:2" x14ac:dyDescent="0.25">
      <c r="A1444">
        <v>1327</v>
      </c>
      <c r="B1444">
        <v>318</v>
      </c>
    </row>
    <row r="1445" spans="1:2" x14ac:dyDescent="0.25">
      <c r="A1445">
        <v>1319</v>
      </c>
      <c r="B1445">
        <v>567</v>
      </c>
    </row>
    <row r="1446" spans="1:2" x14ac:dyDescent="0.25">
      <c r="A1446">
        <v>1402</v>
      </c>
      <c r="B1446">
        <v>109</v>
      </c>
    </row>
    <row r="1447" spans="1:2" x14ac:dyDescent="0.25">
      <c r="A1447">
        <v>1514</v>
      </c>
      <c r="B1447">
        <v>742</v>
      </c>
    </row>
    <row r="1448" spans="1:2" x14ac:dyDescent="0.25">
      <c r="A1448">
        <v>1351</v>
      </c>
      <c r="B1448">
        <v>111</v>
      </c>
    </row>
    <row r="1449" spans="1:2" x14ac:dyDescent="0.25">
      <c r="A1449">
        <v>1355</v>
      </c>
      <c r="B1449">
        <v>-60</v>
      </c>
    </row>
    <row r="1450" spans="1:2" x14ac:dyDescent="0.25">
      <c r="A1450">
        <v>10</v>
      </c>
      <c r="B1450">
        <v>2</v>
      </c>
    </row>
    <row r="1451" spans="1:2" x14ac:dyDescent="0.25">
      <c r="A1451">
        <v>10</v>
      </c>
      <c r="B1451">
        <v>-2</v>
      </c>
    </row>
    <row r="1452" spans="1:2" x14ac:dyDescent="0.25">
      <c r="A1452">
        <v>1582</v>
      </c>
      <c r="B1452">
        <v>-443</v>
      </c>
    </row>
    <row r="1453" spans="1:2" x14ac:dyDescent="0.25">
      <c r="A1453">
        <v>1218</v>
      </c>
      <c r="B1453">
        <v>352</v>
      </c>
    </row>
    <row r="1454" spans="1:2" x14ac:dyDescent="0.25">
      <c r="A1454">
        <v>321</v>
      </c>
      <c r="B1454">
        <v>315</v>
      </c>
    </row>
    <row r="1455" spans="1:2" x14ac:dyDescent="0.25">
      <c r="A1455">
        <v>736</v>
      </c>
      <c r="B1455">
        <v>346</v>
      </c>
    </row>
    <row r="1456" spans="1:2" x14ac:dyDescent="0.25">
      <c r="A1456">
        <v>1218</v>
      </c>
      <c r="B1456">
        <v>-420</v>
      </c>
    </row>
    <row r="1457" spans="1:2" x14ac:dyDescent="0.25">
      <c r="A1457">
        <v>1027</v>
      </c>
      <c r="B1457">
        <v>441</v>
      </c>
    </row>
    <row r="1458" spans="1:2" x14ac:dyDescent="0.25">
      <c r="A1458">
        <v>10</v>
      </c>
      <c r="B1458">
        <v>5</v>
      </c>
    </row>
    <row r="1459" spans="1:2" x14ac:dyDescent="0.25">
      <c r="A1459">
        <v>2366</v>
      </c>
      <c r="B1459">
        <v>552</v>
      </c>
    </row>
    <row r="1460" spans="1:2" x14ac:dyDescent="0.25">
      <c r="A1460">
        <v>9</v>
      </c>
      <c r="B1460">
        <v>-6</v>
      </c>
    </row>
    <row r="1461" spans="1:2" x14ac:dyDescent="0.25">
      <c r="A1461">
        <v>16</v>
      </c>
      <c r="B1461">
        <v>-12</v>
      </c>
    </row>
    <row r="1462" spans="1:2" x14ac:dyDescent="0.25">
      <c r="A1462">
        <v>9</v>
      </c>
      <c r="B1462">
        <v>3</v>
      </c>
    </row>
    <row r="1463" spans="1:2" x14ac:dyDescent="0.25">
      <c r="A1463">
        <v>1560</v>
      </c>
      <c r="B1463">
        <v>421</v>
      </c>
    </row>
    <row r="1464" spans="1:2" x14ac:dyDescent="0.25">
      <c r="A1464">
        <v>1137</v>
      </c>
      <c r="B1464">
        <v>568</v>
      </c>
    </row>
    <row r="1465" spans="1:2" x14ac:dyDescent="0.25">
      <c r="A1465">
        <v>9</v>
      </c>
      <c r="B1465">
        <v>-9</v>
      </c>
    </row>
    <row r="1466" spans="1:2" x14ac:dyDescent="0.25">
      <c r="A1466">
        <v>15</v>
      </c>
      <c r="B1466">
        <v>-7</v>
      </c>
    </row>
    <row r="1467" spans="1:2" x14ac:dyDescent="0.25">
      <c r="A1467">
        <v>14</v>
      </c>
      <c r="B1467">
        <v>5</v>
      </c>
    </row>
    <row r="1468" spans="1:2" x14ac:dyDescent="0.25">
      <c r="A1468">
        <v>14</v>
      </c>
      <c r="B1468">
        <v>7</v>
      </c>
    </row>
    <row r="1469" spans="1:2" x14ac:dyDescent="0.25">
      <c r="A1469">
        <v>8</v>
      </c>
      <c r="B1469">
        <v>-2</v>
      </c>
    </row>
    <row r="1470" spans="1:2" x14ac:dyDescent="0.25">
      <c r="A1470">
        <v>1389</v>
      </c>
      <c r="B1470">
        <v>680</v>
      </c>
    </row>
    <row r="1471" spans="1:2" x14ac:dyDescent="0.25">
      <c r="A1471">
        <v>8</v>
      </c>
      <c r="B1471">
        <v>-1</v>
      </c>
    </row>
    <row r="1472" spans="1:2" x14ac:dyDescent="0.25">
      <c r="A1472">
        <v>8</v>
      </c>
      <c r="B1472">
        <v>-2</v>
      </c>
    </row>
    <row r="1473" spans="1:2" x14ac:dyDescent="0.25">
      <c r="A1473">
        <v>13</v>
      </c>
      <c r="B1473">
        <v>4</v>
      </c>
    </row>
    <row r="1474" spans="1:2" x14ac:dyDescent="0.25">
      <c r="A1474">
        <v>8</v>
      </c>
      <c r="B1474">
        <v>-6</v>
      </c>
    </row>
    <row r="1475" spans="1:2" x14ac:dyDescent="0.25">
      <c r="A1475">
        <v>12</v>
      </c>
      <c r="B1475">
        <v>2</v>
      </c>
    </row>
    <row r="1476" spans="1:2" x14ac:dyDescent="0.25">
      <c r="A1476">
        <v>1716</v>
      </c>
      <c r="B1476">
        <v>309</v>
      </c>
    </row>
    <row r="1477" spans="1:2" x14ac:dyDescent="0.25">
      <c r="A1477">
        <v>1117</v>
      </c>
      <c r="B1477">
        <v>447</v>
      </c>
    </row>
    <row r="1478" spans="1:2" x14ac:dyDescent="0.25">
      <c r="A1478">
        <v>9</v>
      </c>
      <c r="B1478">
        <v>-6</v>
      </c>
    </row>
    <row r="1479" spans="1:2" x14ac:dyDescent="0.25">
      <c r="A1479">
        <v>332</v>
      </c>
      <c r="B1479">
        <v>503</v>
      </c>
    </row>
    <row r="1480" spans="1:2" x14ac:dyDescent="0.25">
      <c r="A1480">
        <v>7</v>
      </c>
      <c r="B1480">
        <v>-4</v>
      </c>
    </row>
    <row r="1481" spans="1:2" x14ac:dyDescent="0.25">
      <c r="A1481">
        <v>8</v>
      </c>
      <c r="B1481">
        <v>-2</v>
      </c>
    </row>
    <row r="1482" spans="1:2" x14ac:dyDescent="0.25">
      <c r="A1482">
        <v>2061</v>
      </c>
      <c r="B1482">
        <v>701</v>
      </c>
    </row>
    <row r="1483" spans="1:2" x14ac:dyDescent="0.25">
      <c r="A1483">
        <v>1103</v>
      </c>
      <c r="B1483">
        <v>276</v>
      </c>
    </row>
    <row r="1484" spans="1:2" x14ac:dyDescent="0.25">
      <c r="A1484">
        <v>2103</v>
      </c>
      <c r="B1484">
        <v>322</v>
      </c>
    </row>
    <row r="1485" spans="1:2" x14ac:dyDescent="0.25">
      <c r="A1485">
        <v>2115</v>
      </c>
      <c r="B1485">
        <v>23</v>
      </c>
    </row>
    <row r="1486" spans="1:2" x14ac:dyDescent="0.25">
      <c r="A1486">
        <v>850</v>
      </c>
      <c r="B1486">
        <v>-289</v>
      </c>
    </row>
    <row r="1487" spans="1:2" x14ac:dyDescent="0.25">
      <c r="A1487">
        <v>1063</v>
      </c>
      <c r="B1487">
        <v>64</v>
      </c>
    </row>
    <row r="1488" spans="1:2" x14ac:dyDescent="0.25">
      <c r="A1488">
        <v>1063</v>
      </c>
      <c r="B1488">
        <v>-175</v>
      </c>
    </row>
    <row r="1489" spans="1:2" x14ac:dyDescent="0.25">
      <c r="A1489">
        <v>2292</v>
      </c>
      <c r="B1489">
        <v>127</v>
      </c>
    </row>
    <row r="1490" spans="1:2" x14ac:dyDescent="0.25">
      <c r="A1490">
        <v>7</v>
      </c>
      <c r="B1490">
        <v>-1</v>
      </c>
    </row>
    <row r="1491" spans="1:2" x14ac:dyDescent="0.25">
      <c r="A1491">
        <v>2452</v>
      </c>
      <c r="B1491">
        <v>191</v>
      </c>
    </row>
    <row r="1492" spans="1:2" x14ac:dyDescent="0.25">
      <c r="A1492">
        <v>2457</v>
      </c>
      <c r="B1492">
        <v>665</v>
      </c>
    </row>
    <row r="1493" spans="1:2" x14ac:dyDescent="0.25">
      <c r="A1493">
        <v>4</v>
      </c>
      <c r="B1493">
        <v>-3</v>
      </c>
    </row>
    <row r="1494" spans="1:2" x14ac:dyDescent="0.25">
      <c r="A1494">
        <v>2830</v>
      </c>
      <c r="B1494">
        <v>-1981</v>
      </c>
    </row>
    <row r="1495" spans="1:2" x14ac:dyDescent="0.25">
      <c r="A1495">
        <v>7</v>
      </c>
      <c r="B1495">
        <v>1</v>
      </c>
    </row>
    <row r="1496" spans="1:2" x14ac:dyDescent="0.25">
      <c r="A1496">
        <v>7</v>
      </c>
      <c r="B1496">
        <v>0</v>
      </c>
    </row>
    <row r="1497" spans="1:2" x14ac:dyDescent="0.25">
      <c r="A1497">
        <v>7</v>
      </c>
      <c r="B1497">
        <v>-3</v>
      </c>
    </row>
    <row r="1498" spans="1:2" x14ac:dyDescent="0.25">
      <c r="A1498">
        <v>3151</v>
      </c>
      <c r="B1498">
        <v>-35</v>
      </c>
    </row>
    <row r="1499" spans="1:2" x14ac:dyDescent="0.25">
      <c r="A1499">
        <v>4141</v>
      </c>
      <c r="B1499">
        <v>1698</v>
      </c>
    </row>
    <row r="1500" spans="1:2" x14ac:dyDescent="0.25">
      <c r="A1500">
        <v>7</v>
      </c>
      <c r="B1500">
        <v>-2</v>
      </c>
    </row>
    <row r="1501" spans="1:2" x14ac:dyDescent="0.25">
      <c r="A1501">
        <v>4363</v>
      </c>
      <c r="B1501">
        <v>305</v>
      </c>
    </row>
  </sheetData>
  <mergeCells count="3">
    <mergeCell ref="D2:F2"/>
    <mergeCell ref="F3:H3"/>
    <mergeCell ref="D5:I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AAEEB-4968-444C-9258-01B3BC017F72}">
  <dimension ref="A1:U1501"/>
  <sheetViews>
    <sheetView topLeftCell="G1" workbookViewId="0">
      <selection activeCell="R8" sqref="R8"/>
    </sheetView>
  </sheetViews>
  <sheetFormatPr defaultRowHeight="15" x14ac:dyDescent="0.25"/>
  <cols>
    <col min="1" max="1" width="9.7109375" bestFit="1" customWidth="1"/>
    <col min="2" max="2" width="10.5703125" bestFit="1" customWidth="1"/>
    <col min="5" max="5" width="10.5703125" bestFit="1" customWidth="1"/>
    <col min="6" max="6" width="16.28515625" bestFit="1" customWidth="1"/>
    <col min="7" max="7" width="14.28515625" bestFit="1" customWidth="1"/>
    <col min="12" max="12" width="9.140625" style="3"/>
    <col min="14" max="14" width="12.28515625" bestFit="1" customWidth="1"/>
    <col min="15" max="15" width="12.7109375" bestFit="1" customWidth="1"/>
    <col min="16" max="16" width="12" bestFit="1" customWidth="1"/>
    <col min="18" max="18" width="10.5703125" bestFit="1" customWidth="1"/>
  </cols>
  <sheetData>
    <row r="1" spans="1:21" x14ac:dyDescent="0.25">
      <c r="A1" s="2" t="s">
        <v>0</v>
      </c>
      <c r="B1" s="2" t="s">
        <v>883</v>
      </c>
      <c r="C1" s="2" t="s">
        <v>884</v>
      </c>
      <c r="D1" s="2" t="s">
        <v>885</v>
      </c>
      <c r="E1" s="2" t="s">
        <v>886</v>
      </c>
      <c r="F1" s="2" t="s">
        <v>887</v>
      </c>
      <c r="G1" s="2" t="s">
        <v>888</v>
      </c>
      <c r="I1" s="6" t="s">
        <v>889</v>
      </c>
      <c r="J1" s="6" t="s">
        <v>892</v>
      </c>
      <c r="K1" s="6" t="s">
        <v>899</v>
      </c>
      <c r="L1" s="8"/>
      <c r="N1" s="6" t="s">
        <v>889</v>
      </c>
      <c r="O1" s="6" t="s">
        <v>892</v>
      </c>
      <c r="P1" s="6" t="s">
        <v>899</v>
      </c>
      <c r="R1" s="6" t="s">
        <v>889</v>
      </c>
      <c r="S1" s="6" t="s">
        <v>892</v>
      </c>
      <c r="T1" s="6" t="s">
        <v>899</v>
      </c>
    </row>
    <row r="2" spans="1:21" x14ac:dyDescent="0.25">
      <c r="A2" s="3" t="s">
        <v>87</v>
      </c>
      <c r="B2" s="3">
        <v>1096</v>
      </c>
      <c r="C2" s="3">
        <v>658</v>
      </c>
      <c r="D2" s="3">
        <v>7</v>
      </c>
      <c r="E2" s="3" t="s">
        <v>889</v>
      </c>
      <c r="F2" s="3" t="s">
        <v>890</v>
      </c>
      <c r="G2" s="3" t="s">
        <v>891</v>
      </c>
      <c r="I2" cm="1">
        <f t="array" ref="I2:I309">_xlfn._xlws.FILTER($C$2:$C$1501,$E$2:$E$1501="Electronics")</f>
        <v>658</v>
      </c>
      <c r="J2" cm="1">
        <f t="array" ref="J2:J244">_xlfn._xlws.FILTER($C$2:$C$1501,$E$2:$E$1501="Furniture")</f>
        <v>64</v>
      </c>
      <c r="K2" cm="1">
        <f t="array" ref="K2:K950">_xlfn._xlws.FILTER($C$2:$C$1501,$E$2:$E$1501="Clothing")</f>
        <v>247</v>
      </c>
      <c r="L2" s="7"/>
      <c r="M2" s="6" t="s">
        <v>918</v>
      </c>
      <c r="N2">
        <f>AVERAGE(_xlfn.ANCHORARRAY(I2))</f>
        <v>42.733766233766232</v>
      </c>
      <c r="O2">
        <f>AVERAGE(_xlfn.ANCHORARRAY(J2))</f>
        <v>43.111111111111114</v>
      </c>
      <c r="P2">
        <f>AVERAGE(_xlfn.ANCHORARRAY(K2))</f>
        <v>14.04109589041096</v>
      </c>
      <c r="R2">
        <f>_xlfn.QUARTILE.INC(_xlfn.ANCHORARRAY(I2),1)</f>
        <v>-41</v>
      </c>
      <c r="S2">
        <f>_xlfn.QUARTILE.INC(_xlfn.ANCHORARRAY(J2),1)</f>
        <v>-36</v>
      </c>
      <c r="T2">
        <f>_xlfn.QUARTILE.INC(_xlfn.ANCHORARRAY(K2),1)</f>
        <v>-5</v>
      </c>
      <c r="U2" s="6" t="s">
        <v>921</v>
      </c>
    </row>
    <row r="3" spans="1:21" x14ac:dyDescent="0.25">
      <c r="A3" s="3" t="s">
        <v>5</v>
      </c>
      <c r="B3" s="3">
        <v>5729</v>
      </c>
      <c r="C3" s="3">
        <v>64</v>
      </c>
      <c r="D3" s="3">
        <v>14</v>
      </c>
      <c r="E3" s="3" t="s">
        <v>892</v>
      </c>
      <c r="F3" s="3" t="s">
        <v>893</v>
      </c>
      <c r="G3" s="3" t="s">
        <v>894</v>
      </c>
      <c r="I3">
        <v>712</v>
      </c>
      <c r="J3">
        <v>146</v>
      </c>
      <c r="K3">
        <v>-275</v>
      </c>
      <c r="M3" s="6" t="s">
        <v>919</v>
      </c>
      <c r="N3">
        <f>MEDIAN(_xlfn.ANCHORARRAY(I2))</f>
        <v>18</v>
      </c>
      <c r="O3">
        <f>MEDIAN(_xlfn.ANCHORARRAY(J2))</f>
        <v>13</v>
      </c>
      <c r="P3">
        <f>MEDIAN(_xlfn.ANCHORARRAY(K2))</f>
        <v>6</v>
      </c>
      <c r="R3">
        <f>_xlfn.QUARTILE.INC(_xlfn.ANCHORARRAY(I2),3)</f>
        <v>101.25</v>
      </c>
      <c r="S3">
        <f>_xlfn.QUARTILE.INC(_xlfn.ANCHORARRAY(J2),3)</f>
        <v>86.5</v>
      </c>
      <c r="T3">
        <f>_xlfn.QUARTILE.INC(_xlfn.ANCHORARRAY(K2),3)</f>
        <v>23</v>
      </c>
      <c r="U3" s="6" t="s">
        <v>922</v>
      </c>
    </row>
    <row r="4" spans="1:21" x14ac:dyDescent="0.25">
      <c r="A4" s="3" t="s">
        <v>25</v>
      </c>
      <c r="B4" s="3">
        <v>2927</v>
      </c>
      <c r="C4" s="3">
        <v>146</v>
      </c>
      <c r="D4" s="3">
        <v>8</v>
      </c>
      <c r="E4" s="3" t="s">
        <v>892</v>
      </c>
      <c r="F4" s="3" t="s">
        <v>895</v>
      </c>
      <c r="G4" s="3" t="s">
        <v>894</v>
      </c>
      <c r="I4">
        <v>1151</v>
      </c>
      <c r="J4">
        <v>-492</v>
      </c>
      <c r="K4">
        <v>-213</v>
      </c>
      <c r="R4">
        <f>R3-R2</f>
        <v>142.25</v>
      </c>
      <c r="S4">
        <f>S3-S2</f>
        <v>122.5</v>
      </c>
      <c r="T4">
        <f>T3-T2</f>
        <v>28</v>
      </c>
      <c r="U4" s="6" t="s">
        <v>923</v>
      </c>
    </row>
    <row r="5" spans="1:21" x14ac:dyDescent="0.25">
      <c r="A5" s="3" t="s">
        <v>28</v>
      </c>
      <c r="B5" s="3">
        <v>2847</v>
      </c>
      <c r="C5" s="3">
        <v>712</v>
      </c>
      <c r="D5" s="3">
        <v>8</v>
      </c>
      <c r="E5" s="3" t="s">
        <v>889</v>
      </c>
      <c r="F5" s="3" t="s">
        <v>896</v>
      </c>
      <c r="G5" s="3" t="s">
        <v>897</v>
      </c>
      <c r="I5">
        <v>-234</v>
      </c>
      <c r="J5">
        <v>1050</v>
      </c>
      <c r="K5">
        <v>-44</v>
      </c>
      <c r="M5" s="17" t="s">
        <v>920</v>
      </c>
      <c r="N5" s="17"/>
      <c r="O5" s="17"/>
      <c r="P5" s="17"/>
      <c r="Q5" s="17"/>
      <c r="R5" s="17"/>
      <c r="S5" s="9"/>
      <c r="T5" s="9"/>
    </row>
    <row r="6" spans="1:21" x14ac:dyDescent="0.25">
      <c r="A6" s="3" t="s">
        <v>34</v>
      </c>
      <c r="B6" s="3">
        <v>2617</v>
      </c>
      <c r="C6" s="3">
        <v>1151</v>
      </c>
      <c r="D6" s="3">
        <v>4</v>
      </c>
      <c r="E6" s="3" t="s">
        <v>889</v>
      </c>
      <c r="F6" s="3" t="s">
        <v>898</v>
      </c>
      <c r="G6" s="3" t="s">
        <v>897</v>
      </c>
      <c r="I6">
        <v>-891</v>
      </c>
      <c r="J6">
        <v>433</v>
      </c>
      <c r="K6">
        <v>-54</v>
      </c>
    </row>
    <row r="7" spans="1:21" x14ac:dyDescent="0.25">
      <c r="A7" s="3" t="s">
        <v>46</v>
      </c>
      <c r="B7" s="3">
        <v>2244</v>
      </c>
      <c r="C7" s="3">
        <v>247</v>
      </c>
      <c r="D7" s="3">
        <v>4</v>
      </c>
      <c r="E7" s="3" t="s">
        <v>899</v>
      </c>
      <c r="F7" s="3" t="s">
        <v>900</v>
      </c>
      <c r="G7" s="3" t="s">
        <v>897</v>
      </c>
      <c r="I7">
        <v>95</v>
      </c>
      <c r="J7">
        <v>721</v>
      </c>
      <c r="K7">
        <v>-190</v>
      </c>
    </row>
    <row r="8" spans="1:21" x14ac:dyDescent="0.25">
      <c r="A8" s="3" t="s">
        <v>239</v>
      </c>
      <c r="B8" s="3">
        <v>275</v>
      </c>
      <c r="C8" s="3">
        <v>-275</v>
      </c>
      <c r="D8" s="3">
        <v>4</v>
      </c>
      <c r="E8" s="3" t="s">
        <v>899</v>
      </c>
      <c r="F8" s="3" t="s">
        <v>901</v>
      </c>
      <c r="G8" s="3" t="s">
        <v>891</v>
      </c>
      <c r="I8">
        <v>254</v>
      </c>
      <c r="J8">
        <v>-624</v>
      </c>
      <c r="K8">
        <v>-3</v>
      </c>
    </row>
    <row r="9" spans="1:21" x14ac:dyDescent="0.25">
      <c r="A9" s="3" t="s">
        <v>444</v>
      </c>
      <c r="B9" s="3">
        <v>387</v>
      </c>
      <c r="C9" s="3">
        <v>-213</v>
      </c>
      <c r="D9" s="3">
        <v>5</v>
      </c>
      <c r="E9" s="3" t="s">
        <v>899</v>
      </c>
      <c r="F9" s="3" t="s">
        <v>901</v>
      </c>
      <c r="G9" s="3" t="s">
        <v>902</v>
      </c>
      <c r="I9">
        <v>782</v>
      </c>
      <c r="J9">
        <v>-56</v>
      </c>
      <c r="K9">
        <v>1</v>
      </c>
    </row>
    <row r="10" spans="1:21" x14ac:dyDescent="0.25">
      <c r="A10" s="3" t="s">
        <v>206</v>
      </c>
      <c r="B10" s="3">
        <v>50</v>
      </c>
      <c r="C10" s="3">
        <v>-44</v>
      </c>
      <c r="D10" s="3">
        <v>2</v>
      </c>
      <c r="E10" s="3" t="s">
        <v>899</v>
      </c>
      <c r="F10" s="3" t="s">
        <v>903</v>
      </c>
      <c r="G10" s="3" t="s">
        <v>902</v>
      </c>
      <c r="I10">
        <v>370</v>
      </c>
      <c r="J10">
        <v>202</v>
      </c>
      <c r="K10">
        <v>-1</v>
      </c>
    </row>
    <row r="11" spans="1:21" x14ac:dyDescent="0.25">
      <c r="A11" s="3" t="s">
        <v>472</v>
      </c>
      <c r="B11" s="3">
        <v>135</v>
      </c>
      <c r="C11" s="3">
        <v>-54</v>
      </c>
      <c r="D11" s="3">
        <v>5</v>
      </c>
      <c r="E11" s="3" t="s">
        <v>899</v>
      </c>
      <c r="F11" s="3" t="s">
        <v>904</v>
      </c>
      <c r="G11" s="3" t="s">
        <v>891</v>
      </c>
      <c r="I11">
        <v>-266</v>
      </c>
      <c r="J11">
        <v>122</v>
      </c>
      <c r="K11">
        <v>-33</v>
      </c>
    </row>
    <row r="12" spans="1:21" x14ac:dyDescent="0.25">
      <c r="A12" s="3" t="s">
        <v>539</v>
      </c>
      <c r="B12" s="3">
        <v>231</v>
      </c>
      <c r="C12" s="3">
        <v>-190</v>
      </c>
      <c r="D12" s="3">
        <v>9</v>
      </c>
      <c r="E12" s="3" t="s">
        <v>899</v>
      </c>
      <c r="F12" s="3" t="s">
        <v>903</v>
      </c>
      <c r="G12" s="3" t="s">
        <v>891</v>
      </c>
      <c r="I12">
        <v>1303</v>
      </c>
      <c r="J12">
        <v>802</v>
      </c>
      <c r="K12">
        <v>2</v>
      </c>
    </row>
    <row r="13" spans="1:21" x14ac:dyDescent="0.25">
      <c r="A13" s="3" t="s">
        <v>49</v>
      </c>
      <c r="B13" s="3">
        <v>2125</v>
      </c>
      <c r="C13" s="3">
        <v>-234</v>
      </c>
      <c r="D13" s="3">
        <v>6</v>
      </c>
      <c r="E13" s="3" t="s">
        <v>889</v>
      </c>
      <c r="F13" s="3" t="s">
        <v>896</v>
      </c>
      <c r="G13" s="3" t="s">
        <v>894</v>
      </c>
      <c r="I13">
        <v>-212</v>
      </c>
      <c r="J13">
        <v>980</v>
      </c>
      <c r="K13">
        <v>-1</v>
      </c>
    </row>
    <row r="14" spans="1:21" x14ac:dyDescent="0.25">
      <c r="A14" s="3" t="s">
        <v>14</v>
      </c>
      <c r="B14" s="3">
        <v>3873</v>
      </c>
      <c r="C14" s="3">
        <v>-891</v>
      </c>
      <c r="D14" s="3">
        <v>6</v>
      </c>
      <c r="E14" s="3" t="s">
        <v>889</v>
      </c>
      <c r="F14" s="3" t="s">
        <v>898</v>
      </c>
      <c r="G14" s="3" t="s">
        <v>897</v>
      </c>
      <c r="I14">
        <v>-77</v>
      </c>
      <c r="J14">
        <v>460</v>
      </c>
      <c r="K14">
        <v>113</v>
      </c>
    </row>
    <row r="15" spans="1:21" x14ac:dyDescent="0.25">
      <c r="A15" s="3" t="s">
        <v>297</v>
      </c>
      <c r="B15" s="3">
        <v>729</v>
      </c>
      <c r="C15" s="3">
        <v>-492</v>
      </c>
      <c r="D15" s="3">
        <v>5</v>
      </c>
      <c r="E15" s="3" t="s">
        <v>892</v>
      </c>
      <c r="F15" s="3" t="s">
        <v>895</v>
      </c>
      <c r="G15" s="3" t="s">
        <v>902</v>
      </c>
      <c r="I15">
        <v>-448</v>
      </c>
      <c r="J15">
        <v>206</v>
      </c>
      <c r="K15">
        <v>-15</v>
      </c>
    </row>
    <row r="16" spans="1:21" x14ac:dyDescent="0.25">
      <c r="A16" s="3" t="s">
        <v>48</v>
      </c>
      <c r="B16" s="3">
        <v>2188</v>
      </c>
      <c r="C16" s="3">
        <v>1050</v>
      </c>
      <c r="D16" s="3">
        <v>5</v>
      </c>
      <c r="E16" s="3" t="s">
        <v>892</v>
      </c>
      <c r="F16" s="3" t="s">
        <v>895</v>
      </c>
      <c r="G16" s="3" t="s">
        <v>897</v>
      </c>
      <c r="I16">
        <v>340</v>
      </c>
      <c r="J16">
        <v>1864</v>
      </c>
      <c r="K16">
        <v>-1</v>
      </c>
    </row>
    <row r="17" spans="1:11" x14ac:dyDescent="0.25">
      <c r="A17" s="3" t="s">
        <v>436</v>
      </c>
      <c r="B17" s="3">
        <v>6</v>
      </c>
      <c r="C17" s="3">
        <v>-3</v>
      </c>
      <c r="D17" s="3">
        <v>1</v>
      </c>
      <c r="E17" s="3" t="s">
        <v>899</v>
      </c>
      <c r="F17" s="3" t="s">
        <v>903</v>
      </c>
      <c r="G17" s="3" t="s">
        <v>902</v>
      </c>
      <c r="I17">
        <v>-439</v>
      </c>
      <c r="J17">
        <v>342</v>
      </c>
      <c r="K17">
        <v>0</v>
      </c>
    </row>
    <row r="18" spans="1:11" x14ac:dyDescent="0.25">
      <c r="A18" s="3" t="s">
        <v>63</v>
      </c>
      <c r="B18" s="3">
        <v>1854</v>
      </c>
      <c r="C18" s="3">
        <v>433</v>
      </c>
      <c r="D18" s="3">
        <v>5</v>
      </c>
      <c r="E18" s="3" t="s">
        <v>892</v>
      </c>
      <c r="F18" s="3" t="s">
        <v>895</v>
      </c>
      <c r="G18" s="3" t="s">
        <v>897</v>
      </c>
      <c r="I18">
        <v>106</v>
      </c>
      <c r="J18">
        <v>536</v>
      </c>
      <c r="K18">
        <v>-7</v>
      </c>
    </row>
    <row r="19" spans="1:11" x14ac:dyDescent="0.25">
      <c r="A19" s="3" t="s">
        <v>882</v>
      </c>
      <c r="B19" s="3">
        <v>6</v>
      </c>
      <c r="C19" s="3">
        <v>1</v>
      </c>
      <c r="D19" s="3">
        <v>1</v>
      </c>
      <c r="E19" s="3" t="s">
        <v>899</v>
      </c>
      <c r="F19" s="3" t="s">
        <v>904</v>
      </c>
      <c r="G19" s="3" t="s">
        <v>902</v>
      </c>
      <c r="I19">
        <v>147</v>
      </c>
      <c r="J19">
        <v>67</v>
      </c>
      <c r="K19">
        <v>564</v>
      </c>
    </row>
    <row r="20" spans="1:11" x14ac:dyDescent="0.25">
      <c r="A20" s="3" t="s">
        <v>52</v>
      </c>
      <c r="B20" s="3">
        <v>2093</v>
      </c>
      <c r="C20" s="3">
        <v>721</v>
      </c>
      <c r="D20" s="3">
        <v>5</v>
      </c>
      <c r="E20" s="3" t="s">
        <v>892</v>
      </c>
      <c r="F20" s="3" t="s">
        <v>893</v>
      </c>
      <c r="G20" s="3" t="s">
        <v>897</v>
      </c>
      <c r="I20">
        <v>-193</v>
      </c>
      <c r="J20">
        <v>-274</v>
      </c>
      <c r="K20">
        <v>3</v>
      </c>
    </row>
    <row r="21" spans="1:11" x14ac:dyDescent="0.25">
      <c r="A21" s="3" t="s">
        <v>720</v>
      </c>
      <c r="B21" s="3">
        <v>7</v>
      </c>
      <c r="C21" s="3">
        <v>-1</v>
      </c>
      <c r="D21" s="3">
        <v>2</v>
      </c>
      <c r="E21" s="3" t="s">
        <v>899</v>
      </c>
      <c r="F21" s="3" t="s">
        <v>905</v>
      </c>
      <c r="G21" s="3" t="s">
        <v>902</v>
      </c>
      <c r="I21">
        <v>527</v>
      </c>
      <c r="J21">
        <v>230</v>
      </c>
      <c r="K21">
        <v>5</v>
      </c>
    </row>
    <row r="22" spans="1:11" x14ac:dyDescent="0.25">
      <c r="A22" s="3" t="s">
        <v>91</v>
      </c>
      <c r="B22" s="3">
        <v>1622</v>
      </c>
      <c r="C22" s="3">
        <v>-624</v>
      </c>
      <c r="D22" s="3">
        <v>5</v>
      </c>
      <c r="E22" s="3" t="s">
        <v>892</v>
      </c>
      <c r="F22" s="3" t="s">
        <v>906</v>
      </c>
      <c r="G22" s="3" t="s">
        <v>897</v>
      </c>
      <c r="I22">
        <v>-38</v>
      </c>
      <c r="J22">
        <v>-18</v>
      </c>
      <c r="K22">
        <v>0</v>
      </c>
    </row>
    <row r="23" spans="1:11" x14ac:dyDescent="0.25">
      <c r="A23" s="3" t="s">
        <v>93</v>
      </c>
      <c r="B23" s="3">
        <v>1622</v>
      </c>
      <c r="C23" s="3">
        <v>95</v>
      </c>
      <c r="D23" s="3">
        <v>5</v>
      </c>
      <c r="E23" s="3" t="s">
        <v>889</v>
      </c>
      <c r="F23" s="3" t="s">
        <v>896</v>
      </c>
      <c r="G23" s="3" t="s">
        <v>897</v>
      </c>
      <c r="I23">
        <v>573</v>
      </c>
      <c r="J23">
        <v>-13</v>
      </c>
      <c r="K23">
        <v>-123</v>
      </c>
    </row>
    <row r="24" spans="1:11" x14ac:dyDescent="0.25">
      <c r="A24" s="3" t="s">
        <v>454</v>
      </c>
      <c r="B24" s="3">
        <v>373</v>
      </c>
      <c r="C24" s="3">
        <v>254</v>
      </c>
      <c r="D24" s="3">
        <v>6</v>
      </c>
      <c r="E24" s="3" t="s">
        <v>889</v>
      </c>
      <c r="F24" s="3" t="s">
        <v>896</v>
      </c>
      <c r="G24" s="3" t="s">
        <v>902</v>
      </c>
      <c r="I24">
        <v>-16</v>
      </c>
      <c r="J24">
        <v>-307</v>
      </c>
      <c r="K24">
        <v>239</v>
      </c>
    </row>
    <row r="25" spans="1:11" x14ac:dyDescent="0.25">
      <c r="A25" s="3" t="s">
        <v>282</v>
      </c>
      <c r="B25" s="3">
        <v>82</v>
      </c>
      <c r="C25" s="3">
        <v>-33</v>
      </c>
      <c r="D25" s="3">
        <v>4</v>
      </c>
      <c r="E25" s="3" t="s">
        <v>899</v>
      </c>
      <c r="F25" s="3" t="s">
        <v>904</v>
      </c>
      <c r="G25" s="3" t="s">
        <v>891</v>
      </c>
      <c r="I25">
        <v>65</v>
      </c>
      <c r="J25">
        <v>198</v>
      </c>
      <c r="K25">
        <v>199</v>
      </c>
    </row>
    <row r="26" spans="1:11" x14ac:dyDescent="0.25">
      <c r="A26" s="3" t="s">
        <v>627</v>
      </c>
      <c r="B26" s="3">
        <v>8</v>
      </c>
      <c r="C26" s="3">
        <v>2</v>
      </c>
      <c r="D26" s="3">
        <v>2</v>
      </c>
      <c r="E26" s="3" t="s">
        <v>899</v>
      </c>
      <c r="F26" s="3" t="s">
        <v>905</v>
      </c>
      <c r="G26" s="3" t="s">
        <v>902</v>
      </c>
      <c r="I26">
        <v>264</v>
      </c>
      <c r="J26">
        <v>-36</v>
      </c>
      <c r="K26">
        <v>-2</v>
      </c>
    </row>
    <row r="27" spans="1:11" x14ac:dyDescent="0.25">
      <c r="A27" s="3" t="s">
        <v>59</v>
      </c>
      <c r="B27" s="3">
        <v>1954</v>
      </c>
      <c r="C27" s="3">
        <v>782</v>
      </c>
      <c r="D27" s="3">
        <v>3</v>
      </c>
      <c r="E27" s="3" t="s">
        <v>889</v>
      </c>
      <c r="F27" s="3" t="s">
        <v>898</v>
      </c>
      <c r="G27" s="3" t="s">
        <v>897</v>
      </c>
      <c r="I27">
        <v>-68</v>
      </c>
      <c r="J27">
        <v>267</v>
      </c>
      <c r="K27">
        <v>624</v>
      </c>
    </row>
    <row r="28" spans="1:11" x14ac:dyDescent="0.25">
      <c r="A28" s="3" t="s">
        <v>112</v>
      </c>
      <c r="B28" s="3">
        <v>1543</v>
      </c>
      <c r="C28" s="3">
        <v>370</v>
      </c>
      <c r="D28" s="3">
        <v>8</v>
      </c>
      <c r="E28" s="3" t="s">
        <v>889</v>
      </c>
      <c r="F28" s="3" t="s">
        <v>896</v>
      </c>
      <c r="G28" s="3" t="s">
        <v>897</v>
      </c>
      <c r="I28">
        <v>-916</v>
      </c>
      <c r="J28">
        <v>248</v>
      </c>
      <c r="K28">
        <v>-5</v>
      </c>
    </row>
    <row r="29" spans="1:11" x14ac:dyDescent="0.25">
      <c r="A29" s="3" t="s">
        <v>116</v>
      </c>
      <c r="B29" s="3">
        <v>1506</v>
      </c>
      <c r="C29" s="3">
        <v>-266</v>
      </c>
      <c r="D29" s="3">
        <v>6</v>
      </c>
      <c r="E29" s="3" t="s">
        <v>889</v>
      </c>
      <c r="F29" s="3" t="s">
        <v>896</v>
      </c>
      <c r="G29" s="3" t="s">
        <v>897</v>
      </c>
      <c r="I29">
        <v>192</v>
      </c>
      <c r="J29">
        <v>395</v>
      </c>
      <c r="K29">
        <v>4</v>
      </c>
    </row>
    <row r="30" spans="1:11" x14ac:dyDescent="0.25">
      <c r="A30" s="3" t="s">
        <v>64</v>
      </c>
      <c r="B30" s="3">
        <v>1829</v>
      </c>
      <c r="C30" s="3">
        <v>-56</v>
      </c>
      <c r="D30" s="3">
        <v>6</v>
      </c>
      <c r="E30" s="3" t="s">
        <v>892</v>
      </c>
      <c r="F30" s="3" t="s">
        <v>906</v>
      </c>
      <c r="G30" s="3" t="s">
        <v>897</v>
      </c>
      <c r="I30">
        <v>-640</v>
      </c>
      <c r="J30">
        <v>303</v>
      </c>
      <c r="K30">
        <v>2</v>
      </c>
    </row>
    <row r="31" spans="1:11" x14ac:dyDescent="0.25">
      <c r="A31" s="3" t="s">
        <v>488</v>
      </c>
      <c r="B31" s="3">
        <v>9</v>
      </c>
      <c r="C31" s="3">
        <v>-1</v>
      </c>
      <c r="D31" s="3">
        <v>3</v>
      </c>
      <c r="E31" s="3" t="s">
        <v>899</v>
      </c>
      <c r="F31" s="3" t="s">
        <v>905</v>
      </c>
      <c r="G31" s="3" t="s">
        <v>902</v>
      </c>
      <c r="I31">
        <v>-63</v>
      </c>
      <c r="J31">
        <v>259</v>
      </c>
      <c r="K31">
        <v>7</v>
      </c>
    </row>
    <row r="32" spans="1:11" x14ac:dyDescent="0.25">
      <c r="A32" s="3" t="s">
        <v>122</v>
      </c>
      <c r="B32" s="3">
        <v>1461</v>
      </c>
      <c r="C32" s="3">
        <v>202</v>
      </c>
      <c r="D32" s="3">
        <v>5</v>
      </c>
      <c r="E32" s="3" t="s">
        <v>892</v>
      </c>
      <c r="F32" s="3" t="s">
        <v>906</v>
      </c>
      <c r="G32" s="3" t="s">
        <v>894</v>
      </c>
      <c r="I32">
        <v>-706</v>
      </c>
      <c r="J32">
        <v>-187</v>
      </c>
      <c r="K32">
        <v>2</v>
      </c>
    </row>
    <row r="33" spans="1:11" x14ac:dyDescent="0.25">
      <c r="A33" s="3" t="s">
        <v>438</v>
      </c>
      <c r="B33" s="3">
        <v>391</v>
      </c>
      <c r="C33" s="3">
        <v>113</v>
      </c>
      <c r="D33" s="3">
        <v>8</v>
      </c>
      <c r="E33" s="3" t="s">
        <v>899</v>
      </c>
      <c r="F33" s="3" t="s">
        <v>907</v>
      </c>
      <c r="G33" s="3" t="s">
        <v>891</v>
      </c>
      <c r="I33">
        <v>170</v>
      </c>
      <c r="J33">
        <v>119</v>
      </c>
      <c r="K33">
        <v>-12</v>
      </c>
    </row>
    <row r="34" spans="1:11" x14ac:dyDescent="0.25">
      <c r="A34" s="3" t="s">
        <v>66</v>
      </c>
      <c r="B34" s="3">
        <v>1824</v>
      </c>
      <c r="C34" s="3">
        <v>1303</v>
      </c>
      <c r="D34" s="3">
        <v>8</v>
      </c>
      <c r="E34" s="3" t="s">
        <v>889</v>
      </c>
      <c r="F34" s="3" t="s">
        <v>898</v>
      </c>
      <c r="G34" s="3" t="s">
        <v>897</v>
      </c>
      <c r="I34">
        <v>170</v>
      </c>
      <c r="J34">
        <v>51</v>
      </c>
      <c r="K34">
        <v>-2</v>
      </c>
    </row>
    <row r="35" spans="1:11" x14ac:dyDescent="0.25">
      <c r="A35" s="3" t="s">
        <v>635</v>
      </c>
      <c r="B35" s="3">
        <v>16</v>
      </c>
      <c r="C35" s="3">
        <v>-15</v>
      </c>
      <c r="D35" s="3">
        <v>4</v>
      </c>
      <c r="E35" s="3" t="s">
        <v>899</v>
      </c>
      <c r="F35" s="3" t="s">
        <v>903</v>
      </c>
      <c r="G35" s="3" t="s">
        <v>902</v>
      </c>
      <c r="I35">
        <v>-36</v>
      </c>
      <c r="J35">
        <v>89</v>
      </c>
      <c r="K35">
        <v>97</v>
      </c>
    </row>
    <row r="36" spans="1:11" x14ac:dyDescent="0.25">
      <c r="A36" s="3" t="s">
        <v>70</v>
      </c>
      <c r="B36" s="3">
        <v>1745</v>
      </c>
      <c r="C36" s="3">
        <v>122</v>
      </c>
      <c r="D36" s="3">
        <v>2</v>
      </c>
      <c r="E36" s="3" t="s">
        <v>892</v>
      </c>
      <c r="F36" s="3" t="s">
        <v>906</v>
      </c>
      <c r="G36" s="3" t="s">
        <v>897</v>
      </c>
      <c r="I36">
        <v>101</v>
      </c>
      <c r="J36">
        <v>262</v>
      </c>
      <c r="K36">
        <v>-13</v>
      </c>
    </row>
    <row r="37" spans="1:11" x14ac:dyDescent="0.25">
      <c r="A37" s="3" t="s">
        <v>315</v>
      </c>
      <c r="B37" s="3">
        <v>663</v>
      </c>
      <c r="C37" s="3">
        <v>-212</v>
      </c>
      <c r="D37" s="3">
        <v>5</v>
      </c>
      <c r="E37" s="3" t="s">
        <v>889</v>
      </c>
      <c r="F37" s="3" t="s">
        <v>896</v>
      </c>
      <c r="G37" s="3" t="s">
        <v>902</v>
      </c>
      <c r="I37">
        <v>266</v>
      </c>
      <c r="J37">
        <v>-82</v>
      </c>
      <c r="K37">
        <v>73</v>
      </c>
    </row>
    <row r="38" spans="1:11" x14ac:dyDescent="0.25">
      <c r="A38" s="3" t="s">
        <v>343</v>
      </c>
      <c r="B38" s="3">
        <v>10</v>
      </c>
      <c r="C38" s="3">
        <v>-1</v>
      </c>
      <c r="D38" s="3">
        <v>1</v>
      </c>
      <c r="E38" s="3" t="s">
        <v>899</v>
      </c>
      <c r="F38" s="3" t="s">
        <v>908</v>
      </c>
      <c r="G38" s="3" t="s">
        <v>902</v>
      </c>
      <c r="I38">
        <v>-14</v>
      </c>
      <c r="J38">
        <v>-152</v>
      </c>
      <c r="K38">
        <v>-2</v>
      </c>
    </row>
    <row r="39" spans="1:11" x14ac:dyDescent="0.25">
      <c r="A39" s="3" t="s">
        <v>83</v>
      </c>
      <c r="B39" s="3">
        <v>1630</v>
      </c>
      <c r="C39" s="3">
        <v>802</v>
      </c>
      <c r="D39" s="3">
        <v>5</v>
      </c>
      <c r="E39" s="3" t="s">
        <v>892</v>
      </c>
      <c r="F39" s="3" t="s">
        <v>906</v>
      </c>
      <c r="G39" s="3" t="s">
        <v>894</v>
      </c>
      <c r="I39">
        <v>119</v>
      </c>
      <c r="J39">
        <v>198</v>
      </c>
      <c r="K39">
        <v>-2</v>
      </c>
    </row>
    <row r="40" spans="1:11" x14ac:dyDescent="0.25">
      <c r="A40" s="3" t="s">
        <v>456</v>
      </c>
      <c r="B40" s="3">
        <v>12</v>
      </c>
      <c r="C40" s="3">
        <v>0</v>
      </c>
      <c r="D40" s="3">
        <v>2</v>
      </c>
      <c r="E40" s="3" t="s">
        <v>899</v>
      </c>
      <c r="F40" s="3" t="s">
        <v>903</v>
      </c>
      <c r="G40" s="3" t="s">
        <v>902</v>
      </c>
      <c r="I40">
        <v>-235</v>
      </c>
      <c r="J40">
        <v>392</v>
      </c>
      <c r="K40">
        <v>-93</v>
      </c>
    </row>
    <row r="41" spans="1:11" x14ac:dyDescent="0.25">
      <c r="A41" s="3" t="s">
        <v>755</v>
      </c>
      <c r="B41" s="3">
        <v>12</v>
      </c>
      <c r="C41" s="3">
        <v>-7</v>
      </c>
      <c r="D41" s="3">
        <v>2</v>
      </c>
      <c r="E41" s="3" t="s">
        <v>899</v>
      </c>
      <c r="F41" s="3" t="s">
        <v>908</v>
      </c>
      <c r="G41" s="3" t="s">
        <v>902</v>
      </c>
      <c r="I41">
        <v>-48</v>
      </c>
      <c r="J41">
        <v>116</v>
      </c>
      <c r="K41">
        <v>3</v>
      </c>
    </row>
    <row r="42" spans="1:11" x14ac:dyDescent="0.25">
      <c r="A42" s="3" t="s">
        <v>73</v>
      </c>
      <c r="B42" s="3">
        <v>1709</v>
      </c>
      <c r="C42" s="3">
        <v>564</v>
      </c>
      <c r="D42" s="3">
        <v>3</v>
      </c>
      <c r="E42" s="3" t="s">
        <v>899</v>
      </c>
      <c r="F42" s="3" t="s">
        <v>900</v>
      </c>
      <c r="G42" s="3" t="s">
        <v>897</v>
      </c>
      <c r="I42">
        <v>-100</v>
      </c>
      <c r="J42">
        <v>0</v>
      </c>
      <c r="K42">
        <v>-72</v>
      </c>
    </row>
    <row r="43" spans="1:11" x14ac:dyDescent="0.25">
      <c r="A43" s="3" t="s">
        <v>875</v>
      </c>
      <c r="B43" s="3">
        <v>12</v>
      </c>
      <c r="C43" s="3">
        <v>3</v>
      </c>
      <c r="D43" s="3">
        <v>1</v>
      </c>
      <c r="E43" s="3" t="s">
        <v>899</v>
      </c>
      <c r="F43" s="3" t="s">
        <v>907</v>
      </c>
      <c r="G43" s="3" t="s">
        <v>902</v>
      </c>
      <c r="I43">
        <v>-309</v>
      </c>
      <c r="J43">
        <v>42</v>
      </c>
      <c r="K43">
        <v>24</v>
      </c>
    </row>
    <row r="44" spans="1:11" x14ac:dyDescent="0.25">
      <c r="A44" s="3" t="s">
        <v>87</v>
      </c>
      <c r="B44" s="3">
        <v>1625</v>
      </c>
      <c r="C44" s="3">
        <v>-77</v>
      </c>
      <c r="D44" s="3">
        <v>3</v>
      </c>
      <c r="E44" s="3" t="s">
        <v>889</v>
      </c>
      <c r="F44" s="3" t="s">
        <v>898</v>
      </c>
      <c r="G44" s="3" t="s">
        <v>894</v>
      </c>
      <c r="I44">
        <v>-213</v>
      </c>
      <c r="J44">
        <v>-35</v>
      </c>
      <c r="K44">
        <v>16</v>
      </c>
    </row>
    <row r="45" spans="1:11" x14ac:dyDescent="0.25">
      <c r="A45" s="3" t="s">
        <v>577</v>
      </c>
      <c r="B45" s="3">
        <v>13</v>
      </c>
      <c r="C45" s="3">
        <v>5</v>
      </c>
      <c r="D45" s="3">
        <v>2</v>
      </c>
      <c r="E45" s="3" t="s">
        <v>899</v>
      </c>
      <c r="F45" s="3" t="s">
        <v>903</v>
      </c>
      <c r="G45" s="3" t="s">
        <v>902</v>
      </c>
      <c r="I45">
        <v>167</v>
      </c>
      <c r="J45">
        <v>-37</v>
      </c>
      <c r="K45">
        <v>486</v>
      </c>
    </row>
    <row r="46" spans="1:11" x14ac:dyDescent="0.25">
      <c r="A46" s="3" t="s">
        <v>134</v>
      </c>
      <c r="B46" s="3">
        <v>1361</v>
      </c>
      <c r="C46" s="3">
        <v>980</v>
      </c>
      <c r="D46" s="3">
        <v>3</v>
      </c>
      <c r="E46" s="3" t="s">
        <v>892</v>
      </c>
      <c r="F46" s="3" t="s">
        <v>906</v>
      </c>
      <c r="G46" s="3" t="s">
        <v>891</v>
      </c>
      <c r="I46">
        <v>225</v>
      </c>
      <c r="J46">
        <v>-45</v>
      </c>
      <c r="K46">
        <v>-1</v>
      </c>
    </row>
    <row r="47" spans="1:11" x14ac:dyDescent="0.25">
      <c r="A47" s="3" t="s">
        <v>89</v>
      </c>
      <c r="B47" s="3">
        <v>1622</v>
      </c>
      <c r="C47" s="3">
        <v>-448</v>
      </c>
      <c r="D47" s="3">
        <v>3</v>
      </c>
      <c r="E47" s="3" t="s">
        <v>889</v>
      </c>
      <c r="F47" s="3" t="s">
        <v>898</v>
      </c>
      <c r="G47" s="3" t="s">
        <v>894</v>
      </c>
      <c r="I47">
        <v>208</v>
      </c>
      <c r="J47">
        <v>-36</v>
      </c>
      <c r="K47">
        <v>-1</v>
      </c>
    </row>
    <row r="48" spans="1:11" x14ac:dyDescent="0.25">
      <c r="A48" s="3" t="s">
        <v>110</v>
      </c>
      <c r="B48" s="3">
        <v>1547</v>
      </c>
      <c r="C48" s="3">
        <v>340</v>
      </c>
      <c r="D48" s="3">
        <v>6</v>
      </c>
      <c r="E48" s="3" t="s">
        <v>889</v>
      </c>
      <c r="F48" s="3" t="s">
        <v>909</v>
      </c>
      <c r="G48" s="3" t="s">
        <v>894</v>
      </c>
      <c r="I48">
        <v>19</v>
      </c>
      <c r="J48">
        <v>-77</v>
      </c>
      <c r="K48">
        <v>-48</v>
      </c>
    </row>
    <row r="49" spans="1:11" x14ac:dyDescent="0.25">
      <c r="A49" s="3" t="s">
        <v>79</v>
      </c>
      <c r="B49" s="3">
        <v>1657</v>
      </c>
      <c r="C49" s="3">
        <v>460</v>
      </c>
      <c r="D49" s="3">
        <v>4</v>
      </c>
      <c r="E49" s="3" t="s">
        <v>892</v>
      </c>
      <c r="F49" s="3" t="s">
        <v>893</v>
      </c>
      <c r="G49" s="3" t="s">
        <v>897</v>
      </c>
      <c r="I49">
        <v>-424</v>
      </c>
      <c r="J49">
        <v>-314</v>
      </c>
      <c r="K49">
        <v>8</v>
      </c>
    </row>
    <row r="50" spans="1:11" x14ac:dyDescent="0.25">
      <c r="A50" s="3" t="s">
        <v>95</v>
      </c>
      <c r="B50" s="3">
        <v>1603</v>
      </c>
      <c r="C50" s="3">
        <v>0</v>
      </c>
      <c r="D50" s="3">
        <v>9</v>
      </c>
      <c r="E50" s="3" t="s">
        <v>899</v>
      </c>
      <c r="F50" s="3" t="s">
        <v>901</v>
      </c>
      <c r="G50" s="3" t="s">
        <v>897</v>
      </c>
      <c r="I50">
        <v>-111</v>
      </c>
      <c r="J50">
        <v>27</v>
      </c>
      <c r="K50">
        <v>199</v>
      </c>
    </row>
    <row r="51" spans="1:11" x14ac:dyDescent="0.25">
      <c r="A51" s="3" t="s">
        <v>108</v>
      </c>
      <c r="B51" s="3">
        <v>1549</v>
      </c>
      <c r="C51" s="3">
        <v>-439</v>
      </c>
      <c r="D51" s="3">
        <v>4</v>
      </c>
      <c r="E51" s="3" t="s">
        <v>889</v>
      </c>
      <c r="F51" s="3" t="s">
        <v>898</v>
      </c>
      <c r="G51" s="3" t="s">
        <v>897</v>
      </c>
      <c r="I51">
        <v>371</v>
      </c>
      <c r="J51">
        <v>118</v>
      </c>
      <c r="K51">
        <v>0</v>
      </c>
    </row>
    <row r="52" spans="1:11" x14ac:dyDescent="0.25">
      <c r="A52" s="3" t="s">
        <v>179</v>
      </c>
      <c r="B52" s="3">
        <v>1183</v>
      </c>
      <c r="C52" s="3">
        <v>106</v>
      </c>
      <c r="D52" s="3">
        <v>4</v>
      </c>
      <c r="E52" s="3" t="s">
        <v>889</v>
      </c>
      <c r="F52" s="3" t="s">
        <v>896</v>
      </c>
      <c r="G52" s="3" t="s">
        <v>894</v>
      </c>
      <c r="I52">
        <v>-73</v>
      </c>
      <c r="J52">
        <v>93</v>
      </c>
      <c r="K52">
        <v>8</v>
      </c>
    </row>
    <row r="53" spans="1:11" x14ac:dyDescent="0.25">
      <c r="A53" s="3" t="s">
        <v>436</v>
      </c>
      <c r="B53" s="3">
        <v>74</v>
      </c>
      <c r="C53" s="3">
        <v>-123</v>
      </c>
      <c r="D53" s="3">
        <v>8</v>
      </c>
      <c r="E53" s="3" t="s">
        <v>899</v>
      </c>
      <c r="F53" s="3" t="s">
        <v>905</v>
      </c>
      <c r="G53" s="3" t="s">
        <v>902</v>
      </c>
      <c r="I53">
        <v>371</v>
      </c>
      <c r="J53">
        <v>-192</v>
      </c>
      <c r="K53">
        <v>-225</v>
      </c>
    </row>
    <row r="54" spans="1:11" x14ac:dyDescent="0.25">
      <c r="A54" s="3" t="s">
        <v>491</v>
      </c>
      <c r="B54" s="3">
        <v>1499</v>
      </c>
      <c r="C54" s="3">
        <v>239</v>
      </c>
      <c r="D54" s="3">
        <v>13</v>
      </c>
      <c r="E54" s="3" t="s">
        <v>899</v>
      </c>
      <c r="F54" s="3" t="s">
        <v>901</v>
      </c>
      <c r="G54" s="3" t="s">
        <v>897</v>
      </c>
      <c r="I54">
        <v>84</v>
      </c>
      <c r="J54">
        <v>84</v>
      </c>
      <c r="K54">
        <v>-40</v>
      </c>
    </row>
    <row r="55" spans="1:11" x14ac:dyDescent="0.25">
      <c r="A55" s="3" t="s">
        <v>189</v>
      </c>
      <c r="B55" s="3">
        <v>1120</v>
      </c>
      <c r="C55" s="3">
        <v>199</v>
      </c>
      <c r="D55" s="3">
        <v>6</v>
      </c>
      <c r="E55" s="3" t="s">
        <v>899</v>
      </c>
      <c r="F55" s="3" t="s">
        <v>901</v>
      </c>
      <c r="G55" s="3" t="s">
        <v>894</v>
      </c>
      <c r="I55">
        <v>213</v>
      </c>
      <c r="J55">
        <v>-338</v>
      </c>
      <c r="K55">
        <v>-2</v>
      </c>
    </row>
    <row r="56" spans="1:11" x14ac:dyDescent="0.25">
      <c r="A56" s="3" t="s">
        <v>768</v>
      </c>
      <c r="B56" s="3">
        <v>15</v>
      </c>
      <c r="C56" s="3">
        <v>-2</v>
      </c>
      <c r="D56" s="3">
        <v>1</v>
      </c>
      <c r="E56" s="3" t="s">
        <v>899</v>
      </c>
      <c r="F56" s="3" t="s">
        <v>910</v>
      </c>
      <c r="G56" s="3" t="s">
        <v>911</v>
      </c>
      <c r="I56">
        <v>29</v>
      </c>
      <c r="J56">
        <v>108</v>
      </c>
      <c r="K56">
        <v>0</v>
      </c>
    </row>
    <row r="57" spans="1:11" x14ac:dyDescent="0.25">
      <c r="A57" s="3" t="s">
        <v>121</v>
      </c>
      <c r="B57" s="3">
        <v>1487</v>
      </c>
      <c r="C57" s="3">
        <v>624</v>
      </c>
      <c r="D57" s="3">
        <v>3</v>
      </c>
      <c r="E57" s="3" t="s">
        <v>899</v>
      </c>
      <c r="F57" s="3" t="s">
        <v>900</v>
      </c>
      <c r="G57" s="3" t="s">
        <v>897</v>
      </c>
      <c r="I57">
        <v>151</v>
      </c>
      <c r="J57">
        <v>-8</v>
      </c>
      <c r="K57">
        <v>-1</v>
      </c>
    </row>
    <row r="58" spans="1:11" x14ac:dyDescent="0.25">
      <c r="A58" s="3" t="s">
        <v>191</v>
      </c>
      <c r="B58" s="3">
        <v>1118</v>
      </c>
      <c r="C58" s="3">
        <v>206</v>
      </c>
      <c r="D58" s="3">
        <v>2</v>
      </c>
      <c r="E58" s="3" t="s">
        <v>892</v>
      </c>
      <c r="F58" s="3" t="s">
        <v>906</v>
      </c>
      <c r="G58" s="3" t="s">
        <v>897</v>
      </c>
      <c r="I58">
        <v>114</v>
      </c>
      <c r="J58">
        <v>71</v>
      </c>
      <c r="K58">
        <v>-209</v>
      </c>
    </row>
    <row r="59" spans="1:11" x14ac:dyDescent="0.25">
      <c r="A59" s="3" t="s">
        <v>467</v>
      </c>
      <c r="B59" s="3">
        <v>11</v>
      </c>
      <c r="C59" s="3">
        <v>-5</v>
      </c>
      <c r="D59" s="3">
        <v>2</v>
      </c>
      <c r="E59" s="3" t="s">
        <v>899</v>
      </c>
      <c r="F59" s="3" t="s">
        <v>903</v>
      </c>
      <c r="G59" s="3" t="s">
        <v>891</v>
      </c>
      <c r="I59">
        <v>-31</v>
      </c>
      <c r="J59">
        <v>-312</v>
      </c>
      <c r="K59">
        <v>-17</v>
      </c>
    </row>
    <row r="60" spans="1:11" x14ac:dyDescent="0.25">
      <c r="A60" s="3" t="s">
        <v>871</v>
      </c>
      <c r="B60" s="3">
        <v>15</v>
      </c>
      <c r="C60" s="3">
        <v>4</v>
      </c>
      <c r="D60" s="3">
        <v>1</v>
      </c>
      <c r="E60" s="3" t="s">
        <v>899</v>
      </c>
      <c r="F60" s="3" t="s">
        <v>903</v>
      </c>
      <c r="G60" s="3" t="s">
        <v>911</v>
      </c>
      <c r="I60">
        <v>-459</v>
      </c>
      <c r="J60">
        <v>72</v>
      </c>
      <c r="K60">
        <v>166</v>
      </c>
    </row>
    <row r="61" spans="1:11" x14ac:dyDescent="0.25">
      <c r="A61" s="3" t="s">
        <v>128</v>
      </c>
      <c r="B61" s="3">
        <v>1364</v>
      </c>
      <c r="C61" s="3">
        <v>1864</v>
      </c>
      <c r="D61" s="3">
        <v>5</v>
      </c>
      <c r="E61" s="3" t="s">
        <v>892</v>
      </c>
      <c r="F61" s="3" t="s">
        <v>906</v>
      </c>
      <c r="G61" s="3" t="s">
        <v>897</v>
      </c>
      <c r="I61">
        <v>547</v>
      </c>
      <c r="J61">
        <v>113</v>
      </c>
      <c r="K61">
        <v>-9</v>
      </c>
    </row>
    <row r="62" spans="1:11" x14ac:dyDescent="0.25">
      <c r="A62" s="3" t="s">
        <v>138</v>
      </c>
      <c r="B62" s="3">
        <v>1337</v>
      </c>
      <c r="C62" s="3">
        <v>147</v>
      </c>
      <c r="D62" s="3">
        <v>7</v>
      </c>
      <c r="E62" s="3" t="s">
        <v>889</v>
      </c>
      <c r="F62" s="3" t="s">
        <v>896</v>
      </c>
      <c r="G62" s="3" t="s">
        <v>897</v>
      </c>
      <c r="I62">
        <v>0</v>
      </c>
      <c r="J62">
        <v>74</v>
      </c>
      <c r="K62">
        <v>1</v>
      </c>
    </row>
    <row r="63" spans="1:11" x14ac:dyDescent="0.25">
      <c r="A63" s="3" t="s">
        <v>552</v>
      </c>
      <c r="B63" s="3">
        <v>15</v>
      </c>
      <c r="C63" s="3">
        <v>2</v>
      </c>
      <c r="D63" s="3">
        <v>1</v>
      </c>
      <c r="E63" s="3" t="s">
        <v>899</v>
      </c>
      <c r="F63" s="3" t="s">
        <v>908</v>
      </c>
      <c r="G63" s="3" t="s">
        <v>911</v>
      </c>
      <c r="I63">
        <v>77</v>
      </c>
      <c r="J63">
        <v>97</v>
      </c>
      <c r="K63">
        <v>56</v>
      </c>
    </row>
    <row r="64" spans="1:11" x14ac:dyDescent="0.25">
      <c r="A64" s="3" t="s">
        <v>485</v>
      </c>
      <c r="B64" s="3">
        <v>322</v>
      </c>
      <c r="C64" s="3">
        <v>-193</v>
      </c>
      <c r="D64" s="3">
        <v>5</v>
      </c>
      <c r="E64" s="3" t="s">
        <v>889</v>
      </c>
      <c r="F64" s="3" t="s">
        <v>896</v>
      </c>
      <c r="G64" s="3" t="s">
        <v>902</v>
      </c>
      <c r="I64">
        <v>-90</v>
      </c>
      <c r="J64">
        <v>13</v>
      </c>
      <c r="K64">
        <v>-15</v>
      </c>
    </row>
    <row r="65" spans="1:11" x14ac:dyDescent="0.25">
      <c r="A65" s="3" t="s">
        <v>146</v>
      </c>
      <c r="B65" s="3">
        <v>1316</v>
      </c>
      <c r="C65" s="3">
        <v>527</v>
      </c>
      <c r="D65" s="3">
        <v>7</v>
      </c>
      <c r="E65" s="3" t="s">
        <v>889</v>
      </c>
      <c r="F65" s="3" t="s">
        <v>890</v>
      </c>
      <c r="G65" s="3" t="s">
        <v>897</v>
      </c>
      <c r="I65">
        <v>148</v>
      </c>
      <c r="J65">
        <v>-55</v>
      </c>
      <c r="K65">
        <v>-12</v>
      </c>
    </row>
    <row r="66" spans="1:11" x14ac:dyDescent="0.25">
      <c r="A66" s="3" t="s">
        <v>148</v>
      </c>
      <c r="B66" s="3">
        <v>1314</v>
      </c>
      <c r="C66" s="3">
        <v>342</v>
      </c>
      <c r="D66" s="3">
        <v>3</v>
      </c>
      <c r="E66" s="3" t="s">
        <v>892</v>
      </c>
      <c r="F66" s="3" t="s">
        <v>895</v>
      </c>
      <c r="G66" s="3" t="s">
        <v>897</v>
      </c>
      <c r="I66">
        <v>53</v>
      </c>
      <c r="J66">
        <v>-15</v>
      </c>
      <c r="K66">
        <v>254</v>
      </c>
    </row>
    <row r="67" spans="1:11" x14ac:dyDescent="0.25">
      <c r="A67" s="3" t="s">
        <v>865</v>
      </c>
      <c r="B67" s="3">
        <v>17</v>
      </c>
      <c r="C67" s="3">
        <v>7</v>
      </c>
      <c r="D67" s="3">
        <v>3</v>
      </c>
      <c r="E67" s="3" t="s">
        <v>899</v>
      </c>
      <c r="F67" s="3" t="s">
        <v>903</v>
      </c>
      <c r="G67" s="3" t="s">
        <v>911</v>
      </c>
      <c r="I67">
        <v>-50</v>
      </c>
      <c r="J67">
        <v>61</v>
      </c>
      <c r="K67">
        <v>1</v>
      </c>
    </row>
    <row r="68" spans="1:11" x14ac:dyDescent="0.25">
      <c r="A68" s="3" t="s">
        <v>22</v>
      </c>
      <c r="B68" s="3">
        <v>17</v>
      </c>
      <c r="C68" s="3">
        <v>2</v>
      </c>
      <c r="D68" s="3">
        <v>2</v>
      </c>
      <c r="E68" s="3" t="s">
        <v>899</v>
      </c>
      <c r="F68" s="3" t="s">
        <v>905</v>
      </c>
      <c r="G68" s="3" t="s">
        <v>911</v>
      </c>
      <c r="I68">
        <v>-272</v>
      </c>
      <c r="J68">
        <v>-122</v>
      </c>
      <c r="K68">
        <v>1</v>
      </c>
    </row>
    <row r="69" spans="1:11" x14ac:dyDescent="0.25">
      <c r="A69" s="3" t="s">
        <v>864</v>
      </c>
      <c r="B69" s="3">
        <v>17</v>
      </c>
      <c r="C69" s="3">
        <v>-12</v>
      </c>
      <c r="D69" s="3">
        <v>5</v>
      </c>
      <c r="E69" s="3" t="s">
        <v>899</v>
      </c>
      <c r="F69" s="3" t="s">
        <v>905</v>
      </c>
      <c r="G69" s="3" t="s">
        <v>911</v>
      </c>
      <c r="I69">
        <v>357</v>
      </c>
      <c r="J69">
        <v>83</v>
      </c>
      <c r="K69">
        <v>1</v>
      </c>
    </row>
    <row r="70" spans="1:11" x14ac:dyDescent="0.25">
      <c r="A70" s="3" t="s">
        <v>150</v>
      </c>
      <c r="B70" s="3">
        <v>1308</v>
      </c>
      <c r="C70" s="3">
        <v>536</v>
      </c>
      <c r="D70" s="3">
        <v>3</v>
      </c>
      <c r="E70" s="3" t="s">
        <v>892</v>
      </c>
      <c r="F70" s="3" t="s">
        <v>895</v>
      </c>
      <c r="G70" s="3" t="s">
        <v>897</v>
      </c>
      <c r="I70">
        <v>70</v>
      </c>
      <c r="J70">
        <v>180</v>
      </c>
      <c r="K70">
        <v>10</v>
      </c>
    </row>
    <row r="71" spans="1:11" x14ac:dyDescent="0.25">
      <c r="A71" s="3" t="s">
        <v>200</v>
      </c>
      <c r="B71" s="3">
        <v>1076</v>
      </c>
      <c r="C71" s="3">
        <v>-38</v>
      </c>
      <c r="D71" s="3">
        <v>4</v>
      </c>
      <c r="E71" s="3" t="s">
        <v>889</v>
      </c>
      <c r="F71" s="3" t="s">
        <v>896</v>
      </c>
      <c r="G71" s="3" t="s">
        <v>897</v>
      </c>
      <c r="I71">
        <v>49</v>
      </c>
      <c r="J71">
        <v>-14</v>
      </c>
      <c r="K71">
        <v>15</v>
      </c>
    </row>
    <row r="72" spans="1:11" x14ac:dyDescent="0.25">
      <c r="A72" s="3" t="s">
        <v>152</v>
      </c>
      <c r="B72" s="3">
        <v>1301</v>
      </c>
      <c r="C72" s="3">
        <v>573</v>
      </c>
      <c r="D72" s="3">
        <v>5</v>
      </c>
      <c r="E72" s="3" t="s">
        <v>889</v>
      </c>
      <c r="F72" s="3" t="s">
        <v>909</v>
      </c>
      <c r="G72" s="3" t="s">
        <v>897</v>
      </c>
      <c r="I72">
        <v>199</v>
      </c>
      <c r="J72">
        <v>-162</v>
      </c>
      <c r="K72">
        <v>-2</v>
      </c>
    </row>
    <row r="73" spans="1:11" x14ac:dyDescent="0.25">
      <c r="A73" s="3" t="s">
        <v>154</v>
      </c>
      <c r="B73" s="3">
        <v>1300</v>
      </c>
      <c r="C73" s="3">
        <v>-16</v>
      </c>
      <c r="D73" s="3">
        <v>8</v>
      </c>
      <c r="E73" s="3" t="s">
        <v>889</v>
      </c>
      <c r="F73" s="3" t="s">
        <v>896</v>
      </c>
      <c r="G73" s="3" t="s">
        <v>897</v>
      </c>
      <c r="I73">
        <v>50</v>
      </c>
      <c r="J73">
        <v>81</v>
      </c>
      <c r="K73">
        <v>-316</v>
      </c>
    </row>
    <row r="74" spans="1:11" x14ac:dyDescent="0.25">
      <c r="A74" s="3" t="s">
        <v>211</v>
      </c>
      <c r="B74" s="3">
        <v>11</v>
      </c>
      <c r="C74" s="3">
        <v>-2</v>
      </c>
      <c r="D74" s="3">
        <v>4</v>
      </c>
      <c r="E74" s="3" t="s">
        <v>899</v>
      </c>
      <c r="F74" s="3" t="s">
        <v>903</v>
      </c>
      <c r="G74" s="3" t="s">
        <v>891</v>
      </c>
      <c r="I74">
        <v>-23</v>
      </c>
      <c r="J74">
        <v>-38</v>
      </c>
      <c r="K74">
        <v>316</v>
      </c>
    </row>
    <row r="75" spans="1:11" x14ac:dyDescent="0.25">
      <c r="A75" s="3" t="s">
        <v>158</v>
      </c>
      <c r="B75" s="3">
        <v>1298</v>
      </c>
      <c r="C75" s="3">
        <v>65</v>
      </c>
      <c r="D75" s="3">
        <v>9</v>
      </c>
      <c r="E75" s="3" t="s">
        <v>889</v>
      </c>
      <c r="F75" s="3" t="s">
        <v>896</v>
      </c>
      <c r="G75" s="3" t="s">
        <v>894</v>
      </c>
      <c r="I75">
        <v>151</v>
      </c>
      <c r="J75">
        <v>-143</v>
      </c>
      <c r="K75">
        <v>-28</v>
      </c>
    </row>
    <row r="76" spans="1:11" x14ac:dyDescent="0.25">
      <c r="A76" s="3" t="s">
        <v>498</v>
      </c>
      <c r="B76" s="3">
        <v>304</v>
      </c>
      <c r="C76" s="3">
        <v>97</v>
      </c>
      <c r="D76" s="3">
        <v>6</v>
      </c>
      <c r="E76" s="3" t="s">
        <v>899</v>
      </c>
      <c r="F76" s="3" t="s">
        <v>907</v>
      </c>
      <c r="G76" s="3" t="s">
        <v>902</v>
      </c>
      <c r="I76">
        <v>234</v>
      </c>
      <c r="J76">
        <v>-33</v>
      </c>
      <c r="K76">
        <v>292</v>
      </c>
    </row>
    <row r="77" spans="1:11" x14ac:dyDescent="0.25">
      <c r="A77" s="3" t="s">
        <v>208</v>
      </c>
      <c r="B77" s="3">
        <v>1055</v>
      </c>
      <c r="C77" s="3">
        <v>264</v>
      </c>
      <c r="D77" s="3">
        <v>4</v>
      </c>
      <c r="E77" s="3" t="s">
        <v>889</v>
      </c>
      <c r="F77" s="3" t="s">
        <v>896</v>
      </c>
      <c r="G77" s="3" t="s">
        <v>894</v>
      </c>
      <c r="I77">
        <v>88</v>
      </c>
      <c r="J77">
        <v>27</v>
      </c>
      <c r="K77">
        <v>175</v>
      </c>
    </row>
    <row r="78" spans="1:11" x14ac:dyDescent="0.25">
      <c r="A78" s="3" t="s">
        <v>18</v>
      </c>
      <c r="B78" s="3">
        <v>17</v>
      </c>
      <c r="C78" s="3">
        <v>-13</v>
      </c>
      <c r="D78" s="3">
        <v>4</v>
      </c>
      <c r="E78" s="3" t="s">
        <v>899</v>
      </c>
      <c r="F78" s="3" t="s">
        <v>905</v>
      </c>
      <c r="G78" s="3" t="s">
        <v>911</v>
      </c>
      <c r="I78">
        <v>143</v>
      </c>
      <c r="J78">
        <v>-8</v>
      </c>
      <c r="K78">
        <v>84</v>
      </c>
    </row>
    <row r="79" spans="1:11" x14ac:dyDescent="0.25">
      <c r="A79" s="3" t="s">
        <v>181</v>
      </c>
      <c r="B79" s="3">
        <v>147</v>
      </c>
      <c r="C79" s="3">
        <v>73</v>
      </c>
      <c r="D79" s="3">
        <v>3</v>
      </c>
      <c r="E79" s="3" t="s">
        <v>899</v>
      </c>
      <c r="F79" s="3" t="s">
        <v>907</v>
      </c>
      <c r="G79" s="3" t="s">
        <v>891</v>
      </c>
      <c r="I79">
        <v>107</v>
      </c>
      <c r="J79">
        <v>-42</v>
      </c>
      <c r="K79">
        <v>212</v>
      </c>
    </row>
    <row r="80" spans="1:11" x14ac:dyDescent="0.25">
      <c r="A80" s="3" t="s">
        <v>216</v>
      </c>
      <c r="B80" s="3">
        <v>965</v>
      </c>
      <c r="C80" s="3">
        <v>-68</v>
      </c>
      <c r="D80" s="3">
        <v>3</v>
      </c>
      <c r="E80" s="3" t="s">
        <v>889</v>
      </c>
      <c r="F80" s="3" t="s">
        <v>896</v>
      </c>
      <c r="G80" s="3" t="s">
        <v>891</v>
      </c>
      <c r="I80">
        <v>-47</v>
      </c>
      <c r="J80">
        <v>45</v>
      </c>
      <c r="K80">
        <v>8</v>
      </c>
    </row>
    <row r="81" spans="1:11" x14ac:dyDescent="0.25">
      <c r="A81" s="3" t="s">
        <v>720</v>
      </c>
      <c r="B81" s="3">
        <v>12</v>
      </c>
      <c r="C81" s="3">
        <v>-2</v>
      </c>
      <c r="D81" s="3">
        <v>3</v>
      </c>
      <c r="E81" s="3" t="s">
        <v>899</v>
      </c>
      <c r="F81" s="3" t="s">
        <v>903</v>
      </c>
      <c r="G81" s="3" t="s">
        <v>891</v>
      </c>
      <c r="I81">
        <v>-103</v>
      </c>
      <c r="J81">
        <v>-28</v>
      </c>
      <c r="K81">
        <v>2</v>
      </c>
    </row>
    <row r="82" spans="1:11" x14ac:dyDescent="0.25">
      <c r="A82" s="3" t="s">
        <v>691</v>
      </c>
      <c r="B82" s="3">
        <v>14</v>
      </c>
      <c r="C82" s="3">
        <v>-2</v>
      </c>
      <c r="D82" s="3">
        <v>3</v>
      </c>
      <c r="E82" s="3" t="s">
        <v>899</v>
      </c>
      <c r="F82" s="3" t="s">
        <v>903</v>
      </c>
      <c r="G82" s="3" t="s">
        <v>902</v>
      </c>
      <c r="I82">
        <v>57</v>
      </c>
      <c r="J82">
        <v>6</v>
      </c>
      <c r="K82">
        <v>9</v>
      </c>
    </row>
    <row r="83" spans="1:11" x14ac:dyDescent="0.25">
      <c r="A83" s="3" t="s">
        <v>222</v>
      </c>
      <c r="B83" s="3">
        <v>934</v>
      </c>
      <c r="C83" s="3">
        <v>-916</v>
      </c>
      <c r="D83" s="3">
        <v>7</v>
      </c>
      <c r="E83" s="3" t="s">
        <v>889</v>
      </c>
      <c r="F83" s="3" t="s">
        <v>890</v>
      </c>
      <c r="G83" s="3" t="s">
        <v>891</v>
      </c>
      <c r="I83">
        <v>50</v>
      </c>
      <c r="J83">
        <v>-24</v>
      </c>
      <c r="K83">
        <v>107</v>
      </c>
    </row>
    <row r="84" spans="1:11" x14ac:dyDescent="0.25">
      <c r="A84" s="3" t="s">
        <v>224</v>
      </c>
      <c r="B84" s="3">
        <v>929</v>
      </c>
      <c r="C84" s="3">
        <v>-93</v>
      </c>
      <c r="D84" s="3">
        <v>9</v>
      </c>
      <c r="E84" s="3" t="s">
        <v>899</v>
      </c>
      <c r="F84" s="3" t="s">
        <v>901</v>
      </c>
      <c r="G84" s="3" t="s">
        <v>891</v>
      </c>
      <c r="I84">
        <v>-15</v>
      </c>
      <c r="J84">
        <v>276</v>
      </c>
      <c r="K84">
        <v>91</v>
      </c>
    </row>
    <row r="85" spans="1:11" x14ac:dyDescent="0.25">
      <c r="A85" s="3" t="s">
        <v>863</v>
      </c>
      <c r="B85" s="3">
        <v>18</v>
      </c>
      <c r="C85" s="3">
        <v>3</v>
      </c>
      <c r="D85" s="3">
        <v>2</v>
      </c>
      <c r="E85" s="3" t="s">
        <v>899</v>
      </c>
      <c r="F85" s="3" t="s">
        <v>903</v>
      </c>
      <c r="G85" s="3" t="s">
        <v>911</v>
      </c>
      <c r="I85">
        <v>-6</v>
      </c>
      <c r="J85">
        <v>-26</v>
      </c>
      <c r="K85">
        <v>3</v>
      </c>
    </row>
    <row r="86" spans="1:11" x14ac:dyDescent="0.25">
      <c r="A86" s="3" t="s">
        <v>230</v>
      </c>
      <c r="B86" s="3">
        <v>916</v>
      </c>
      <c r="C86" s="3">
        <v>192</v>
      </c>
      <c r="D86" s="3">
        <v>11</v>
      </c>
      <c r="E86" s="3" t="s">
        <v>889</v>
      </c>
      <c r="F86" s="3" t="s">
        <v>898</v>
      </c>
      <c r="G86" s="3" t="s">
        <v>891</v>
      </c>
      <c r="I86">
        <v>-33</v>
      </c>
      <c r="J86">
        <v>-70</v>
      </c>
      <c r="K86">
        <v>204</v>
      </c>
    </row>
    <row r="87" spans="1:11" x14ac:dyDescent="0.25">
      <c r="A87" s="3" t="s">
        <v>337</v>
      </c>
      <c r="B87" s="3">
        <v>76</v>
      </c>
      <c r="C87" s="3">
        <v>-72</v>
      </c>
      <c r="D87" s="3">
        <v>9</v>
      </c>
      <c r="E87" s="3" t="s">
        <v>899</v>
      </c>
      <c r="F87" s="3" t="s">
        <v>903</v>
      </c>
      <c r="G87" s="3" t="s">
        <v>891</v>
      </c>
      <c r="I87">
        <v>25</v>
      </c>
      <c r="J87">
        <v>61</v>
      </c>
      <c r="K87">
        <v>9</v>
      </c>
    </row>
    <row r="88" spans="1:11" x14ac:dyDescent="0.25">
      <c r="A88" s="3" t="s">
        <v>246</v>
      </c>
      <c r="B88" s="3">
        <v>869</v>
      </c>
      <c r="C88" s="3">
        <v>67</v>
      </c>
      <c r="D88" s="3">
        <v>4</v>
      </c>
      <c r="E88" s="3" t="s">
        <v>892</v>
      </c>
      <c r="F88" s="3" t="s">
        <v>906</v>
      </c>
      <c r="G88" s="3" t="s">
        <v>891</v>
      </c>
      <c r="I88">
        <v>62</v>
      </c>
      <c r="J88">
        <v>-28</v>
      </c>
      <c r="K88">
        <v>12</v>
      </c>
    </row>
    <row r="89" spans="1:11" x14ac:dyDescent="0.25">
      <c r="A89" s="3" t="s">
        <v>695</v>
      </c>
      <c r="B89" s="3">
        <v>112</v>
      </c>
      <c r="C89" s="3">
        <v>24</v>
      </c>
      <c r="D89" s="3">
        <v>3</v>
      </c>
      <c r="E89" s="3" t="s">
        <v>899</v>
      </c>
      <c r="F89" s="3" t="s">
        <v>904</v>
      </c>
      <c r="G89" s="3" t="s">
        <v>891</v>
      </c>
      <c r="I89">
        <v>-200</v>
      </c>
      <c r="J89">
        <v>-13</v>
      </c>
      <c r="K89">
        <v>11</v>
      </c>
    </row>
    <row r="90" spans="1:11" x14ac:dyDescent="0.25">
      <c r="A90" s="3" t="s">
        <v>52</v>
      </c>
      <c r="B90" s="3">
        <v>39</v>
      </c>
      <c r="C90" s="3">
        <v>16</v>
      </c>
      <c r="D90" s="3">
        <v>6</v>
      </c>
      <c r="E90" s="3" t="s">
        <v>899</v>
      </c>
      <c r="F90" s="3" t="s">
        <v>905</v>
      </c>
      <c r="G90" s="3" t="s">
        <v>902</v>
      </c>
      <c r="I90">
        <v>93</v>
      </c>
      <c r="J90">
        <v>69</v>
      </c>
      <c r="K90">
        <v>12</v>
      </c>
    </row>
    <row r="91" spans="1:11" x14ac:dyDescent="0.25">
      <c r="A91" s="3" t="s">
        <v>232</v>
      </c>
      <c r="B91" s="3">
        <v>857</v>
      </c>
      <c r="C91" s="3">
        <v>-274</v>
      </c>
      <c r="D91" s="3">
        <v>2</v>
      </c>
      <c r="E91" s="3" t="s">
        <v>892</v>
      </c>
      <c r="F91" s="3" t="s">
        <v>906</v>
      </c>
      <c r="G91" s="3" t="s">
        <v>891</v>
      </c>
      <c r="I91">
        <v>-39</v>
      </c>
      <c r="J91">
        <v>-51</v>
      </c>
      <c r="K91">
        <v>-79</v>
      </c>
    </row>
    <row r="92" spans="1:11" x14ac:dyDescent="0.25">
      <c r="A92" s="3" t="s">
        <v>258</v>
      </c>
      <c r="B92" s="3">
        <v>828</v>
      </c>
      <c r="C92" s="3">
        <v>230</v>
      </c>
      <c r="D92" s="3">
        <v>2</v>
      </c>
      <c r="E92" s="3" t="s">
        <v>892</v>
      </c>
      <c r="F92" s="3" t="s">
        <v>893</v>
      </c>
      <c r="G92" s="3" t="s">
        <v>891</v>
      </c>
      <c r="I92">
        <v>15</v>
      </c>
      <c r="J92">
        <v>-24</v>
      </c>
      <c r="K92">
        <v>-11</v>
      </c>
    </row>
    <row r="93" spans="1:11" x14ac:dyDescent="0.25">
      <c r="A93" s="3" t="s">
        <v>142</v>
      </c>
      <c r="B93" s="3">
        <v>1279</v>
      </c>
      <c r="C93" s="3">
        <v>-640</v>
      </c>
      <c r="D93" s="3">
        <v>8</v>
      </c>
      <c r="E93" s="3" t="s">
        <v>889</v>
      </c>
      <c r="F93" s="3" t="s">
        <v>896</v>
      </c>
      <c r="G93" s="3" t="s">
        <v>894</v>
      </c>
      <c r="I93">
        <v>61</v>
      </c>
      <c r="J93">
        <v>-23</v>
      </c>
      <c r="K93">
        <v>8</v>
      </c>
    </row>
    <row r="94" spans="1:11" x14ac:dyDescent="0.25">
      <c r="A94" s="3" t="s">
        <v>171</v>
      </c>
      <c r="B94" s="3">
        <v>1250</v>
      </c>
      <c r="C94" s="3">
        <v>486</v>
      </c>
      <c r="D94" s="3">
        <v>7</v>
      </c>
      <c r="E94" s="3" t="s">
        <v>899</v>
      </c>
      <c r="F94" s="3" t="s">
        <v>901</v>
      </c>
      <c r="G94" s="3" t="s">
        <v>894</v>
      </c>
      <c r="I94">
        <v>128</v>
      </c>
      <c r="J94">
        <v>-135</v>
      </c>
      <c r="K94">
        <v>3</v>
      </c>
    </row>
    <row r="95" spans="1:11" x14ac:dyDescent="0.25">
      <c r="A95" s="3" t="s">
        <v>260</v>
      </c>
      <c r="B95" s="3">
        <v>823</v>
      </c>
      <c r="C95" s="3">
        <v>-18</v>
      </c>
      <c r="D95" s="3">
        <v>7</v>
      </c>
      <c r="E95" s="3" t="s">
        <v>892</v>
      </c>
      <c r="F95" s="3" t="s">
        <v>893</v>
      </c>
      <c r="G95" s="3" t="s">
        <v>891</v>
      </c>
      <c r="I95">
        <v>3</v>
      </c>
      <c r="J95">
        <v>46</v>
      </c>
      <c r="K95">
        <v>0</v>
      </c>
    </row>
    <row r="96" spans="1:11" x14ac:dyDescent="0.25">
      <c r="A96" s="3" t="s">
        <v>181</v>
      </c>
      <c r="B96" s="3">
        <v>1157</v>
      </c>
      <c r="C96" s="3">
        <v>-13</v>
      </c>
      <c r="D96" s="3">
        <v>9</v>
      </c>
      <c r="E96" s="3" t="s">
        <v>892</v>
      </c>
      <c r="F96" s="3" t="s">
        <v>895</v>
      </c>
      <c r="G96" s="3" t="s">
        <v>897</v>
      </c>
      <c r="I96">
        <v>-7</v>
      </c>
      <c r="J96">
        <v>-22</v>
      </c>
      <c r="K96">
        <v>11</v>
      </c>
    </row>
    <row r="97" spans="1:11" x14ac:dyDescent="0.25">
      <c r="A97" s="3" t="s">
        <v>666</v>
      </c>
      <c r="B97" s="3">
        <v>126</v>
      </c>
      <c r="C97" s="3">
        <v>-63</v>
      </c>
      <c r="D97" s="3">
        <v>3</v>
      </c>
      <c r="E97" s="3" t="s">
        <v>889</v>
      </c>
      <c r="F97" s="3" t="s">
        <v>909</v>
      </c>
      <c r="G97" s="3" t="s">
        <v>902</v>
      </c>
      <c r="I97">
        <v>-87</v>
      </c>
      <c r="J97">
        <v>-229</v>
      </c>
      <c r="K97">
        <v>0</v>
      </c>
    </row>
    <row r="98" spans="1:11" x14ac:dyDescent="0.25">
      <c r="A98" s="3" t="s">
        <v>183</v>
      </c>
      <c r="B98" s="3">
        <v>1145</v>
      </c>
      <c r="C98" s="3">
        <v>-706</v>
      </c>
      <c r="D98" s="3">
        <v>3</v>
      </c>
      <c r="E98" s="3" t="s">
        <v>889</v>
      </c>
      <c r="F98" s="3" t="s">
        <v>898</v>
      </c>
      <c r="G98" s="3" t="s">
        <v>897</v>
      </c>
      <c r="I98">
        <v>91</v>
      </c>
      <c r="J98">
        <v>23</v>
      </c>
      <c r="K98">
        <v>8</v>
      </c>
    </row>
    <row r="99" spans="1:11" x14ac:dyDescent="0.25">
      <c r="A99" s="3" t="s">
        <v>269</v>
      </c>
      <c r="B99" s="3">
        <v>774</v>
      </c>
      <c r="C99" s="3">
        <v>170</v>
      </c>
      <c r="D99" s="3">
        <v>3</v>
      </c>
      <c r="E99" s="3" t="s">
        <v>889</v>
      </c>
      <c r="F99" s="3" t="s">
        <v>909</v>
      </c>
      <c r="G99" s="3" t="s">
        <v>891</v>
      </c>
      <c r="I99">
        <v>68</v>
      </c>
      <c r="J99">
        <v>-21</v>
      </c>
      <c r="K99">
        <v>11</v>
      </c>
    </row>
    <row r="100" spans="1:11" x14ac:dyDescent="0.25">
      <c r="A100" s="3" t="s">
        <v>126</v>
      </c>
      <c r="B100" s="3">
        <v>24</v>
      </c>
      <c r="C100" s="3">
        <v>-1</v>
      </c>
      <c r="D100" s="3">
        <v>2</v>
      </c>
      <c r="E100" s="3" t="s">
        <v>899</v>
      </c>
      <c r="F100" s="3" t="s">
        <v>903</v>
      </c>
      <c r="G100" s="3" t="s">
        <v>891</v>
      </c>
      <c r="I100">
        <v>251</v>
      </c>
      <c r="J100">
        <v>17</v>
      </c>
      <c r="K100">
        <v>3</v>
      </c>
    </row>
    <row r="101" spans="1:11" x14ac:dyDescent="0.25">
      <c r="A101" s="3" t="s">
        <v>267</v>
      </c>
      <c r="B101" s="3">
        <v>774</v>
      </c>
      <c r="C101" s="3">
        <v>170</v>
      </c>
      <c r="D101" s="3">
        <v>3</v>
      </c>
      <c r="E101" s="3" t="s">
        <v>889</v>
      </c>
      <c r="F101" s="3" t="s">
        <v>909</v>
      </c>
      <c r="G101" s="3" t="s">
        <v>891</v>
      </c>
      <c r="I101">
        <v>-77</v>
      </c>
      <c r="J101">
        <v>-14</v>
      </c>
      <c r="K101">
        <v>50</v>
      </c>
    </row>
    <row r="102" spans="1:11" x14ac:dyDescent="0.25">
      <c r="A102" s="3" t="s">
        <v>230</v>
      </c>
      <c r="B102" s="3">
        <v>93</v>
      </c>
      <c r="C102" s="3">
        <v>-1</v>
      </c>
      <c r="D102" s="3">
        <v>2</v>
      </c>
      <c r="E102" s="3" t="s">
        <v>899</v>
      </c>
      <c r="F102" s="3" t="s">
        <v>903</v>
      </c>
      <c r="G102" s="3" t="s">
        <v>891</v>
      </c>
      <c r="I102">
        <v>-28</v>
      </c>
      <c r="J102">
        <v>19</v>
      </c>
      <c r="K102">
        <v>11</v>
      </c>
    </row>
    <row r="103" spans="1:11" x14ac:dyDescent="0.25">
      <c r="A103" s="3" t="s">
        <v>279</v>
      </c>
      <c r="B103" s="3">
        <v>765</v>
      </c>
      <c r="C103" s="3">
        <v>-36</v>
      </c>
      <c r="D103" s="3">
        <v>3</v>
      </c>
      <c r="E103" s="3" t="s">
        <v>889</v>
      </c>
      <c r="F103" s="3" t="s">
        <v>890</v>
      </c>
      <c r="G103" s="3" t="s">
        <v>891</v>
      </c>
      <c r="I103">
        <v>-30</v>
      </c>
      <c r="J103">
        <v>32</v>
      </c>
      <c r="K103">
        <v>11</v>
      </c>
    </row>
    <row r="104" spans="1:11" x14ac:dyDescent="0.25">
      <c r="A104" s="3" t="s">
        <v>281</v>
      </c>
      <c r="B104" s="3">
        <v>762</v>
      </c>
      <c r="C104" s="3">
        <v>101</v>
      </c>
      <c r="D104" s="3">
        <v>6</v>
      </c>
      <c r="E104" s="3" t="s">
        <v>889</v>
      </c>
      <c r="F104" s="3" t="s">
        <v>896</v>
      </c>
      <c r="G104" s="3" t="s">
        <v>891</v>
      </c>
      <c r="I104">
        <v>-10</v>
      </c>
      <c r="J104">
        <v>-58</v>
      </c>
      <c r="K104">
        <v>11</v>
      </c>
    </row>
    <row r="105" spans="1:11" x14ac:dyDescent="0.25">
      <c r="A105" s="3" t="s">
        <v>132</v>
      </c>
      <c r="B105" s="3">
        <v>761</v>
      </c>
      <c r="C105" s="3">
        <v>266</v>
      </c>
      <c r="D105" s="3">
        <v>9</v>
      </c>
      <c r="E105" s="3" t="s">
        <v>889</v>
      </c>
      <c r="F105" s="3" t="s">
        <v>890</v>
      </c>
      <c r="G105" s="3" t="s">
        <v>891</v>
      </c>
      <c r="I105">
        <v>39</v>
      </c>
      <c r="J105">
        <v>-48</v>
      </c>
      <c r="K105">
        <v>50</v>
      </c>
    </row>
    <row r="106" spans="1:11" x14ac:dyDescent="0.25">
      <c r="A106" s="3" t="s">
        <v>392</v>
      </c>
      <c r="B106" s="3">
        <v>96</v>
      </c>
      <c r="C106" s="3">
        <v>-48</v>
      </c>
      <c r="D106" s="3">
        <v>5</v>
      </c>
      <c r="E106" s="3" t="s">
        <v>899</v>
      </c>
      <c r="F106" s="3" t="s">
        <v>908</v>
      </c>
      <c r="G106" s="3" t="s">
        <v>902</v>
      </c>
      <c r="I106">
        <v>102</v>
      </c>
      <c r="J106">
        <v>-34</v>
      </c>
      <c r="K106">
        <v>11</v>
      </c>
    </row>
    <row r="107" spans="1:11" x14ac:dyDescent="0.25">
      <c r="A107" s="3" t="s">
        <v>187</v>
      </c>
      <c r="B107" s="3">
        <v>1137</v>
      </c>
      <c r="C107" s="3">
        <v>-14</v>
      </c>
      <c r="D107" s="3">
        <v>7</v>
      </c>
      <c r="E107" s="3" t="s">
        <v>889</v>
      </c>
      <c r="F107" s="3" t="s">
        <v>896</v>
      </c>
      <c r="G107" s="3" t="s">
        <v>894</v>
      </c>
      <c r="I107">
        <v>-41</v>
      </c>
      <c r="J107">
        <v>42</v>
      </c>
      <c r="K107">
        <v>11</v>
      </c>
    </row>
    <row r="108" spans="1:11" x14ac:dyDescent="0.25">
      <c r="A108" s="3" t="s">
        <v>183</v>
      </c>
      <c r="B108" s="3">
        <v>18</v>
      </c>
      <c r="C108" s="3">
        <v>8</v>
      </c>
      <c r="D108" s="3">
        <v>2</v>
      </c>
      <c r="E108" s="3" t="s">
        <v>899</v>
      </c>
      <c r="F108" s="3" t="s">
        <v>903</v>
      </c>
      <c r="G108" s="3" t="s">
        <v>911</v>
      </c>
      <c r="I108">
        <v>40</v>
      </c>
      <c r="J108">
        <v>-56</v>
      </c>
      <c r="K108">
        <v>-41</v>
      </c>
    </row>
    <row r="109" spans="1:11" x14ac:dyDescent="0.25">
      <c r="A109" s="3" t="s">
        <v>228</v>
      </c>
      <c r="B109" s="3">
        <v>749</v>
      </c>
      <c r="C109" s="3">
        <v>-307</v>
      </c>
      <c r="D109" s="3">
        <v>7</v>
      </c>
      <c r="E109" s="3" t="s">
        <v>892</v>
      </c>
      <c r="F109" s="3" t="s">
        <v>912</v>
      </c>
      <c r="G109" s="3" t="s">
        <v>891</v>
      </c>
      <c r="I109">
        <v>74</v>
      </c>
      <c r="J109">
        <v>-79</v>
      </c>
      <c r="K109">
        <v>2</v>
      </c>
    </row>
    <row r="110" spans="1:11" x14ac:dyDescent="0.25">
      <c r="A110" s="3" t="s">
        <v>187</v>
      </c>
      <c r="B110" s="3">
        <v>1120</v>
      </c>
      <c r="C110" s="3">
        <v>199</v>
      </c>
      <c r="D110" s="3">
        <v>6</v>
      </c>
      <c r="E110" s="3" t="s">
        <v>899</v>
      </c>
      <c r="F110" s="3" t="s">
        <v>901</v>
      </c>
      <c r="G110" s="3" t="s">
        <v>894</v>
      </c>
      <c r="I110">
        <v>109</v>
      </c>
      <c r="J110">
        <v>-154</v>
      </c>
      <c r="K110">
        <v>11</v>
      </c>
    </row>
    <row r="111" spans="1:11" x14ac:dyDescent="0.25">
      <c r="A111" s="3" t="s">
        <v>177</v>
      </c>
      <c r="B111" s="3">
        <v>744</v>
      </c>
      <c r="C111" s="3">
        <v>119</v>
      </c>
      <c r="D111" s="3">
        <v>6</v>
      </c>
      <c r="E111" s="3" t="s">
        <v>889</v>
      </c>
      <c r="F111" s="3" t="s">
        <v>896</v>
      </c>
      <c r="G111" s="3" t="s">
        <v>891</v>
      </c>
      <c r="I111">
        <v>-83</v>
      </c>
      <c r="J111">
        <v>29</v>
      </c>
      <c r="K111">
        <v>161</v>
      </c>
    </row>
    <row r="112" spans="1:11" x14ac:dyDescent="0.25">
      <c r="A112" s="3" t="s">
        <v>221</v>
      </c>
      <c r="B112" s="3">
        <v>14</v>
      </c>
      <c r="C112" s="3">
        <v>0</v>
      </c>
      <c r="D112" s="3">
        <v>4</v>
      </c>
      <c r="E112" s="3" t="s">
        <v>899</v>
      </c>
      <c r="F112" s="3" t="s">
        <v>903</v>
      </c>
      <c r="G112" s="3" t="s">
        <v>902</v>
      </c>
      <c r="I112">
        <v>62</v>
      </c>
      <c r="J112">
        <v>30</v>
      </c>
      <c r="K112">
        <v>8</v>
      </c>
    </row>
    <row r="113" spans="1:11" x14ac:dyDescent="0.25">
      <c r="A113" s="3" t="s">
        <v>413</v>
      </c>
      <c r="B113" s="3">
        <v>19</v>
      </c>
      <c r="C113" s="3">
        <v>8</v>
      </c>
      <c r="D113" s="3">
        <v>2</v>
      </c>
      <c r="E113" s="3" t="s">
        <v>899</v>
      </c>
      <c r="F113" s="3" t="s">
        <v>903</v>
      </c>
      <c r="G113" s="3" t="s">
        <v>911</v>
      </c>
      <c r="I113">
        <v>-63</v>
      </c>
      <c r="J113">
        <v>-11</v>
      </c>
      <c r="K113">
        <v>4</v>
      </c>
    </row>
    <row r="114" spans="1:11" x14ac:dyDescent="0.25">
      <c r="A114" s="3" t="s">
        <v>226</v>
      </c>
      <c r="B114" s="3">
        <v>512</v>
      </c>
      <c r="C114" s="3">
        <v>-225</v>
      </c>
      <c r="D114" s="3">
        <v>5</v>
      </c>
      <c r="E114" s="3" t="s">
        <v>899</v>
      </c>
      <c r="F114" s="3" t="s">
        <v>901</v>
      </c>
      <c r="G114" s="3" t="s">
        <v>891</v>
      </c>
      <c r="I114">
        <v>-21</v>
      </c>
      <c r="J114">
        <v>59</v>
      </c>
      <c r="K114">
        <v>48</v>
      </c>
    </row>
    <row r="115" spans="1:11" x14ac:dyDescent="0.25">
      <c r="A115" s="3" t="s">
        <v>288</v>
      </c>
      <c r="B115" s="3">
        <v>742</v>
      </c>
      <c r="C115" s="3">
        <v>198</v>
      </c>
      <c r="D115" s="3">
        <v>2</v>
      </c>
      <c r="E115" s="3" t="s">
        <v>892</v>
      </c>
      <c r="F115" s="3" t="s">
        <v>895</v>
      </c>
      <c r="G115" s="3" t="s">
        <v>891</v>
      </c>
      <c r="I115">
        <v>-86</v>
      </c>
      <c r="J115">
        <v>1</v>
      </c>
      <c r="K115">
        <v>-45</v>
      </c>
    </row>
    <row r="116" spans="1:11" x14ac:dyDescent="0.25">
      <c r="A116" s="3" t="s">
        <v>802</v>
      </c>
      <c r="B116" s="3">
        <v>44</v>
      </c>
      <c r="C116" s="3">
        <v>-40</v>
      </c>
      <c r="D116" s="3">
        <v>3</v>
      </c>
      <c r="E116" s="3" t="s">
        <v>899</v>
      </c>
      <c r="F116" s="3" t="s">
        <v>907</v>
      </c>
      <c r="G116" s="3" t="s">
        <v>891</v>
      </c>
      <c r="I116">
        <v>6</v>
      </c>
      <c r="J116">
        <v>-103</v>
      </c>
      <c r="K116">
        <v>-25</v>
      </c>
    </row>
    <row r="117" spans="1:11" x14ac:dyDescent="0.25">
      <c r="A117" s="3" t="s">
        <v>206</v>
      </c>
      <c r="B117" s="3">
        <v>1061</v>
      </c>
      <c r="C117" s="3">
        <v>-36</v>
      </c>
      <c r="D117" s="3">
        <v>8</v>
      </c>
      <c r="E117" s="3" t="s">
        <v>892</v>
      </c>
      <c r="F117" s="3" t="s">
        <v>895</v>
      </c>
      <c r="G117" s="3" t="s">
        <v>894</v>
      </c>
      <c r="I117">
        <v>-16</v>
      </c>
      <c r="J117">
        <v>-140</v>
      </c>
      <c r="K117">
        <v>12</v>
      </c>
    </row>
    <row r="118" spans="1:11" x14ac:dyDescent="0.25">
      <c r="A118" s="3" t="s">
        <v>862</v>
      </c>
      <c r="B118" s="3">
        <v>19</v>
      </c>
      <c r="C118" s="3">
        <v>-2</v>
      </c>
      <c r="D118" s="3">
        <v>2</v>
      </c>
      <c r="E118" s="3" t="s">
        <v>899</v>
      </c>
      <c r="F118" s="3" t="s">
        <v>908</v>
      </c>
      <c r="G118" s="3" t="s">
        <v>911</v>
      </c>
      <c r="I118">
        <v>-7</v>
      </c>
      <c r="J118">
        <v>41</v>
      </c>
      <c r="K118">
        <v>1</v>
      </c>
    </row>
    <row r="119" spans="1:11" x14ac:dyDescent="0.25">
      <c r="A119" s="3" t="s">
        <v>670</v>
      </c>
      <c r="B119" s="3">
        <v>17</v>
      </c>
      <c r="C119" s="3">
        <v>0</v>
      </c>
      <c r="D119" s="3">
        <v>1</v>
      </c>
      <c r="E119" s="3" t="s">
        <v>899</v>
      </c>
      <c r="F119" s="3" t="s">
        <v>903</v>
      </c>
      <c r="G119" s="3" t="s">
        <v>891</v>
      </c>
      <c r="I119">
        <v>-117</v>
      </c>
      <c r="J119">
        <v>35</v>
      </c>
      <c r="K119">
        <v>2</v>
      </c>
    </row>
    <row r="120" spans="1:11" x14ac:dyDescent="0.25">
      <c r="A120" s="3" t="s">
        <v>290</v>
      </c>
      <c r="B120" s="3">
        <v>741</v>
      </c>
      <c r="C120" s="3">
        <v>267</v>
      </c>
      <c r="D120" s="3">
        <v>5</v>
      </c>
      <c r="E120" s="3" t="s">
        <v>892</v>
      </c>
      <c r="F120" s="3" t="s">
        <v>895</v>
      </c>
      <c r="G120" s="3" t="s">
        <v>891</v>
      </c>
      <c r="I120">
        <v>37</v>
      </c>
      <c r="J120">
        <v>40</v>
      </c>
      <c r="K120">
        <v>8</v>
      </c>
    </row>
    <row r="121" spans="1:11" x14ac:dyDescent="0.25">
      <c r="A121" s="3" t="s">
        <v>132</v>
      </c>
      <c r="B121" s="3">
        <v>735</v>
      </c>
      <c r="C121" s="3">
        <v>-235</v>
      </c>
      <c r="D121" s="3">
        <v>6</v>
      </c>
      <c r="E121" s="3" t="s">
        <v>889</v>
      </c>
      <c r="F121" s="3" t="s">
        <v>896</v>
      </c>
      <c r="G121" s="3" t="s">
        <v>891</v>
      </c>
      <c r="I121">
        <v>99</v>
      </c>
      <c r="J121">
        <v>50</v>
      </c>
      <c r="K121">
        <v>13</v>
      </c>
    </row>
    <row r="122" spans="1:11" x14ac:dyDescent="0.25">
      <c r="A122" s="3" t="s">
        <v>369</v>
      </c>
      <c r="B122" s="3">
        <v>19</v>
      </c>
      <c r="C122" s="3">
        <v>-1</v>
      </c>
      <c r="D122" s="3">
        <v>1</v>
      </c>
      <c r="E122" s="3" t="s">
        <v>899</v>
      </c>
      <c r="F122" s="3" t="s">
        <v>913</v>
      </c>
      <c r="G122" s="3" t="s">
        <v>911</v>
      </c>
      <c r="I122">
        <v>-70</v>
      </c>
      <c r="J122">
        <v>-6</v>
      </c>
      <c r="K122">
        <v>412</v>
      </c>
    </row>
    <row r="123" spans="1:11" x14ac:dyDescent="0.25">
      <c r="A123" s="3" t="s">
        <v>213</v>
      </c>
      <c r="B123" s="3">
        <v>1021</v>
      </c>
      <c r="C123" s="3">
        <v>-48</v>
      </c>
      <c r="D123" s="3">
        <v>4</v>
      </c>
      <c r="E123" s="3" t="s">
        <v>889</v>
      </c>
      <c r="F123" s="3" t="s">
        <v>890</v>
      </c>
      <c r="G123" s="3" t="s">
        <v>894</v>
      </c>
      <c r="I123">
        <v>2</v>
      </c>
      <c r="J123">
        <v>2</v>
      </c>
      <c r="K123">
        <v>-5</v>
      </c>
    </row>
    <row r="124" spans="1:11" x14ac:dyDescent="0.25">
      <c r="A124" s="3" t="s">
        <v>364</v>
      </c>
      <c r="B124" s="3">
        <v>556</v>
      </c>
      <c r="C124" s="3">
        <v>-209</v>
      </c>
      <c r="D124" s="3">
        <v>7</v>
      </c>
      <c r="E124" s="3" t="s">
        <v>899</v>
      </c>
      <c r="F124" s="3" t="s">
        <v>901</v>
      </c>
      <c r="G124" s="3" t="s">
        <v>891</v>
      </c>
      <c r="I124">
        <v>-59</v>
      </c>
      <c r="J124">
        <v>-6</v>
      </c>
      <c r="K124">
        <v>-124</v>
      </c>
    </row>
    <row r="125" spans="1:11" x14ac:dyDescent="0.25">
      <c r="A125" s="3" t="s">
        <v>550</v>
      </c>
      <c r="B125" s="3">
        <v>63</v>
      </c>
      <c r="C125" s="3">
        <v>-17</v>
      </c>
      <c r="D125" s="3">
        <v>6</v>
      </c>
      <c r="E125" s="3" t="s">
        <v>899</v>
      </c>
      <c r="F125" s="3" t="s">
        <v>908</v>
      </c>
      <c r="G125" s="3" t="s">
        <v>891</v>
      </c>
      <c r="I125">
        <v>63</v>
      </c>
      <c r="J125">
        <v>12</v>
      </c>
      <c r="K125">
        <v>1</v>
      </c>
    </row>
    <row r="126" spans="1:11" x14ac:dyDescent="0.25">
      <c r="A126" s="3" t="s">
        <v>294</v>
      </c>
      <c r="B126" s="3">
        <v>734</v>
      </c>
      <c r="C126" s="3">
        <v>248</v>
      </c>
      <c r="D126" s="3">
        <v>2</v>
      </c>
      <c r="E126" s="3" t="s">
        <v>892</v>
      </c>
      <c r="F126" s="3" t="s">
        <v>893</v>
      </c>
      <c r="G126" s="3" t="s">
        <v>891</v>
      </c>
      <c r="I126">
        <v>-21</v>
      </c>
      <c r="J126">
        <v>-6</v>
      </c>
      <c r="K126">
        <v>86</v>
      </c>
    </row>
    <row r="127" spans="1:11" x14ac:dyDescent="0.25">
      <c r="A127" s="3" t="s">
        <v>116</v>
      </c>
      <c r="B127" s="3">
        <v>933</v>
      </c>
      <c r="C127" s="3">
        <v>166</v>
      </c>
      <c r="D127" s="3">
        <v>5</v>
      </c>
      <c r="E127" s="3" t="s">
        <v>899</v>
      </c>
      <c r="F127" s="3" t="s">
        <v>901</v>
      </c>
      <c r="G127" s="3" t="s">
        <v>897</v>
      </c>
      <c r="I127">
        <v>-55</v>
      </c>
      <c r="J127">
        <v>2</v>
      </c>
      <c r="K127">
        <v>126</v>
      </c>
    </row>
    <row r="128" spans="1:11" x14ac:dyDescent="0.25">
      <c r="A128" s="3" t="s">
        <v>860</v>
      </c>
      <c r="B128" s="3">
        <v>20</v>
      </c>
      <c r="C128" s="3">
        <v>-9</v>
      </c>
      <c r="D128" s="3">
        <v>6</v>
      </c>
      <c r="E128" s="3" t="s">
        <v>899</v>
      </c>
      <c r="F128" s="3" t="s">
        <v>903</v>
      </c>
      <c r="G128" s="3" t="s">
        <v>911</v>
      </c>
      <c r="I128">
        <v>73</v>
      </c>
      <c r="J128">
        <v>9</v>
      </c>
      <c r="K128">
        <v>66</v>
      </c>
    </row>
    <row r="129" spans="1:11" x14ac:dyDescent="0.25">
      <c r="A129" s="3" t="s">
        <v>242</v>
      </c>
      <c r="B129" s="3">
        <v>877</v>
      </c>
      <c r="C129" s="3">
        <v>395</v>
      </c>
      <c r="D129" s="3">
        <v>2</v>
      </c>
      <c r="E129" s="3" t="s">
        <v>892</v>
      </c>
      <c r="F129" s="3" t="s">
        <v>895</v>
      </c>
      <c r="G129" s="3" t="s">
        <v>897</v>
      </c>
      <c r="I129">
        <v>12</v>
      </c>
      <c r="J129">
        <v>15</v>
      </c>
      <c r="K129">
        <v>2</v>
      </c>
    </row>
    <row r="130" spans="1:11" x14ac:dyDescent="0.25">
      <c r="A130" s="3" t="s">
        <v>290</v>
      </c>
      <c r="B130" s="3">
        <v>719</v>
      </c>
      <c r="C130" s="3">
        <v>303</v>
      </c>
      <c r="D130" s="3">
        <v>6</v>
      </c>
      <c r="E130" s="3" t="s">
        <v>892</v>
      </c>
      <c r="F130" s="3" t="s">
        <v>893</v>
      </c>
      <c r="G130" s="3" t="s">
        <v>891</v>
      </c>
      <c r="I130">
        <v>7</v>
      </c>
      <c r="J130">
        <v>11</v>
      </c>
      <c r="K130">
        <v>-56</v>
      </c>
    </row>
    <row r="131" spans="1:11" x14ac:dyDescent="0.25">
      <c r="A131" s="3" t="s">
        <v>136</v>
      </c>
      <c r="B131" s="3">
        <v>12</v>
      </c>
      <c r="C131" s="3">
        <v>1</v>
      </c>
      <c r="D131" s="3">
        <v>2</v>
      </c>
      <c r="E131" s="3" t="s">
        <v>899</v>
      </c>
      <c r="F131" s="3" t="s">
        <v>903</v>
      </c>
      <c r="G131" s="3" t="s">
        <v>891</v>
      </c>
      <c r="I131">
        <v>-54</v>
      </c>
      <c r="J131">
        <v>14</v>
      </c>
      <c r="K131">
        <v>14</v>
      </c>
    </row>
    <row r="132" spans="1:11" x14ac:dyDescent="0.25">
      <c r="A132" s="3" t="s">
        <v>300</v>
      </c>
      <c r="B132" s="3">
        <v>714</v>
      </c>
      <c r="C132" s="3">
        <v>56</v>
      </c>
      <c r="D132" s="3">
        <v>4</v>
      </c>
      <c r="E132" s="3" t="s">
        <v>899</v>
      </c>
      <c r="F132" s="3" t="s">
        <v>901</v>
      </c>
      <c r="G132" s="3" t="s">
        <v>891</v>
      </c>
      <c r="I132">
        <v>-15</v>
      </c>
      <c r="J132">
        <v>0</v>
      </c>
      <c r="K132">
        <v>111</v>
      </c>
    </row>
    <row r="133" spans="1:11" x14ac:dyDescent="0.25">
      <c r="A133" s="3" t="s">
        <v>797</v>
      </c>
      <c r="B133" s="3">
        <v>50</v>
      </c>
      <c r="C133" s="3">
        <v>-15</v>
      </c>
      <c r="D133" s="3">
        <v>4</v>
      </c>
      <c r="E133" s="3" t="s">
        <v>899</v>
      </c>
      <c r="F133" s="3" t="s">
        <v>908</v>
      </c>
      <c r="G133" s="3" t="s">
        <v>891</v>
      </c>
      <c r="I133">
        <v>46</v>
      </c>
      <c r="J133">
        <v>1</v>
      </c>
      <c r="K133">
        <v>-116</v>
      </c>
    </row>
    <row r="134" spans="1:11" x14ac:dyDescent="0.25">
      <c r="A134" s="3" t="s">
        <v>306</v>
      </c>
      <c r="B134" s="3">
        <v>709</v>
      </c>
      <c r="C134" s="3">
        <v>-100</v>
      </c>
      <c r="D134" s="3">
        <v>5</v>
      </c>
      <c r="E134" s="3" t="s">
        <v>889</v>
      </c>
      <c r="F134" s="3" t="s">
        <v>898</v>
      </c>
      <c r="G134" s="3" t="s">
        <v>891</v>
      </c>
      <c r="I134">
        <v>-40</v>
      </c>
      <c r="J134">
        <v>1</v>
      </c>
      <c r="K134">
        <v>212</v>
      </c>
    </row>
    <row r="135" spans="1:11" x14ac:dyDescent="0.25">
      <c r="A135" s="3" t="s">
        <v>677</v>
      </c>
      <c r="B135" s="3">
        <v>21</v>
      </c>
      <c r="C135" s="3">
        <v>-12</v>
      </c>
      <c r="D135" s="3">
        <v>3</v>
      </c>
      <c r="E135" s="3" t="s">
        <v>899</v>
      </c>
      <c r="F135" s="3" t="s">
        <v>903</v>
      </c>
      <c r="G135" s="3" t="s">
        <v>911</v>
      </c>
      <c r="I135">
        <v>-275</v>
      </c>
      <c r="J135">
        <v>54</v>
      </c>
      <c r="K135">
        <v>3</v>
      </c>
    </row>
    <row r="136" spans="1:11" x14ac:dyDescent="0.25">
      <c r="A136" s="3" t="s">
        <v>308</v>
      </c>
      <c r="B136" s="3">
        <v>693</v>
      </c>
      <c r="C136" s="3">
        <v>254</v>
      </c>
      <c r="D136" s="3">
        <v>6</v>
      </c>
      <c r="E136" s="3" t="s">
        <v>899</v>
      </c>
      <c r="F136" s="3" t="s">
        <v>901</v>
      </c>
      <c r="G136" s="3" t="s">
        <v>891</v>
      </c>
      <c r="I136">
        <v>-56</v>
      </c>
      <c r="J136">
        <v>-89</v>
      </c>
      <c r="K136">
        <v>-22</v>
      </c>
    </row>
    <row r="137" spans="1:11" x14ac:dyDescent="0.25">
      <c r="A137" s="3" t="s">
        <v>230</v>
      </c>
      <c r="B137" s="3">
        <v>24</v>
      </c>
      <c r="C137" s="3">
        <v>1</v>
      </c>
      <c r="D137" s="3">
        <v>4</v>
      </c>
      <c r="E137" s="3" t="s">
        <v>899</v>
      </c>
      <c r="F137" s="3" t="s">
        <v>903</v>
      </c>
      <c r="G137" s="3" t="s">
        <v>891</v>
      </c>
      <c r="I137">
        <v>-193</v>
      </c>
      <c r="J137">
        <v>8</v>
      </c>
      <c r="K137">
        <v>6</v>
      </c>
    </row>
    <row r="138" spans="1:11" x14ac:dyDescent="0.25">
      <c r="A138" s="3" t="s">
        <v>320</v>
      </c>
      <c r="B138" s="3">
        <v>24</v>
      </c>
      <c r="C138" s="3">
        <v>1</v>
      </c>
      <c r="D138" s="3">
        <v>2</v>
      </c>
      <c r="E138" s="3" t="s">
        <v>899</v>
      </c>
      <c r="F138" s="3" t="s">
        <v>903</v>
      </c>
      <c r="G138" s="3" t="s">
        <v>902</v>
      </c>
      <c r="I138">
        <v>30</v>
      </c>
      <c r="J138">
        <v>-81</v>
      </c>
      <c r="K138">
        <v>-16</v>
      </c>
    </row>
    <row r="139" spans="1:11" x14ac:dyDescent="0.25">
      <c r="A139" s="3" t="s">
        <v>246</v>
      </c>
      <c r="B139" s="3">
        <v>24</v>
      </c>
      <c r="C139" s="3">
        <v>1</v>
      </c>
      <c r="D139" s="3">
        <v>2</v>
      </c>
      <c r="E139" s="3" t="s">
        <v>899</v>
      </c>
      <c r="F139" s="3" t="s">
        <v>903</v>
      </c>
      <c r="G139" s="3" t="s">
        <v>891</v>
      </c>
      <c r="I139">
        <v>21</v>
      </c>
      <c r="J139">
        <v>10</v>
      </c>
      <c r="K139">
        <v>-5</v>
      </c>
    </row>
    <row r="140" spans="1:11" x14ac:dyDescent="0.25">
      <c r="A140" s="3" t="s">
        <v>856</v>
      </c>
      <c r="B140" s="3">
        <v>21</v>
      </c>
      <c r="C140" s="3">
        <v>10</v>
      </c>
      <c r="D140" s="3">
        <v>1</v>
      </c>
      <c r="E140" s="3" t="s">
        <v>899</v>
      </c>
      <c r="F140" s="3" t="s">
        <v>910</v>
      </c>
      <c r="G140" s="3" t="s">
        <v>911</v>
      </c>
      <c r="I140">
        <v>-21</v>
      </c>
      <c r="J140">
        <v>7</v>
      </c>
      <c r="K140">
        <v>68</v>
      </c>
    </row>
    <row r="141" spans="1:11" x14ac:dyDescent="0.25">
      <c r="A141" s="3" t="s">
        <v>311</v>
      </c>
      <c r="B141" s="3">
        <v>681</v>
      </c>
      <c r="C141" s="3">
        <v>259</v>
      </c>
      <c r="D141" s="3">
        <v>4</v>
      </c>
      <c r="E141" s="3" t="s">
        <v>892</v>
      </c>
      <c r="F141" s="3" t="s">
        <v>893</v>
      </c>
      <c r="G141" s="3" t="s">
        <v>891</v>
      </c>
      <c r="I141">
        <v>0</v>
      </c>
      <c r="J141">
        <v>-92</v>
      </c>
      <c r="K141">
        <v>13</v>
      </c>
    </row>
    <row r="142" spans="1:11" x14ac:dyDescent="0.25">
      <c r="A142" s="3" t="s">
        <v>168</v>
      </c>
      <c r="B142" s="3">
        <v>674</v>
      </c>
      <c r="C142" s="3">
        <v>-187</v>
      </c>
      <c r="D142" s="3">
        <v>2</v>
      </c>
      <c r="E142" s="3" t="s">
        <v>892</v>
      </c>
      <c r="F142" s="3" t="s">
        <v>906</v>
      </c>
      <c r="G142" s="3" t="s">
        <v>891</v>
      </c>
      <c r="I142">
        <v>-66</v>
      </c>
      <c r="J142">
        <v>-31</v>
      </c>
      <c r="K142">
        <v>-13</v>
      </c>
    </row>
    <row r="143" spans="1:11" x14ac:dyDescent="0.25">
      <c r="A143" s="3" t="s">
        <v>315</v>
      </c>
      <c r="B143" s="3">
        <v>671</v>
      </c>
      <c r="C143" s="3">
        <v>-309</v>
      </c>
      <c r="D143" s="3">
        <v>5</v>
      </c>
      <c r="E143" s="3" t="s">
        <v>889</v>
      </c>
      <c r="F143" s="3" t="s">
        <v>890</v>
      </c>
      <c r="G143" s="3" t="s">
        <v>891</v>
      </c>
      <c r="I143">
        <v>-6</v>
      </c>
      <c r="J143">
        <v>21</v>
      </c>
      <c r="K143">
        <v>144</v>
      </c>
    </row>
    <row r="144" spans="1:11" x14ac:dyDescent="0.25">
      <c r="A144" s="3" t="s">
        <v>323</v>
      </c>
      <c r="B144" s="3">
        <v>646</v>
      </c>
      <c r="C144" s="3">
        <v>-213</v>
      </c>
      <c r="D144" s="3">
        <v>3</v>
      </c>
      <c r="E144" s="3" t="s">
        <v>889</v>
      </c>
      <c r="F144" s="3" t="s">
        <v>890</v>
      </c>
      <c r="G144" s="3" t="s">
        <v>891</v>
      </c>
      <c r="I144">
        <v>47</v>
      </c>
      <c r="J144">
        <v>-104</v>
      </c>
      <c r="K144">
        <v>-29</v>
      </c>
    </row>
    <row r="145" spans="1:11" x14ac:dyDescent="0.25">
      <c r="A145" s="3" t="s">
        <v>817</v>
      </c>
      <c r="B145" s="3">
        <v>40</v>
      </c>
      <c r="C145" s="3">
        <v>15</v>
      </c>
      <c r="D145" s="3">
        <v>1</v>
      </c>
      <c r="E145" s="3" t="s">
        <v>899</v>
      </c>
      <c r="F145" s="3" t="s">
        <v>904</v>
      </c>
      <c r="G145" s="3" t="s">
        <v>891</v>
      </c>
      <c r="I145">
        <v>-111</v>
      </c>
      <c r="J145">
        <v>-14</v>
      </c>
      <c r="K145">
        <v>-100</v>
      </c>
    </row>
    <row r="146" spans="1:11" x14ac:dyDescent="0.25">
      <c r="A146" s="3" t="s">
        <v>446</v>
      </c>
      <c r="B146" s="3">
        <v>24</v>
      </c>
      <c r="C146" s="3">
        <v>-2</v>
      </c>
      <c r="D146" s="3">
        <v>2</v>
      </c>
      <c r="E146" s="3" t="s">
        <v>899</v>
      </c>
      <c r="F146" s="3" t="s">
        <v>910</v>
      </c>
      <c r="G146" s="3" t="s">
        <v>891</v>
      </c>
      <c r="I146">
        <v>27</v>
      </c>
      <c r="J146">
        <v>-85</v>
      </c>
      <c r="K146">
        <v>199</v>
      </c>
    </row>
    <row r="147" spans="1:11" x14ac:dyDescent="0.25">
      <c r="A147" s="3" t="s">
        <v>93</v>
      </c>
      <c r="B147" s="3">
        <v>644</v>
      </c>
      <c r="C147" s="3">
        <v>167</v>
      </c>
      <c r="D147" s="3">
        <v>2</v>
      </c>
      <c r="E147" s="3" t="s">
        <v>889</v>
      </c>
      <c r="F147" s="3" t="s">
        <v>896</v>
      </c>
      <c r="G147" s="3" t="s">
        <v>891</v>
      </c>
      <c r="I147">
        <v>22</v>
      </c>
      <c r="J147">
        <v>13</v>
      </c>
      <c r="K147">
        <v>-23</v>
      </c>
    </row>
    <row r="148" spans="1:11" x14ac:dyDescent="0.25">
      <c r="A148" s="3" t="s">
        <v>326</v>
      </c>
      <c r="B148" s="3">
        <v>643</v>
      </c>
      <c r="C148" s="3">
        <v>225</v>
      </c>
      <c r="D148" s="3">
        <v>2</v>
      </c>
      <c r="E148" s="3" t="s">
        <v>889</v>
      </c>
      <c r="F148" s="3" t="s">
        <v>896</v>
      </c>
      <c r="G148" s="3" t="s">
        <v>891</v>
      </c>
      <c r="I148">
        <v>0</v>
      </c>
      <c r="J148">
        <v>-86</v>
      </c>
      <c r="K148">
        <v>10</v>
      </c>
    </row>
    <row r="149" spans="1:11" x14ac:dyDescent="0.25">
      <c r="A149" s="3" t="s">
        <v>339</v>
      </c>
      <c r="B149" s="3">
        <v>632</v>
      </c>
      <c r="C149" s="3">
        <v>-316</v>
      </c>
      <c r="D149" s="3">
        <v>6</v>
      </c>
      <c r="E149" s="3" t="s">
        <v>899</v>
      </c>
      <c r="F149" s="3" t="s">
        <v>901</v>
      </c>
      <c r="G149" s="3" t="s">
        <v>891</v>
      </c>
      <c r="I149">
        <v>-19</v>
      </c>
      <c r="J149">
        <v>-101</v>
      </c>
      <c r="K149">
        <v>41</v>
      </c>
    </row>
    <row r="150" spans="1:11" x14ac:dyDescent="0.25">
      <c r="A150" s="3" t="s">
        <v>337</v>
      </c>
      <c r="B150" s="3">
        <v>632</v>
      </c>
      <c r="C150" s="3">
        <v>316</v>
      </c>
      <c r="D150" s="3">
        <v>6</v>
      </c>
      <c r="E150" s="3" t="s">
        <v>899</v>
      </c>
      <c r="F150" s="3" t="s">
        <v>901</v>
      </c>
      <c r="G150" s="3" t="s">
        <v>891</v>
      </c>
      <c r="I150">
        <v>-23</v>
      </c>
      <c r="J150">
        <v>-17</v>
      </c>
      <c r="K150">
        <v>4</v>
      </c>
    </row>
    <row r="151" spans="1:11" x14ac:dyDescent="0.25">
      <c r="A151" s="3" t="s">
        <v>9</v>
      </c>
      <c r="B151" s="3">
        <v>610</v>
      </c>
      <c r="C151" s="3">
        <v>208</v>
      </c>
      <c r="D151" s="3">
        <v>3</v>
      </c>
      <c r="E151" s="3" t="s">
        <v>889</v>
      </c>
      <c r="F151" s="3" t="s">
        <v>896</v>
      </c>
      <c r="G151" s="3" t="s">
        <v>891</v>
      </c>
      <c r="I151">
        <v>17</v>
      </c>
      <c r="J151">
        <v>56</v>
      </c>
      <c r="K151">
        <v>7</v>
      </c>
    </row>
    <row r="152" spans="1:11" x14ac:dyDescent="0.25">
      <c r="A152" s="3" t="s">
        <v>269</v>
      </c>
      <c r="B152" s="3">
        <v>78</v>
      </c>
      <c r="C152" s="3">
        <v>-28</v>
      </c>
      <c r="D152" s="3">
        <v>6</v>
      </c>
      <c r="E152" s="3" t="s">
        <v>899</v>
      </c>
      <c r="F152" s="3" t="s">
        <v>904</v>
      </c>
      <c r="G152" s="3" t="s">
        <v>902</v>
      </c>
      <c r="I152">
        <v>25</v>
      </c>
      <c r="J152">
        <v>20</v>
      </c>
      <c r="K152">
        <v>114</v>
      </c>
    </row>
    <row r="153" spans="1:11" x14ac:dyDescent="0.25">
      <c r="A153" s="3" t="s">
        <v>350</v>
      </c>
      <c r="B153" s="3">
        <v>595</v>
      </c>
      <c r="C153" s="3">
        <v>119</v>
      </c>
      <c r="D153" s="3">
        <v>4</v>
      </c>
      <c r="E153" s="3" t="s">
        <v>892</v>
      </c>
      <c r="F153" s="3" t="s">
        <v>895</v>
      </c>
      <c r="G153" s="3" t="s">
        <v>891</v>
      </c>
      <c r="I153">
        <v>15</v>
      </c>
      <c r="J153">
        <v>17</v>
      </c>
      <c r="K153">
        <v>6</v>
      </c>
    </row>
    <row r="154" spans="1:11" x14ac:dyDescent="0.25">
      <c r="A154" s="3" t="s">
        <v>349</v>
      </c>
      <c r="B154" s="3">
        <v>595</v>
      </c>
      <c r="C154" s="3">
        <v>292</v>
      </c>
      <c r="D154" s="3">
        <v>3</v>
      </c>
      <c r="E154" s="3" t="s">
        <v>899</v>
      </c>
      <c r="F154" s="3" t="s">
        <v>901</v>
      </c>
      <c r="G154" s="3" t="s">
        <v>891</v>
      </c>
      <c r="I154">
        <v>9</v>
      </c>
      <c r="J154">
        <v>21</v>
      </c>
      <c r="K154">
        <v>32</v>
      </c>
    </row>
    <row r="155" spans="1:11" x14ac:dyDescent="0.25">
      <c r="A155" s="3" t="s">
        <v>28</v>
      </c>
      <c r="B155" s="3">
        <v>852</v>
      </c>
      <c r="C155" s="3">
        <v>51</v>
      </c>
      <c r="D155" s="3">
        <v>5</v>
      </c>
      <c r="E155" s="3" t="s">
        <v>892</v>
      </c>
      <c r="F155" s="3" t="s">
        <v>895</v>
      </c>
      <c r="G155" s="3" t="s">
        <v>897</v>
      </c>
      <c r="I155">
        <v>8</v>
      </c>
      <c r="J155">
        <v>-63</v>
      </c>
      <c r="K155">
        <v>-12</v>
      </c>
    </row>
    <row r="156" spans="1:11" x14ac:dyDescent="0.25">
      <c r="A156" s="3" t="s">
        <v>352</v>
      </c>
      <c r="B156" s="3">
        <v>594</v>
      </c>
      <c r="C156" s="3">
        <v>89</v>
      </c>
      <c r="D156" s="3">
        <v>3</v>
      </c>
      <c r="E156" s="3" t="s">
        <v>892</v>
      </c>
      <c r="F156" s="3" t="s">
        <v>895</v>
      </c>
      <c r="G156" s="3" t="s">
        <v>891</v>
      </c>
      <c r="I156">
        <v>0</v>
      </c>
      <c r="J156">
        <v>-3</v>
      </c>
      <c r="K156">
        <v>36</v>
      </c>
    </row>
    <row r="157" spans="1:11" x14ac:dyDescent="0.25">
      <c r="A157" s="3" t="s">
        <v>263</v>
      </c>
      <c r="B157" s="3">
        <v>585</v>
      </c>
      <c r="C157" s="3">
        <v>175</v>
      </c>
      <c r="D157" s="3">
        <v>13</v>
      </c>
      <c r="E157" s="3" t="s">
        <v>899</v>
      </c>
      <c r="F157" s="3" t="s">
        <v>910</v>
      </c>
      <c r="G157" s="3" t="s">
        <v>891</v>
      </c>
      <c r="I157">
        <v>66</v>
      </c>
      <c r="J157">
        <v>-10</v>
      </c>
      <c r="K157">
        <v>5</v>
      </c>
    </row>
    <row r="158" spans="1:11" x14ac:dyDescent="0.25">
      <c r="A158" s="3" t="s">
        <v>353</v>
      </c>
      <c r="B158" s="3">
        <v>582</v>
      </c>
      <c r="C158" s="3">
        <v>262</v>
      </c>
      <c r="D158" s="3">
        <v>5</v>
      </c>
      <c r="E158" s="3" t="s">
        <v>892</v>
      </c>
      <c r="F158" s="3" t="s">
        <v>912</v>
      </c>
      <c r="G158" s="3" t="s">
        <v>891</v>
      </c>
      <c r="I158">
        <v>11</v>
      </c>
      <c r="J158">
        <v>60</v>
      </c>
      <c r="K158">
        <v>-5</v>
      </c>
    </row>
    <row r="159" spans="1:11" x14ac:dyDescent="0.25">
      <c r="A159" s="3" t="s">
        <v>252</v>
      </c>
      <c r="B159" s="3">
        <v>845</v>
      </c>
      <c r="C159" s="3">
        <v>84</v>
      </c>
      <c r="D159" s="3">
        <v>7</v>
      </c>
      <c r="E159" s="3" t="s">
        <v>899</v>
      </c>
      <c r="F159" s="3" t="s">
        <v>901</v>
      </c>
      <c r="G159" s="3" t="s">
        <v>897</v>
      </c>
      <c r="I159">
        <v>15</v>
      </c>
      <c r="J159">
        <v>-52</v>
      </c>
      <c r="K159">
        <v>26</v>
      </c>
    </row>
    <row r="160" spans="1:11" x14ac:dyDescent="0.25">
      <c r="A160" s="3" t="s">
        <v>144</v>
      </c>
      <c r="B160" s="3">
        <v>829</v>
      </c>
      <c r="C160" s="3">
        <v>19</v>
      </c>
      <c r="D160" s="3">
        <v>4</v>
      </c>
      <c r="E160" s="3" t="s">
        <v>889</v>
      </c>
      <c r="F160" s="3" t="s">
        <v>896</v>
      </c>
      <c r="G160" s="3" t="s">
        <v>897</v>
      </c>
      <c r="I160">
        <v>-42</v>
      </c>
      <c r="J160">
        <v>20</v>
      </c>
      <c r="K160">
        <v>0</v>
      </c>
    </row>
    <row r="161" spans="1:11" x14ac:dyDescent="0.25">
      <c r="A161" s="3" t="s">
        <v>34</v>
      </c>
      <c r="B161" s="3">
        <v>561</v>
      </c>
      <c r="C161" s="3">
        <v>212</v>
      </c>
      <c r="D161" s="3">
        <v>3</v>
      </c>
      <c r="E161" s="3" t="s">
        <v>899</v>
      </c>
      <c r="F161" s="3" t="s">
        <v>901</v>
      </c>
      <c r="G161" s="3" t="s">
        <v>891</v>
      </c>
      <c r="I161">
        <v>6</v>
      </c>
      <c r="J161">
        <v>7</v>
      </c>
      <c r="K161">
        <v>17</v>
      </c>
    </row>
    <row r="162" spans="1:11" x14ac:dyDescent="0.25">
      <c r="A162" s="3" t="s">
        <v>208</v>
      </c>
      <c r="B162" s="3">
        <v>771</v>
      </c>
      <c r="C162" s="3">
        <v>-424</v>
      </c>
      <c r="D162" s="3">
        <v>2</v>
      </c>
      <c r="E162" s="3" t="s">
        <v>889</v>
      </c>
      <c r="F162" s="3" t="s">
        <v>898</v>
      </c>
      <c r="G162" s="3" t="s">
        <v>897</v>
      </c>
      <c r="I162">
        <v>123</v>
      </c>
      <c r="J162">
        <v>26</v>
      </c>
      <c r="K162">
        <v>7</v>
      </c>
    </row>
    <row r="163" spans="1:11" x14ac:dyDescent="0.25">
      <c r="A163" s="3" t="s">
        <v>277</v>
      </c>
      <c r="B163" s="3">
        <v>765</v>
      </c>
      <c r="C163" s="3">
        <v>8</v>
      </c>
      <c r="D163" s="3">
        <v>6</v>
      </c>
      <c r="E163" s="3" t="s">
        <v>899</v>
      </c>
      <c r="F163" s="3" t="s">
        <v>901</v>
      </c>
      <c r="G163" s="3" t="s">
        <v>894</v>
      </c>
      <c r="I163">
        <v>122</v>
      </c>
      <c r="J163">
        <v>-33</v>
      </c>
      <c r="K163">
        <v>225</v>
      </c>
    </row>
    <row r="164" spans="1:11" x14ac:dyDescent="0.25">
      <c r="A164" s="3" t="s">
        <v>478</v>
      </c>
      <c r="B164" s="3">
        <v>31</v>
      </c>
      <c r="C164" s="3">
        <v>2</v>
      </c>
      <c r="D164" s="3">
        <v>2</v>
      </c>
      <c r="E164" s="3" t="s">
        <v>899</v>
      </c>
      <c r="F164" s="3" t="s">
        <v>903</v>
      </c>
      <c r="G164" s="3" t="s">
        <v>891</v>
      </c>
      <c r="I164">
        <v>-41</v>
      </c>
      <c r="J164">
        <v>73</v>
      </c>
      <c r="K164">
        <v>17</v>
      </c>
    </row>
    <row r="165" spans="1:11" x14ac:dyDescent="0.25">
      <c r="A165" s="3" t="s">
        <v>362</v>
      </c>
      <c r="B165" s="3">
        <v>557</v>
      </c>
      <c r="C165" s="3">
        <v>-111</v>
      </c>
      <c r="D165" s="3">
        <v>2</v>
      </c>
      <c r="E165" s="3" t="s">
        <v>889</v>
      </c>
      <c r="F165" s="3" t="s">
        <v>890</v>
      </c>
      <c r="G165" s="3" t="s">
        <v>891</v>
      </c>
      <c r="I165">
        <v>41</v>
      </c>
      <c r="J165">
        <v>-60</v>
      </c>
      <c r="K165">
        <v>119</v>
      </c>
    </row>
    <row r="166" spans="1:11" x14ac:dyDescent="0.25">
      <c r="A166" s="3" t="s">
        <v>277</v>
      </c>
      <c r="B166" s="3">
        <v>757</v>
      </c>
      <c r="C166" s="3">
        <v>371</v>
      </c>
      <c r="D166" s="3">
        <v>2</v>
      </c>
      <c r="E166" s="3" t="s">
        <v>889</v>
      </c>
      <c r="F166" s="3" t="s">
        <v>896</v>
      </c>
      <c r="G166" s="3" t="s">
        <v>897</v>
      </c>
      <c r="I166">
        <v>-13</v>
      </c>
      <c r="J166">
        <v>-145</v>
      </c>
      <c r="K166">
        <v>-66</v>
      </c>
    </row>
    <row r="167" spans="1:11" x14ac:dyDescent="0.25">
      <c r="A167" s="3" t="s">
        <v>366</v>
      </c>
      <c r="B167" s="3">
        <v>545</v>
      </c>
      <c r="C167" s="3">
        <v>-73</v>
      </c>
      <c r="D167" s="3">
        <v>11</v>
      </c>
      <c r="E167" s="3" t="s">
        <v>889</v>
      </c>
      <c r="F167" s="3" t="s">
        <v>898</v>
      </c>
      <c r="G167" s="3" t="s">
        <v>891</v>
      </c>
      <c r="I167">
        <v>-42</v>
      </c>
      <c r="J167">
        <v>32</v>
      </c>
      <c r="K167">
        <v>5</v>
      </c>
    </row>
    <row r="168" spans="1:11" x14ac:dyDescent="0.25">
      <c r="A168" s="3" t="s">
        <v>210</v>
      </c>
      <c r="B168" s="3">
        <v>1052</v>
      </c>
      <c r="C168" s="3">
        <v>-82</v>
      </c>
      <c r="D168" s="3">
        <v>3</v>
      </c>
      <c r="E168" s="3" t="s">
        <v>892</v>
      </c>
      <c r="F168" s="3" t="s">
        <v>895</v>
      </c>
      <c r="G168" s="3" t="s">
        <v>902</v>
      </c>
      <c r="I168">
        <v>-63</v>
      </c>
      <c r="J168">
        <v>38</v>
      </c>
      <c r="K168">
        <v>2</v>
      </c>
    </row>
    <row r="169" spans="1:11" x14ac:dyDescent="0.25">
      <c r="A169" s="3" t="s">
        <v>367</v>
      </c>
      <c r="B169" s="3">
        <v>544</v>
      </c>
      <c r="C169" s="3">
        <v>-152</v>
      </c>
      <c r="D169" s="3">
        <v>3</v>
      </c>
      <c r="E169" s="3" t="s">
        <v>892</v>
      </c>
      <c r="F169" s="3" t="s">
        <v>895</v>
      </c>
      <c r="G169" s="3" t="s">
        <v>891</v>
      </c>
      <c r="I169">
        <v>7</v>
      </c>
      <c r="J169">
        <v>-81</v>
      </c>
      <c r="K169">
        <v>-26</v>
      </c>
    </row>
    <row r="170" spans="1:11" x14ac:dyDescent="0.25">
      <c r="A170" s="3" t="s">
        <v>250</v>
      </c>
      <c r="B170" s="3">
        <v>22</v>
      </c>
      <c r="C170" s="3">
        <v>9</v>
      </c>
      <c r="D170" s="3">
        <v>2</v>
      </c>
      <c r="E170" s="3" t="s">
        <v>899</v>
      </c>
      <c r="F170" s="3" t="s">
        <v>908</v>
      </c>
      <c r="G170" s="3" t="s">
        <v>911</v>
      </c>
      <c r="I170">
        <v>-7</v>
      </c>
      <c r="J170">
        <v>-30</v>
      </c>
      <c r="K170">
        <v>16</v>
      </c>
    </row>
    <row r="171" spans="1:11" x14ac:dyDescent="0.25">
      <c r="A171" s="3" t="s">
        <v>282</v>
      </c>
      <c r="B171" s="3">
        <v>757</v>
      </c>
      <c r="C171" s="3">
        <v>371</v>
      </c>
      <c r="D171" s="3">
        <v>2</v>
      </c>
      <c r="E171" s="3" t="s">
        <v>889</v>
      </c>
      <c r="F171" s="3" t="s">
        <v>896</v>
      </c>
      <c r="G171" s="3" t="s">
        <v>897</v>
      </c>
      <c r="I171">
        <v>-7</v>
      </c>
      <c r="J171">
        <v>71</v>
      </c>
      <c r="K171">
        <v>19</v>
      </c>
    </row>
    <row r="172" spans="1:11" x14ac:dyDescent="0.25">
      <c r="A172" s="3" t="s">
        <v>286</v>
      </c>
      <c r="B172" s="3">
        <v>742</v>
      </c>
      <c r="C172" s="3">
        <v>198</v>
      </c>
      <c r="D172" s="3">
        <v>2</v>
      </c>
      <c r="E172" s="3" t="s">
        <v>892</v>
      </c>
      <c r="F172" s="3" t="s">
        <v>895</v>
      </c>
      <c r="G172" s="3" t="s">
        <v>897</v>
      </c>
      <c r="I172">
        <v>-49</v>
      </c>
      <c r="J172">
        <v>10</v>
      </c>
      <c r="K172">
        <v>-63</v>
      </c>
    </row>
    <row r="173" spans="1:11" x14ac:dyDescent="0.25">
      <c r="A173" s="3" t="s">
        <v>371</v>
      </c>
      <c r="B173" s="3">
        <v>537</v>
      </c>
      <c r="C173" s="3">
        <v>107</v>
      </c>
      <c r="D173" s="3">
        <v>3</v>
      </c>
      <c r="E173" s="3" t="s">
        <v>899</v>
      </c>
      <c r="F173" s="3" t="s">
        <v>901</v>
      </c>
      <c r="G173" s="3" t="s">
        <v>891</v>
      </c>
      <c r="I173">
        <v>22</v>
      </c>
      <c r="J173">
        <v>91</v>
      </c>
      <c r="K173">
        <v>7</v>
      </c>
    </row>
    <row r="174" spans="1:11" x14ac:dyDescent="0.25">
      <c r="A174" s="3" t="s">
        <v>277</v>
      </c>
      <c r="B174" s="3">
        <v>536</v>
      </c>
      <c r="C174" s="3">
        <v>91</v>
      </c>
      <c r="D174" s="3">
        <v>1</v>
      </c>
      <c r="E174" s="3" t="s">
        <v>899</v>
      </c>
      <c r="F174" s="3" t="s">
        <v>900</v>
      </c>
      <c r="G174" s="3" t="s">
        <v>891</v>
      </c>
      <c r="I174">
        <v>-52</v>
      </c>
      <c r="J174">
        <v>33</v>
      </c>
      <c r="K174">
        <v>19</v>
      </c>
    </row>
    <row r="175" spans="1:11" x14ac:dyDescent="0.25">
      <c r="A175" s="3" t="s">
        <v>126</v>
      </c>
      <c r="B175" s="3">
        <v>6</v>
      </c>
      <c r="C175" s="3">
        <v>3</v>
      </c>
      <c r="D175" s="3">
        <v>1</v>
      </c>
      <c r="E175" s="3" t="s">
        <v>899</v>
      </c>
      <c r="F175" s="3" t="s">
        <v>903</v>
      </c>
      <c r="G175" s="3" t="s">
        <v>891</v>
      </c>
      <c r="I175">
        <v>-113</v>
      </c>
      <c r="J175">
        <v>-114</v>
      </c>
      <c r="K175">
        <v>30</v>
      </c>
    </row>
    <row r="176" spans="1:11" x14ac:dyDescent="0.25">
      <c r="A176" s="3" t="s">
        <v>87</v>
      </c>
      <c r="B176" s="3">
        <v>523</v>
      </c>
      <c r="C176" s="3">
        <v>204</v>
      </c>
      <c r="D176" s="3">
        <v>7</v>
      </c>
      <c r="E176" s="3" t="s">
        <v>899</v>
      </c>
      <c r="F176" s="3" t="s">
        <v>900</v>
      </c>
      <c r="G176" s="3" t="s">
        <v>891</v>
      </c>
      <c r="I176">
        <v>26</v>
      </c>
      <c r="J176">
        <v>-2</v>
      </c>
      <c r="K176">
        <v>0</v>
      </c>
    </row>
    <row r="177" spans="1:11" x14ac:dyDescent="0.25">
      <c r="A177" s="3" t="s">
        <v>845</v>
      </c>
      <c r="B177" s="3">
        <v>27</v>
      </c>
      <c r="C177" s="3">
        <v>9</v>
      </c>
      <c r="D177" s="3">
        <v>2</v>
      </c>
      <c r="E177" s="3" t="s">
        <v>899</v>
      </c>
      <c r="F177" s="3" t="s">
        <v>910</v>
      </c>
      <c r="G177" s="3" t="s">
        <v>902</v>
      </c>
      <c r="I177">
        <v>18</v>
      </c>
      <c r="J177">
        <v>39</v>
      </c>
      <c r="K177">
        <v>-43</v>
      </c>
    </row>
    <row r="178" spans="1:11" x14ac:dyDescent="0.25">
      <c r="A178" s="3" t="s">
        <v>381</v>
      </c>
      <c r="B178" s="3">
        <v>516</v>
      </c>
      <c r="C178" s="3">
        <v>392</v>
      </c>
      <c r="D178" s="3">
        <v>8</v>
      </c>
      <c r="E178" s="3" t="s">
        <v>892</v>
      </c>
      <c r="F178" s="3" t="s">
        <v>893</v>
      </c>
      <c r="G178" s="3" t="s">
        <v>891</v>
      </c>
      <c r="I178">
        <v>86</v>
      </c>
      <c r="J178">
        <v>-36</v>
      </c>
      <c r="K178">
        <v>29</v>
      </c>
    </row>
    <row r="179" spans="1:11" x14ac:dyDescent="0.25">
      <c r="A179" s="3" t="s">
        <v>385</v>
      </c>
      <c r="B179" s="3">
        <v>504</v>
      </c>
      <c r="C179" s="3">
        <v>116</v>
      </c>
      <c r="D179" s="3">
        <v>3</v>
      </c>
      <c r="E179" s="3" t="s">
        <v>892</v>
      </c>
      <c r="F179" s="3" t="s">
        <v>895</v>
      </c>
      <c r="G179" s="3" t="s">
        <v>891</v>
      </c>
      <c r="I179">
        <v>-10</v>
      </c>
      <c r="J179">
        <v>75</v>
      </c>
      <c r="K179">
        <v>-26</v>
      </c>
    </row>
    <row r="180" spans="1:11" x14ac:dyDescent="0.25">
      <c r="A180" s="3" t="s">
        <v>389</v>
      </c>
      <c r="B180" s="3">
        <v>502</v>
      </c>
      <c r="C180" s="3">
        <v>84</v>
      </c>
      <c r="D180" s="3">
        <v>4</v>
      </c>
      <c r="E180" s="3" t="s">
        <v>889</v>
      </c>
      <c r="F180" s="3" t="s">
        <v>898</v>
      </c>
      <c r="G180" s="3" t="s">
        <v>891</v>
      </c>
      <c r="I180">
        <v>73</v>
      </c>
      <c r="J180">
        <v>-280</v>
      </c>
      <c r="K180">
        <v>23</v>
      </c>
    </row>
    <row r="181" spans="1:11" x14ac:dyDescent="0.25">
      <c r="A181" s="3" t="s">
        <v>296</v>
      </c>
      <c r="B181" s="3">
        <v>734</v>
      </c>
      <c r="C181" s="3">
        <v>213</v>
      </c>
      <c r="D181" s="3">
        <v>6</v>
      </c>
      <c r="E181" s="3" t="s">
        <v>889</v>
      </c>
      <c r="F181" s="3" t="s">
        <v>890</v>
      </c>
      <c r="G181" s="3" t="s">
        <v>897</v>
      </c>
      <c r="I181">
        <v>-12</v>
      </c>
      <c r="J181">
        <v>-180</v>
      </c>
      <c r="K181">
        <v>27</v>
      </c>
    </row>
    <row r="182" spans="1:11" x14ac:dyDescent="0.25">
      <c r="A182" s="3" t="s">
        <v>162</v>
      </c>
      <c r="B182" s="3">
        <v>42</v>
      </c>
      <c r="C182" s="3">
        <v>12</v>
      </c>
      <c r="D182" s="3">
        <v>2</v>
      </c>
      <c r="E182" s="3" t="s">
        <v>899</v>
      </c>
      <c r="F182" s="3" t="s">
        <v>904</v>
      </c>
      <c r="G182" s="3" t="s">
        <v>891</v>
      </c>
      <c r="I182">
        <v>58</v>
      </c>
      <c r="J182">
        <v>44</v>
      </c>
      <c r="K182">
        <v>-32</v>
      </c>
    </row>
    <row r="183" spans="1:11" x14ac:dyDescent="0.25">
      <c r="A183" s="3" t="s">
        <v>36</v>
      </c>
      <c r="B183" s="3">
        <v>29</v>
      </c>
      <c r="C183" s="3">
        <v>11</v>
      </c>
      <c r="D183" s="3">
        <v>4</v>
      </c>
      <c r="E183" s="3" t="s">
        <v>899</v>
      </c>
      <c r="F183" s="3" t="s">
        <v>905</v>
      </c>
      <c r="G183" s="3" t="s">
        <v>891</v>
      </c>
      <c r="I183">
        <v>56</v>
      </c>
      <c r="J183">
        <v>-13</v>
      </c>
      <c r="K183">
        <v>3</v>
      </c>
    </row>
    <row r="184" spans="1:11" x14ac:dyDescent="0.25">
      <c r="A184" s="3" t="s">
        <v>538</v>
      </c>
      <c r="B184" s="3">
        <v>240</v>
      </c>
      <c r="C184" s="3">
        <v>12</v>
      </c>
      <c r="D184" s="3">
        <v>6</v>
      </c>
      <c r="E184" s="3" t="s">
        <v>899</v>
      </c>
      <c r="F184" s="3" t="s">
        <v>904</v>
      </c>
      <c r="G184" s="3" t="s">
        <v>902</v>
      </c>
      <c r="I184">
        <v>84</v>
      </c>
      <c r="J184">
        <v>-154</v>
      </c>
      <c r="K184">
        <v>76</v>
      </c>
    </row>
    <row r="185" spans="1:11" x14ac:dyDescent="0.25">
      <c r="A185" s="3" t="s">
        <v>302</v>
      </c>
      <c r="B185" s="3">
        <v>496</v>
      </c>
      <c r="C185" s="3">
        <v>-79</v>
      </c>
      <c r="D185" s="3">
        <v>2</v>
      </c>
      <c r="E185" s="3" t="s">
        <v>899</v>
      </c>
      <c r="F185" s="3" t="s">
        <v>900</v>
      </c>
      <c r="G185" s="3" t="s">
        <v>891</v>
      </c>
      <c r="I185">
        <v>31</v>
      </c>
      <c r="J185">
        <v>-22</v>
      </c>
      <c r="K185">
        <v>14</v>
      </c>
    </row>
    <row r="186" spans="1:11" x14ac:dyDescent="0.25">
      <c r="A186" s="3" t="s">
        <v>399</v>
      </c>
      <c r="B186" s="3">
        <v>485</v>
      </c>
      <c r="C186" s="3">
        <v>29</v>
      </c>
      <c r="D186" s="3">
        <v>4</v>
      </c>
      <c r="E186" s="3" t="s">
        <v>889</v>
      </c>
      <c r="F186" s="3" t="s">
        <v>890</v>
      </c>
      <c r="G186" s="3" t="s">
        <v>891</v>
      </c>
      <c r="I186">
        <v>35</v>
      </c>
      <c r="J186">
        <v>7</v>
      </c>
      <c r="K186">
        <v>-2</v>
      </c>
    </row>
    <row r="187" spans="1:11" x14ac:dyDescent="0.25">
      <c r="A187" s="3" t="s">
        <v>509</v>
      </c>
      <c r="B187" s="3">
        <v>31</v>
      </c>
      <c r="C187" s="3">
        <v>-11</v>
      </c>
      <c r="D187" s="3">
        <v>3</v>
      </c>
      <c r="E187" s="3" t="s">
        <v>899</v>
      </c>
      <c r="F187" s="3" t="s">
        <v>905</v>
      </c>
      <c r="G187" s="3" t="s">
        <v>902</v>
      </c>
      <c r="I187">
        <v>102</v>
      </c>
      <c r="J187">
        <v>115</v>
      </c>
      <c r="K187">
        <v>-3</v>
      </c>
    </row>
    <row r="188" spans="1:11" x14ac:dyDescent="0.25">
      <c r="A188" s="3" t="s">
        <v>313</v>
      </c>
      <c r="B188" s="3">
        <v>676</v>
      </c>
      <c r="C188" s="3">
        <v>151</v>
      </c>
      <c r="D188" s="3">
        <v>3</v>
      </c>
      <c r="E188" s="3" t="s">
        <v>889</v>
      </c>
      <c r="F188" s="3" t="s">
        <v>896</v>
      </c>
      <c r="G188" s="3" t="s">
        <v>897</v>
      </c>
      <c r="I188">
        <v>33</v>
      </c>
      <c r="J188">
        <v>-17</v>
      </c>
      <c r="K188">
        <v>119</v>
      </c>
    </row>
    <row r="189" spans="1:11" x14ac:dyDescent="0.25">
      <c r="A189" s="3" t="s">
        <v>311</v>
      </c>
      <c r="B189" s="3">
        <v>23</v>
      </c>
      <c r="C189" s="3">
        <v>8</v>
      </c>
      <c r="D189" s="3">
        <v>2</v>
      </c>
      <c r="E189" s="3" t="s">
        <v>899</v>
      </c>
      <c r="F189" s="3" t="s">
        <v>903</v>
      </c>
      <c r="G189" s="3" t="s">
        <v>911</v>
      </c>
      <c r="I189">
        <v>-21</v>
      </c>
      <c r="J189">
        <v>127</v>
      </c>
      <c r="K189">
        <v>100</v>
      </c>
    </row>
    <row r="190" spans="1:11" x14ac:dyDescent="0.25">
      <c r="A190" s="3" t="s">
        <v>787</v>
      </c>
      <c r="B190" s="3">
        <v>13</v>
      </c>
      <c r="C190" s="3">
        <v>3</v>
      </c>
      <c r="D190" s="3">
        <v>2</v>
      </c>
      <c r="E190" s="3" t="s">
        <v>899</v>
      </c>
      <c r="F190" s="3" t="s">
        <v>903</v>
      </c>
      <c r="G190" s="3" t="s">
        <v>891</v>
      </c>
      <c r="I190">
        <v>105</v>
      </c>
      <c r="J190">
        <v>31</v>
      </c>
      <c r="K190">
        <v>25</v>
      </c>
    </row>
    <row r="191" spans="1:11" x14ac:dyDescent="0.25">
      <c r="A191" s="3" t="s">
        <v>495</v>
      </c>
      <c r="B191" s="3">
        <v>180</v>
      </c>
      <c r="C191" s="3">
        <v>0</v>
      </c>
      <c r="D191" s="3">
        <v>8</v>
      </c>
      <c r="E191" s="3" t="s">
        <v>899</v>
      </c>
      <c r="F191" s="3" t="s">
        <v>907</v>
      </c>
      <c r="G191" s="3" t="s">
        <v>891</v>
      </c>
      <c r="I191">
        <v>33</v>
      </c>
      <c r="J191">
        <v>-143</v>
      </c>
      <c r="K191">
        <v>98</v>
      </c>
    </row>
    <row r="192" spans="1:11" x14ac:dyDescent="0.25">
      <c r="A192" s="3" t="s">
        <v>5</v>
      </c>
      <c r="B192" s="3">
        <v>671</v>
      </c>
      <c r="C192" s="3">
        <v>114</v>
      </c>
      <c r="D192" s="3">
        <v>9</v>
      </c>
      <c r="E192" s="3" t="s">
        <v>889</v>
      </c>
      <c r="F192" s="3" t="s">
        <v>898</v>
      </c>
      <c r="G192" s="3" t="s">
        <v>897</v>
      </c>
      <c r="I192">
        <v>30</v>
      </c>
      <c r="J192">
        <v>59</v>
      </c>
      <c r="K192">
        <v>99</v>
      </c>
    </row>
    <row r="193" spans="1:11" x14ac:dyDescent="0.25">
      <c r="A193" s="3" t="s">
        <v>854</v>
      </c>
      <c r="B193" s="3">
        <v>22</v>
      </c>
      <c r="C193" s="3">
        <v>11</v>
      </c>
      <c r="D193" s="3">
        <v>3</v>
      </c>
      <c r="E193" s="3" t="s">
        <v>899</v>
      </c>
      <c r="F193" s="3" t="s">
        <v>904</v>
      </c>
      <c r="G193" s="3" t="s">
        <v>891</v>
      </c>
      <c r="I193">
        <v>-27</v>
      </c>
      <c r="J193">
        <v>-83</v>
      </c>
      <c r="K193">
        <v>-78</v>
      </c>
    </row>
    <row r="194" spans="1:11" x14ac:dyDescent="0.25">
      <c r="A194" s="3" t="s">
        <v>142</v>
      </c>
      <c r="B194" s="3">
        <v>668</v>
      </c>
      <c r="C194" s="3">
        <v>-31</v>
      </c>
      <c r="D194" s="3">
        <v>3</v>
      </c>
      <c r="E194" s="3" t="s">
        <v>889</v>
      </c>
      <c r="F194" s="3" t="s">
        <v>896</v>
      </c>
      <c r="G194" s="3" t="s">
        <v>897</v>
      </c>
      <c r="I194">
        <v>215</v>
      </c>
      <c r="J194">
        <v>146</v>
      </c>
      <c r="K194">
        <v>30</v>
      </c>
    </row>
    <row r="195" spans="1:11" x14ac:dyDescent="0.25">
      <c r="A195" s="3" t="s">
        <v>269</v>
      </c>
      <c r="B195" s="3">
        <v>145</v>
      </c>
      <c r="C195" s="3">
        <v>0</v>
      </c>
      <c r="D195" s="3">
        <v>3</v>
      </c>
      <c r="E195" s="3" t="s">
        <v>899</v>
      </c>
      <c r="F195" s="3" t="s">
        <v>901</v>
      </c>
      <c r="G195" s="3" t="s">
        <v>902</v>
      </c>
      <c r="I195">
        <v>37</v>
      </c>
      <c r="J195">
        <v>74</v>
      </c>
      <c r="K195">
        <v>0</v>
      </c>
    </row>
    <row r="196" spans="1:11" x14ac:dyDescent="0.25">
      <c r="A196" s="3" t="s">
        <v>185</v>
      </c>
      <c r="B196" s="3">
        <v>24</v>
      </c>
      <c r="C196" s="3">
        <v>8</v>
      </c>
      <c r="D196" s="3">
        <v>2</v>
      </c>
      <c r="E196" s="3" t="s">
        <v>899</v>
      </c>
      <c r="F196" s="3" t="s">
        <v>905</v>
      </c>
      <c r="G196" s="3" t="s">
        <v>911</v>
      </c>
      <c r="I196">
        <v>-49</v>
      </c>
      <c r="J196">
        <v>179</v>
      </c>
      <c r="K196">
        <v>1</v>
      </c>
    </row>
    <row r="197" spans="1:11" x14ac:dyDescent="0.25">
      <c r="A197" s="3" t="s">
        <v>128</v>
      </c>
      <c r="B197" s="3">
        <v>476</v>
      </c>
      <c r="C197" s="3">
        <v>0</v>
      </c>
      <c r="D197" s="3">
        <v>3</v>
      </c>
      <c r="E197" s="3" t="s">
        <v>892</v>
      </c>
      <c r="F197" s="3" t="s">
        <v>893</v>
      </c>
      <c r="G197" s="3" t="s">
        <v>891</v>
      </c>
      <c r="I197">
        <v>8</v>
      </c>
      <c r="J197">
        <v>28</v>
      </c>
      <c r="K197">
        <v>-28</v>
      </c>
    </row>
    <row r="198" spans="1:11" x14ac:dyDescent="0.25">
      <c r="A198" s="3" t="s">
        <v>296</v>
      </c>
      <c r="B198" s="3">
        <v>24</v>
      </c>
      <c r="C198" s="3">
        <v>11</v>
      </c>
      <c r="D198" s="3">
        <v>5</v>
      </c>
      <c r="E198" s="3" t="s">
        <v>899</v>
      </c>
      <c r="F198" s="3" t="s">
        <v>903</v>
      </c>
      <c r="G198" s="3" t="s">
        <v>911</v>
      </c>
      <c r="I198">
        <v>-31</v>
      </c>
      <c r="J198">
        <v>17</v>
      </c>
      <c r="K198">
        <v>4</v>
      </c>
    </row>
    <row r="199" spans="1:11" x14ac:dyDescent="0.25">
      <c r="A199" s="3" t="s">
        <v>46</v>
      </c>
      <c r="B199" s="3">
        <v>37</v>
      </c>
      <c r="C199" s="3">
        <v>3</v>
      </c>
      <c r="D199" s="3">
        <v>3</v>
      </c>
      <c r="E199" s="3" t="s">
        <v>899</v>
      </c>
      <c r="F199" s="3" t="s">
        <v>903</v>
      </c>
      <c r="G199" s="3" t="s">
        <v>891</v>
      </c>
      <c r="I199">
        <v>-3</v>
      </c>
      <c r="J199">
        <v>-6</v>
      </c>
      <c r="K199">
        <v>14</v>
      </c>
    </row>
    <row r="200" spans="1:11" x14ac:dyDescent="0.25">
      <c r="A200" s="3" t="s">
        <v>620</v>
      </c>
      <c r="B200" s="3">
        <v>152</v>
      </c>
      <c r="C200" s="3">
        <v>50</v>
      </c>
      <c r="D200" s="3">
        <v>6</v>
      </c>
      <c r="E200" s="3" t="s">
        <v>899</v>
      </c>
      <c r="F200" s="3" t="s">
        <v>907</v>
      </c>
      <c r="G200" s="3" t="s">
        <v>902</v>
      </c>
      <c r="I200">
        <v>-41</v>
      </c>
      <c r="J200">
        <v>-146</v>
      </c>
      <c r="K200">
        <v>-31</v>
      </c>
    </row>
    <row r="201" spans="1:11" x14ac:dyDescent="0.25">
      <c r="A201" s="3" t="s">
        <v>726</v>
      </c>
      <c r="B201" s="3">
        <v>32</v>
      </c>
      <c r="C201" s="3">
        <v>11</v>
      </c>
      <c r="D201" s="3">
        <v>2</v>
      </c>
      <c r="E201" s="3" t="s">
        <v>899</v>
      </c>
      <c r="F201" s="3" t="s">
        <v>908</v>
      </c>
      <c r="G201" s="3" t="s">
        <v>902</v>
      </c>
      <c r="I201">
        <v>14</v>
      </c>
      <c r="J201">
        <v>-128</v>
      </c>
      <c r="K201">
        <v>-20</v>
      </c>
    </row>
    <row r="202" spans="1:11" x14ac:dyDescent="0.25">
      <c r="A202" s="3" t="s">
        <v>614</v>
      </c>
      <c r="B202" s="3">
        <v>52</v>
      </c>
      <c r="C202" s="3">
        <v>11</v>
      </c>
      <c r="D202" s="3">
        <v>5</v>
      </c>
      <c r="E202" s="3" t="s">
        <v>899</v>
      </c>
      <c r="F202" s="3" t="s">
        <v>908</v>
      </c>
      <c r="G202" s="3" t="s">
        <v>891</v>
      </c>
      <c r="I202">
        <v>40</v>
      </c>
      <c r="J202">
        <v>54</v>
      </c>
      <c r="K202">
        <v>-114</v>
      </c>
    </row>
    <row r="203" spans="1:11" x14ac:dyDescent="0.25">
      <c r="A203" s="3" t="s">
        <v>332</v>
      </c>
      <c r="B203" s="3">
        <v>24</v>
      </c>
      <c r="C203" s="3">
        <v>11</v>
      </c>
      <c r="D203" s="3">
        <v>3</v>
      </c>
      <c r="E203" s="3" t="s">
        <v>899</v>
      </c>
      <c r="F203" s="3" t="s">
        <v>903</v>
      </c>
      <c r="G203" s="3" t="s">
        <v>911</v>
      </c>
      <c r="I203">
        <v>-63</v>
      </c>
      <c r="J203">
        <v>-5</v>
      </c>
      <c r="K203">
        <v>8</v>
      </c>
    </row>
    <row r="204" spans="1:11" x14ac:dyDescent="0.25">
      <c r="A204" s="3" t="s">
        <v>183</v>
      </c>
      <c r="B204" s="3">
        <v>473</v>
      </c>
      <c r="C204" s="3">
        <v>42</v>
      </c>
      <c r="D204" s="3">
        <v>4</v>
      </c>
      <c r="E204" s="3" t="s">
        <v>892</v>
      </c>
      <c r="F204" s="3" t="s">
        <v>893</v>
      </c>
      <c r="G204" s="3" t="s">
        <v>891</v>
      </c>
      <c r="I204">
        <v>-78</v>
      </c>
      <c r="J204">
        <v>194</v>
      </c>
      <c r="K204">
        <v>15</v>
      </c>
    </row>
    <row r="205" spans="1:11" x14ac:dyDescent="0.25">
      <c r="A205" s="3" t="s">
        <v>521</v>
      </c>
      <c r="B205" s="3">
        <v>263</v>
      </c>
      <c r="C205" s="3">
        <v>50</v>
      </c>
      <c r="D205" s="3">
        <v>5</v>
      </c>
      <c r="E205" s="3" t="s">
        <v>899</v>
      </c>
      <c r="F205" s="3" t="s">
        <v>907</v>
      </c>
      <c r="G205" s="3" t="s">
        <v>891</v>
      </c>
      <c r="I205">
        <v>44</v>
      </c>
      <c r="J205">
        <v>69</v>
      </c>
      <c r="K205">
        <v>-10</v>
      </c>
    </row>
    <row r="206" spans="1:11" x14ac:dyDescent="0.25">
      <c r="A206" s="3" t="s">
        <v>310</v>
      </c>
      <c r="B206" s="3">
        <v>61</v>
      </c>
      <c r="C206" s="3">
        <v>11</v>
      </c>
      <c r="D206" s="3">
        <v>3</v>
      </c>
      <c r="E206" s="3" t="s">
        <v>899</v>
      </c>
      <c r="F206" s="3" t="s">
        <v>904</v>
      </c>
      <c r="G206" s="3" t="s">
        <v>891</v>
      </c>
      <c r="I206">
        <v>28</v>
      </c>
      <c r="J206">
        <v>213</v>
      </c>
      <c r="K206">
        <v>6</v>
      </c>
    </row>
    <row r="207" spans="1:11" x14ac:dyDescent="0.25">
      <c r="A207" s="3" t="s">
        <v>403</v>
      </c>
      <c r="B207" s="3">
        <v>469</v>
      </c>
      <c r="C207" s="3">
        <v>-459</v>
      </c>
      <c r="D207" s="3">
        <v>3</v>
      </c>
      <c r="E207" s="3" t="s">
        <v>889</v>
      </c>
      <c r="F207" s="3" t="s">
        <v>890</v>
      </c>
      <c r="G207" s="3" t="s">
        <v>891</v>
      </c>
      <c r="I207">
        <v>13</v>
      </c>
      <c r="J207">
        <v>72</v>
      </c>
      <c r="K207">
        <v>24</v>
      </c>
    </row>
    <row r="208" spans="1:11" x14ac:dyDescent="0.25">
      <c r="A208" s="3" t="s">
        <v>164</v>
      </c>
      <c r="B208" s="3">
        <v>1272</v>
      </c>
      <c r="C208" s="3">
        <v>547</v>
      </c>
      <c r="D208" s="3">
        <v>2</v>
      </c>
      <c r="E208" s="3" t="s">
        <v>889</v>
      </c>
      <c r="F208" s="3" t="s">
        <v>898</v>
      </c>
      <c r="G208" s="3" t="s">
        <v>891</v>
      </c>
      <c r="I208">
        <v>-14</v>
      </c>
      <c r="J208">
        <v>93</v>
      </c>
      <c r="K208">
        <v>18</v>
      </c>
    </row>
    <row r="209" spans="1:11" x14ac:dyDescent="0.25">
      <c r="A209" s="3" t="s">
        <v>332</v>
      </c>
      <c r="B209" s="3">
        <v>169</v>
      </c>
      <c r="C209" s="3">
        <v>0</v>
      </c>
      <c r="D209" s="3">
        <v>3</v>
      </c>
      <c r="E209" s="3" t="s">
        <v>889</v>
      </c>
      <c r="F209" s="3" t="s">
        <v>909</v>
      </c>
      <c r="G209" s="3" t="s">
        <v>891</v>
      </c>
      <c r="I209">
        <v>11</v>
      </c>
      <c r="J209">
        <v>-69</v>
      </c>
      <c r="K209">
        <v>6</v>
      </c>
    </row>
    <row r="210" spans="1:11" x14ac:dyDescent="0.25">
      <c r="A210" s="3" t="s">
        <v>413</v>
      </c>
      <c r="B210" s="3">
        <v>25</v>
      </c>
      <c r="C210" s="3">
        <v>11</v>
      </c>
      <c r="D210" s="3">
        <v>3</v>
      </c>
      <c r="E210" s="3" t="s">
        <v>899</v>
      </c>
      <c r="F210" s="3" t="s">
        <v>908</v>
      </c>
      <c r="G210" s="3" t="s">
        <v>911</v>
      </c>
      <c r="I210">
        <v>-44</v>
      </c>
      <c r="J210">
        <v>166</v>
      </c>
      <c r="K210">
        <v>20</v>
      </c>
    </row>
    <row r="211" spans="1:11" x14ac:dyDescent="0.25">
      <c r="A211" s="3" t="s">
        <v>260</v>
      </c>
      <c r="B211" s="3">
        <v>457</v>
      </c>
      <c r="C211" s="3">
        <v>-41</v>
      </c>
      <c r="D211" s="3">
        <v>4</v>
      </c>
      <c r="E211" s="3" t="s">
        <v>899</v>
      </c>
      <c r="F211" s="3" t="s">
        <v>901</v>
      </c>
      <c r="G211" s="3" t="s">
        <v>891</v>
      </c>
      <c r="I211">
        <v>138</v>
      </c>
      <c r="J211">
        <v>-114</v>
      </c>
      <c r="K211">
        <v>16</v>
      </c>
    </row>
    <row r="212" spans="1:11" x14ac:dyDescent="0.25">
      <c r="A212" s="3" t="s">
        <v>413</v>
      </c>
      <c r="B212" s="3">
        <v>455</v>
      </c>
      <c r="C212" s="3">
        <v>77</v>
      </c>
      <c r="D212" s="3">
        <v>8</v>
      </c>
      <c r="E212" s="3" t="s">
        <v>889</v>
      </c>
      <c r="F212" s="3" t="s">
        <v>909</v>
      </c>
      <c r="G212" s="3" t="s">
        <v>891</v>
      </c>
      <c r="I212">
        <v>4</v>
      </c>
      <c r="J212">
        <v>13</v>
      </c>
      <c r="K212">
        <v>22</v>
      </c>
    </row>
    <row r="213" spans="1:11" x14ac:dyDescent="0.25">
      <c r="A213" s="3" t="s">
        <v>281</v>
      </c>
      <c r="B213" s="3">
        <v>25</v>
      </c>
      <c r="C213" s="3">
        <v>2</v>
      </c>
      <c r="D213" s="3">
        <v>2</v>
      </c>
      <c r="E213" s="3" t="s">
        <v>899</v>
      </c>
      <c r="F213" s="3" t="s">
        <v>903</v>
      </c>
      <c r="G213" s="3" t="s">
        <v>911</v>
      </c>
      <c r="I213">
        <v>-2</v>
      </c>
      <c r="J213">
        <v>-27</v>
      </c>
      <c r="K213">
        <v>24</v>
      </c>
    </row>
    <row r="214" spans="1:11" x14ac:dyDescent="0.25">
      <c r="A214" s="3" t="s">
        <v>416</v>
      </c>
      <c r="B214" s="3">
        <v>450</v>
      </c>
      <c r="C214" s="3">
        <v>-90</v>
      </c>
      <c r="D214" s="3">
        <v>3</v>
      </c>
      <c r="E214" s="3" t="s">
        <v>889</v>
      </c>
      <c r="F214" s="3" t="s">
        <v>896</v>
      </c>
      <c r="G214" s="3" t="s">
        <v>891</v>
      </c>
      <c r="I214">
        <v>-270</v>
      </c>
      <c r="J214">
        <v>15</v>
      </c>
      <c r="K214">
        <v>-2</v>
      </c>
    </row>
    <row r="215" spans="1:11" x14ac:dyDescent="0.25">
      <c r="A215" s="3" t="s">
        <v>836</v>
      </c>
      <c r="B215" s="3">
        <v>30</v>
      </c>
      <c r="C215" s="3">
        <v>-35</v>
      </c>
      <c r="D215" s="3">
        <v>1</v>
      </c>
      <c r="E215" s="3" t="s">
        <v>892</v>
      </c>
      <c r="F215" s="3" t="s">
        <v>893</v>
      </c>
      <c r="G215" s="3" t="s">
        <v>891</v>
      </c>
      <c r="I215">
        <v>-27</v>
      </c>
      <c r="J215">
        <v>195</v>
      </c>
      <c r="K215">
        <v>8</v>
      </c>
    </row>
    <row r="216" spans="1:11" x14ac:dyDescent="0.25">
      <c r="A216" s="3" t="s">
        <v>292</v>
      </c>
      <c r="B216" s="3">
        <v>659</v>
      </c>
      <c r="C216" s="3">
        <v>-37</v>
      </c>
      <c r="D216" s="3">
        <v>2</v>
      </c>
      <c r="E216" s="3" t="s">
        <v>892</v>
      </c>
      <c r="F216" s="3" t="s">
        <v>895</v>
      </c>
      <c r="G216" s="3" t="s">
        <v>897</v>
      </c>
      <c r="I216">
        <v>144</v>
      </c>
      <c r="J216">
        <v>-30</v>
      </c>
      <c r="K216">
        <v>-345</v>
      </c>
    </row>
    <row r="217" spans="1:11" x14ac:dyDescent="0.25">
      <c r="A217" s="3" t="s">
        <v>30</v>
      </c>
      <c r="B217" s="3">
        <v>448</v>
      </c>
      <c r="C217" s="3">
        <v>148</v>
      </c>
      <c r="D217" s="3">
        <v>2</v>
      </c>
      <c r="E217" s="3" t="s">
        <v>889</v>
      </c>
      <c r="F217" s="3" t="s">
        <v>896</v>
      </c>
      <c r="G217" s="3" t="s">
        <v>891</v>
      </c>
      <c r="I217">
        <v>26</v>
      </c>
      <c r="J217">
        <v>-12</v>
      </c>
      <c r="K217">
        <v>0</v>
      </c>
    </row>
    <row r="218" spans="1:11" x14ac:dyDescent="0.25">
      <c r="A218" s="3" t="s">
        <v>419</v>
      </c>
      <c r="B218" s="3">
        <v>446</v>
      </c>
      <c r="C218" s="3">
        <v>53</v>
      </c>
      <c r="D218" s="3">
        <v>3</v>
      </c>
      <c r="E218" s="3" t="s">
        <v>889</v>
      </c>
      <c r="F218" s="3" t="s">
        <v>896</v>
      </c>
      <c r="G218" s="3" t="s">
        <v>891</v>
      </c>
      <c r="I218">
        <v>42</v>
      </c>
      <c r="J218">
        <v>107</v>
      </c>
      <c r="K218">
        <v>-85</v>
      </c>
    </row>
    <row r="219" spans="1:11" x14ac:dyDescent="0.25">
      <c r="A219" s="3" t="s">
        <v>722</v>
      </c>
      <c r="B219" s="3">
        <v>98</v>
      </c>
      <c r="C219" s="3">
        <v>-45</v>
      </c>
      <c r="D219" s="3">
        <v>2</v>
      </c>
      <c r="E219" s="3" t="s">
        <v>892</v>
      </c>
      <c r="F219" s="3" t="s">
        <v>893</v>
      </c>
      <c r="G219" s="3" t="s">
        <v>902</v>
      </c>
      <c r="I219">
        <v>0</v>
      </c>
      <c r="J219">
        <v>240</v>
      </c>
      <c r="K219">
        <v>12</v>
      </c>
    </row>
    <row r="220" spans="1:11" x14ac:dyDescent="0.25">
      <c r="A220" s="3" t="s">
        <v>5</v>
      </c>
      <c r="B220" s="3">
        <v>443</v>
      </c>
      <c r="C220" s="3">
        <v>11</v>
      </c>
      <c r="D220" s="3">
        <v>1</v>
      </c>
      <c r="E220" s="3" t="s">
        <v>899</v>
      </c>
      <c r="F220" s="3" t="s">
        <v>901</v>
      </c>
      <c r="G220" s="3" t="s">
        <v>891</v>
      </c>
      <c r="I220">
        <v>-15</v>
      </c>
      <c r="J220">
        <v>203</v>
      </c>
      <c r="K220">
        <v>7</v>
      </c>
    </row>
    <row r="221" spans="1:11" x14ac:dyDescent="0.25">
      <c r="A221" s="3" t="s">
        <v>142</v>
      </c>
      <c r="B221" s="3">
        <v>427</v>
      </c>
      <c r="C221" s="3">
        <v>-50</v>
      </c>
      <c r="D221" s="3">
        <v>7</v>
      </c>
      <c r="E221" s="3" t="s">
        <v>889</v>
      </c>
      <c r="F221" s="3" t="s">
        <v>898</v>
      </c>
      <c r="G221" s="3" t="s">
        <v>891</v>
      </c>
      <c r="I221">
        <v>-3</v>
      </c>
      <c r="J221">
        <v>253</v>
      </c>
      <c r="K221">
        <v>20</v>
      </c>
    </row>
    <row r="222" spans="1:11" x14ac:dyDescent="0.25">
      <c r="A222" s="3" t="s">
        <v>320</v>
      </c>
      <c r="B222" s="3">
        <v>656</v>
      </c>
      <c r="C222" s="3">
        <v>-36</v>
      </c>
      <c r="D222" s="3">
        <v>2</v>
      </c>
      <c r="E222" s="3" t="s">
        <v>892</v>
      </c>
      <c r="F222" s="3" t="s">
        <v>895</v>
      </c>
      <c r="G222" s="3" t="s">
        <v>897</v>
      </c>
      <c r="I222">
        <v>58</v>
      </c>
      <c r="J222">
        <v>-190</v>
      </c>
      <c r="K222">
        <v>48</v>
      </c>
    </row>
    <row r="223" spans="1:11" x14ac:dyDescent="0.25">
      <c r="A223" s="3" t="s">
        <v>427</v>
      </c>
      <c r="B223" s="3">
        <v>424</v>
      </c>
      <c r="C223" s="3">
        <v>161</v>
      </c>
      <c r="D223" s="3">
        <v>2</v>
      </c>
      <c r="E223" s="3" t="s">
        <v>899</v>
      </c>
      <c r="F223" s="3" t="s">
        <v>901</v>
      </c>
      <c r="G223" s="3" t="s">
        <v>891</v>
      </c>
      <c r="I223">
        <v>-1</v>
      </c>
      <c r="J223">
        <v>-242</v>
      </c>
      <c r="K223">
        <v>21</v>
      </c>
    </row>
    <row r="224" spans="1:11" x14ac:dyDescent="0.25">
      <c r="A224" s="3" t="s">
        <v>216</v>
      </c>
      <c r="B224" s="3">
        <v>27</v>
      </c>
      <c r="C224" s="3">
        <v>8</v>
      </c>
      <c r="D224" s="3">
        <v>2</v>
      </c>
      <c r="E224" s="3" t="s">
        <v>899</v>
      </c>
      <c r="F224" s="3" t="s">
        <v>910</v>
      </c>
      <c r="G224" s="3" t="s">
        <v>911</v>
      </c>
      <c r="I224">
        <v>-25</v>
      </c>
      <c r="J224">
        <v>9</v>
      </c>
      <c r="K224">
        <v>87</v>
      </c>
    </row>
    <row r="225" spans="1:11" x14ac:dyDescent="0.25">
      <c r="A225" s="3" t="s">
        <v>34</v>
      </c>
      <c r="B225" s="3">
        <v>424</v>
      </c>
      <c r="C225" s="3">
        <v>-272</v>
      </c>
      <c r="D225" s="3">
        <v>5</v>
      </c>
      <c r="E225" s="3" t="s">
        <v>889</v>
      </c>
      <c r="F225" s="3" t="s">
        <v>898</v>
      </c>
      <c r="G225" s="3" t="s">
        <v>891</v>
      </c>
      <c r="I225">
        <v>0</v>
      </c>
      <c r="J225">
        <v>131</v>
      </c>
      <c r="K225">
        <v>18</v>
      </c>
    </row>
    <row r="226" spans="1:11" x14ac:dyDescent="0.25">
      <c r="A226" s="3" t="s">
        <v>424</v>
      </c>
      <c r="B226" s="3">
        <v>202</v>
      </c>
      <c r="C226" s="3">
        <v>4</v>
      </c>
      <c r="D226" s="3">
        <v>4</v>
      </c>
      <c r="E226" s="3" t="s">
        <v>899</v>
      </c>
      <c r="F226" s="3" t="s">
        <v>903</v>
      </c>
      <c r="G226" s="3" t="s">
        <v>891</v>
      </c>
      <c r="I226">
        <v>59</v>
      </c>
      <c r="J226">
        <v>-66</v>
      </c>
      <c r="K226">
        <v>62</v>
      </c>
    </row>
    <row r="227" spans="1:11" x14ac:dyDescent="0.25">
      <c r="A227" s="3" t="s">
        <v>162</v>
      </c>
      <c r="B227" s="3">
        <v>1275</v>
      </c>
      <c r="C227" s="3">
        <v>357</v>
      </c>
      <c r="D227" s="3">
        <v>2</v>
      </c>
      <c r="E227" s="3" t="s">
        <v>889</v>
      </c>
      <c r="F227" s="3" t="s">
        <v>898</v>
      </c>
      <c r="G227" s="3" t="s">
        <v>902</v>
      </c>
      <c r="I227">
        <v>-94</v>
      </c>
      <c r="J227">
        <v>97</v>
      </c>
      <c r="K227">
        <v>2</v>
      </c>
    </row>
    <row r="228" spans="1:11" x14ac:dyDescent="0.25">
      <c r="A228" s="3" t="s">
        <v>48</v>
      </c>
      <c r="B228" s="3">
        <v>418</v>
      </c>
      <c r="C228" s="3">
        <v>70</v>
      </c>
      <c r="D228" s="3">
        <v>7</v>
      </c>
      <c r="E228" s="3" t="s">
        <v>889</v>
      </c>
      <c r="F228" s="3" t="s">
        <v>898</v>
      </c>
      <c r="G228" s="3" t="s">
        <v>891</v>
      </c>
      <c r="I228">
        <v>15</v>
      </c>
      <c r="J228">
        <v>202</v>
      </c>
      <c r="K228">
        <v>6</v>
      </c>
    </row>
    <row r="229" spans="1:11" x14ac:dyDescent="0.25">
      <c r="A229" s="3" t="s">
        <v>429</v>
      </c>
      <c r="B229" s="3">
        <v>417</v>
      </c>
      <c r="C229" s="3">
        <v>49</v>
      </c>
      <c r="D229" s="3">
        <v>3</v>
      </c>
      <c r="E229" s="3" t="s">
        <v>889</v>
      </c>
      <c r="F229" s="3" t="s">
        <v>890</v>
      </c>
      <c r="G229" s="3" t="s">
        <v>891</v>
      </c>
      <c r="I229">
        <v>90</v>
      </c>
      <c r="J229">
        <v>-99</v>
      </c>
      <c r="K229">
        <v>-113</v>
      </c>
    </row>
    <row r="230" spans="1:11" x14ac:dyDescent="0.25">
      <c r="A230" s="3" t="s">
        <v>52</v>
      </c>
      <c r="B230" s="3">
        <v>199</v>
      </c>
      <c r="C230" s="3">
        <v>48</v>
      </c>
      <c r="D230" s="3">
        <v>4</v>
      </c>
      <c r="E230" s="3" t="s">
        <v>899</v>
      </c>
      <c r="F230" s="3" t="s">
        <v>907</v>
      </c>
      <c r="G230" s="3" t="s">
        <v>902</v>
      </c>
      <c r="I230">
        <v>137</v>
      </c>
      <c r="J230">
        <v>197</v>
      </c>
      <c r="K230">
        <v>4</v>
      </c>
    </row>
    <row r="231" spans="1:11" x14ac:dyDescent="0.25">
      <c r="A231" s="3" t="s">
        <v>446</v>
      </c>
      <c r="B231" s="3">
        <v>385</v>
      </c>
      <c r="C231" s="3">
        <v>-77</v>
      </c>
      <c r="D231" s="3">
        <v>11</v>
      </c>
      <c r="E231" s="3" t="s">
        <v>892</v>
      </c>
      <c r="F231" s="3" t="s">
        <v>912</v>
      </c>
      <c r="G231" s="3" t="s">
        <v>902</v>
      </c>
      <c r="I231">
        <v>-7</v>
      </c>
      <c r="J231">
        <v>352</v>
      </c>
      <c r="K231">
        <v>21</v>
      </c>
    </row>
    <row r="232" spans="1:11" x14ac:dyDescent="0.25">
      <c r="A232" s="3" t="s">
        <v>9</v>
      </c>
      <c r="B232" s="3">
        <v>414</v>
      </c>
      <c r="C232" s="3">
        <v>199</v>
      </c>
      <c r="D232" s="3">
        <v>3</v>
      </c>
      <c r="E232" s="3" t="s">
        <v>889</v>
      </c>
      <c r="F232" s="3" t="s">
        <v>898</v>
      </c>
      <c r="G232" s="3" t="s">
        <v>891</v>
      </c>
      <c r="I232">
        <v>73</v>
      </c>
      <c r="J232">
        <v>1148</v>
      </c>
      <c r="K232">
        <v>-27</v>
      </c>
    </row>
    <row r="233" spans="1:11" x14ac:dyDescent="0.25">
      <c r="A233" s="3" t="s">
        <v>539</v>
      </c>
      <c r="B233" s="3">
        <v>97</v>
      </c>
      <c r="C233" s="3">
        <v>-45</v>
      </c>
      <c r="D233" s="3">
        <v>4</v>
      </c>
      <c r="E233" s="3" t="s">
        <v>899</v>
      </c>
      <c r="F233" s="3" t="s">
        <v>901</v>
      </c>
      <c r="G233" s="3" t="s">
        <v>891</v>
      </c>
      <c r="I233">
        <v>26</v>
      </c>
      <c r="J233">
        <v>62</v>
      </c>
      <c r="K233">
        <v>0</v>
      </c>
    </row>
    <row r="234" spans="1:11" x14ac:dyDescent="0.25">
      <c r="A234" s="3" t="s">
        <v>322</v>
      </c>
      <c r="B234" s="3">
        <v>648</v>
      </c>
      <c r="C234" s="3">
        <v>50</v>
      </c>
      <c r="D234" s="3">
        <v>6</v>
      </c>
      <c r="E234" s="3" t="s">
        <v>889</v>
      </c>
      <c r="F234" s="3" t="s">
        <v>890</v>
      </c>
      <c r="G234" s="3" t="s">
        <v>897</v>
      </c>
      <c r="I234">
        <v>33</v>
      </c>
      <c r="J234">
        <v>318</v>
      </c>
      <c r="K234">
        <v>-48</v>
      </c>
    </row>
    <row r="235" spans="1:11" x14ac:dyDescent="0.25">
      <c r="A235" s="3" t="s">
        <v>480</v>
      </c>
      <c r="B235" s="3">
        <v>27</v>
      </c>
      <c r="C235" s="3">
        <v>-25</v>
      </c>
      <c r="D235" s="3">
        <v>2</v>
      </c>
      <c r="E235" s="3" t="s">
        <v>899</v>
      </c>
      <c r="F235" s="3" t="s">
        <v>913</v>
      </c>
      <c r="G235" s="3" t="s">
        <v>911</v>
      </c>
      <c r="I235">
        <v>56</v>
      </c>
      <c r="J235">
        <v>352</v>
      </c>
      <c r="K235">
        <v>20</v>
      </c>
    </row>
    <row r="236" spans="1:11" x14ac:dyDescent="0.25">
      <c r="A236" s="3" t="s">
        <v>176</v>
      </c>
      <c r="B236" s="3">
        <v>27</v>
      </c>
      <c r="C236" s="3">
        <v>12</v>
      </c>
      <c r="D236" s="3">
        <v>1</v>
      </c>
      <c r="E236" s="3" t="s">
        <v>899</v>
      </c>
      <c r="F236" s="3" t="s">
        <v>907</v>
      </c>
      <c r="G236" s="3" t="s">
        <v>911</v>
      </c>
      <c r="I236">
        <v>28</v>
      </c>
      <c r="J236">
        <v>-420</v>
      </c>
      <c r="K236">
        <v>14</v>
      </c>
    </row>
    <row r="237" spans="1:11" x14ac:dyDescent="0.25">
      <c r="A237" s="3" t="s">
        <v>581</v>
      </c>
      <c r="B237" s="3">
        <v>27</v>
      </c>
      <c r="C237" s="3">
        <v>1</v>
      </c>
      <c r="D237" s="3">
        <v>1</v>
      </c>
      <c r="E237" s="3" t="s">
        <v>899</v>
      </c>
      <c r="F237" s="3" t="s">
        <v>907</v>
      </c>
      <c r="G237" s="3" t="s">
        <v>902</v>
      </c>
      <c r="I237">
        <v>-23</v>
      </c>
      <c r="J237">
        <v>447</v>
      </c>
      <c r="K237">
        <v>50</v>
      </c>
    </row>
    <row r="238" spans="1:11" x14ac:dyDescent="0.25">
      <c r="A238" s="3" t="s">
        <v>83</v>
      </c>
      <c r="B238" s="3">
        <v>413</v>
      </c>
      <c r="C238" s="3">
        <v>-314</v>
      </c>
      <c r="D238" s="3">
        <v>9</v>
      </c>
      <c r="E238" s="3" t="s">
        <v>892</v>
      </c>
      <c r="F238" s="3" t="s">
        <v>893</v>
      </c>
      <c r="G238" s="3" t="s">
        <v>891</v>
      </c>
      <c r="I238">
        <v>203</v>
      </c>
      <c r="J238">
        <v>701</v>
      </c>
      <c r="K238">
        <v>-30</v>
      </c>
    </row>
    <row r="239" spans="1:11" x14ac:dyDescent="0.25">
      <c r="A239" s="3" t="s">
        <v>187</v>
      </c>
      <c r="B239" s="3">
        <v>53</v>
      </c>
      <c r="C239" s="3">
        <v>2</v>
      </c>
      <c r="D239" s="3">
        <v>4</v>
      </c>
      <c r="E239" s="3" t="s">
        <v>899</v>
      </c>
      <c r="F239" s="3" t="s">
        <v>903</v>
      </c>
      <c r="G239" s="3" t="s">
        <v>891</v>
      </c>
      <c r="I239">
        <v>-25</v>
      </c>
      <c r="J239">
        <v>276</v>
      </c>
      <c r="K239">
        <v>8</v>
      </c>
    </row>
    <row r="240" spans="1:11" x14ac:dyDescent="0.25">
      <c r="A240" s="3" t="s">
        <v>189</v>
      </c>
      <c r="B240" s="3">
        <v>29</v>
      </c>
      <c r="C240" s="3">
        <v>8</v>
      </c>
      <c r="D240" s="3">
        <v>5</v>
      </c>
      <c r="E240" s="3" t="s">
        <v>899</v>
      </c>
      <c r="F240" s="3" t="s">
        <v>903</v>
      </c>
      <c r="G240" s="3" t="s">
        <v>902</v>
      </c>
      <c r="I240">
        <v>183</v>
      </c>
      <c r="J240">
        <v>23</v>
      </c>
      <c r="K240">
        <v>-33</v>
      </c>
    </row>
    <row r="241" spans="1:11" x14ac:dyDescent="0.25">
      <c r="A241" s="3" t="s">
        <v>661</v>
      </c>
      <c r="B241" s="3">
        <v>30</v>
      </c>
      <c r="C241" s="3">
        <v>13</v>
      </c>
      <c r="D241" s="3">
        <v>1</v>
      </c>
      <c r="E241" s="3" t="s">
        <v>899</v>
      </c>
      <c r="F241" s="3" t="s">
        <v>910</v>
      </c>
      <c r="G241" s="3" t="s">
        <v>902</v>
      </c>
      <c r="I241">
        <v>31</v>
      </c>
      <c r="J241">
        <v>127</v>
      </c>
      <c r="K241">
        <v>-30</v>
      </c>
    </row>
    <row r="242" spans="1:11" x14ac:dyDescent="0.25">
      <c r="A242" s="3" t="s">
        <v>432</v>
      </c>
      <c r="B242" s="3">
        <v>412</v>
      </c>
      <c r="C242" s="3">
        <v>412</v>
      </c>
      <c r="D242" s="3">
        <v>6</v>
      </c>
      <c r="E242" s="3" t="s">
        <v>899</v>
      </c>
      <c r="F242" s="3" t="s">
        <v>901</v>
      </c>
      <c r="G242" s="3" t="s">
        <v>891</v>
      </c>
      <c r="I242">
        <v>137</v>
      </c>
      <c r="J242">
        <v>191</v>
      </c>
      <c r="K242">
        <v>4</v>
      </c>
    </row>
    <row r="243" spans="1:11" x14ac:dyDescent="0.25">
      <c r="A243" s="3" t="s">
        <v>324</v>
      </c>
      <c r="B243" s="3">
        <v>646</v>
      </c>
      <c r="C243" s="3">
        <v>-23</v>
      </c>
      <c r="D243" s="3">
        <v>2</v>
      </c>
      <c r="E243" s="3" t="s">
        <v>889</v>
      </c>
      <c r="F243" s="3" t="s">
        <v>896</v>
      </c>
      <c r="G243" s="3" t="s">
        <v>897</v>
      </c>
      <c r="I243">
        <v>18</v>
      </c>
      <c r="J243">
        <v>-1981</v>
      </c>
      <c r="K243">
        <v>21</v>
      </c>
    </row>
    <row r="244" spans="1:11" x14ac:dyDescent="0.25">
      <c r="A244" s="3" t="s">
        <v>126</v>
      </c>
      <c r="B244" s="3">
        <v>30</v>
      </c>
      <c r="C244" s="3">
        <v>-5</v>
      </c>
      <c r="D244" s="3">
        <v>5</v>
      </c>
      <c r="E244" s="3" t="s">
        <v>899</v>
      </c>
      <c r="F244" s="3" t="s">
        <v>907</v>
      </c>
      <c r="G244" s="3" t="s">
        <v>902</v>
      </c>
      <c r="I244">
        <v>5</v>
      </c>
      <c r="J244">
        <v>305</v>
      </c>
      <c r="K244">
        <v>3</v>
      </c>
    </row>
    <row r="245" spans="1:11" x14ac:dyDescent="0.25">
      <c r="A245" s="3" t="s">
        <v>187</v>
      </c>
      <c r="B245" s="3">
        <v>618</v>
      </c>
      <c r="C245" s="3">
        <v>27</v>
      </c>
      <c r="D245" s="3">
        <v>4</v>
      </c>
      <c r="E245" s="3" t="s">
        <v>892</v>
      </c>
      <c r="F245" s="3" t="s">
        <v>895</v>
      </c>
      <c r="G245" s="3" t="s">
        <v>897</v>
      </c>
      <c r="I245">
        <v>81</v>
      </c>
      <c r="K245">
        <v>62</v>
      </c>
    </row>
    <row r="246" spans="1:11" x14ac:dyDescent="0.25">
      <c r="A246" s="3" t="s">
        <v>644</v>
      </c>
      <c r="B246" s="3">
        <v>143</v>
      </c>
      <c r="C246" s="3">
        <v>-124</v>
      </c>
      <c r="D246" s="3">
        <v>5</v>
      </c>
      <c r="E246" s="3" t="s">
        <v>899</v>
      </c>
      <c r="F246" s="3" t="s">
        <v>901</v>
      </c>
      <c r="G246" s="3" t="s">
        <v>902</v>
      </c>
      <c r="I246">
        <v>-43</v>
      </c>
      <c r="K246">
        <v>24</v>
      </c>
    </row>
    <row r="247" spans="1:11" x14ac:dyDescent="0.25">
      <c r="A247" s="3" t="s">
        <v>83</v>
      </c>
      <c r="B247" s="3">
        <v>31</v>
      </c>
      <c r="C247" s="3">
        <v>1</v>
      </c>
      <c r="D247" s="3">
        <v>2</v>
      </c>
      <c r="E247" s="3" t="s">
        <v>899</v>
      </c>
      <c r="F247" s="3" t="s">
        <v>903</v>
      </c>
      <c r="G247" s="3" t="s">
        <v>902</v>
      </c>
      <c r="I247">
        <v>215</v>
      </c>
      <c r="K247">
        <v>-31</v>
      </c>
    </row>
    <row r="248" spans="1:11" x14ac:dyDescent="0.25">
      <c r="A248" s="3" t="s">
        <v>392</v>
      </c>
      <c r="B248" s="3">
        <v>409</v>
      </c>
      <c r="C248" s="3">
        <v>86</v>
      </c>
      <c r="D248" s="3">
        <v>3</v>
      </c>
      <c r="E248" s="3" t="s">
        <v>899</v>
      </c>
      <c r="F248" s="3" t="s">
        <v>901</v>
      </c>
      <c r="G248" s="3" t="s">
        <v>891</v>
      </c>
      <c r="I248">
        <v>-174</v>
      </c>
      <c r="K248">
        <v>52</v>
      </c>
    </row>
    <row r="249" spans="1:11" x14ac:dyDescent="0.25">
      <c r="A249" s="3" t="s">
        <v>126</v>
      </c>
      <c r="B249" s="3">
        <v>406</v>
      </c>
      <c r="C249" s="3">
        <v>126</v>
      </c>
      <c r="D249" s="3">
        <v>2</v>
      </c>
      <c r="E249" s="3" t="s">
        <v>899</v>
      </c>
      <c r="F249" s="3" t="s">
        <v>901</v>
      </c>
      <c r="G249" s="3" t="s">
        <v>891</v>
      </c>
      <c r="I249">
        <v>26</v>
      </c>
      <c r="K249">
        <v>2</v>
      </c>
    </row>
    <row r="250" spans="1:11" x14ac:dyDescent="0.25">
      <c r="A250" s="3" t="s">
        <v>354</v>
      </c>
      <c r="B250" s="3">
        <v>565</v>
      </c>
      <c r="C250" s="3">
        <v>66</v>
      </c>
      <c r="D250" s="3">
        <v>7</v>
      </c>
      <c r="E250" s="3" t="s">
        <v>899</v>
      </c>
      <c r="F250" s="3" t="s">
        <v>901</v>
      </c>
      <c r="G250" s="3" t="s">
        <v>897</v>
      </c>
      <c r="I250">
        <v>139</v>
      </c>
      <c r="K250">
        <v>27</v>
      </c>
    </row>
    <row r="251" spans="1:11" x14ac:dyDescent="0.25">
      <c r="A251" s="3" t="s">
        <v>352</v>
      </c>
      <c r="B251" s="3">
        <v>85</v>
      </c>
      <c r="C251" s="3">
        <v>2</v>
      </c>
      <c r="D251" s="3">
        <v>6</v>
      </c>
      <c r="E251" s="3" t="s">
        <v>899</v>
      </c>
      <c r="F251" s="3" t="s">
        <v>907</v>
      </c>
      <c r="G251" s="3" t="s">
        <v>891</v>
      </c>
      <c r="I251">
        <v>92</v>
      </c>
      <c r="K251">
        <v>111</v>
      </c>
    </row>
    <row r="252" spans="1:11" x14ac:dyDescent="0.25">
      <c r="A252" s="3" t="s">
        <v>356</v>
      </c>
      <c r="B252" s="3">
        <v>561</v>
      </c>
      <c r="C252" s="3">
        <v>118</v>
      </c>
      <c r="D252" s="3">
        <v>5</v>
      </c>
      <c r="E252" s="3" t="s">
        <v>892</v>
      </c>
      <c r="F252" s="3" t="s">
        <v>895</v>
      </c>
      <c r="G252" s="3" t="s">
        <v>897</v>
      </c>
      <c r="I252">
        <v>-102</v>
      </c>
      <c r="K252">
        <v>2</v>
      </c>
    </row>
    <row r="253" spans="1:11" x14ac:dyDescent="0.25">
      <c r="A253" s="3" t="s">
        <v>387</v>
      </c>
      <c r="B253" s="3">
        <v>503</v>
      </c>
      <c r="C253" s="3">
        <v>-56</v>
      </c>
      <c r="D253" s="3">
        <v>2</v>
      </c>
      <c r="E253" s="3" t="s">
        <v>899</v>
      </c>
      <c r="F253" s="3" t="s">
        <v>900</v>
      </c>
      <c r="G253" s="3" t="s">
        <v>891</v>
      </c>
      <c r="I253">
        <v>37</v>
      </c>
      <c r="K253">
        <v>-12</v>
      </c>
    </row>
    <row r="254" spans="1:11" x14ac:dyDescent="0.25">
      <c r="A254" s="3" t="s">
        <v>538</v>
      </c>
      <c r="B254" s="3">
        <v>31</v>
      </c>
      <c r="C254" s="3">
        <v>14</v>
      </c>
      <c r="D254" s="3">
        <v>3</v>
      </c>
      <c r="E254" s="3" t="s">
        <v>899</v>
      </c>
      <c r="F254" s="3" t="s">
        <v>907</v>
      </c>
      <c r="G254" s="3" t="s">
        <v>902</v>
      </c>
      <c r="I254">
        <v>-444</v>
      </c>
      <c r="K254">
        <v>-25</v>
      </c>
    </row>
    <row r="255" spans="1:11" x14ac:dyDescent="0.25">
      <c r="A255" s="3" t="s">
        <v>12</v>
      </c>
      <c r="B255" s="3">
        <v>398</v>
      </c>
      <c r="C255" s="3">
        <v>111</v>
      </c>
      <c r="D255" s="3">
        <v>8</v>
      </c>
      <c r="E255" s="3" t="s">
        <v>899</v>
      </c>
      <c r="F255" s="3" t="s">
        <v>903</v>
      </c>
      <c r="G255" s="3" t="s">
        <v>891</v>
      </c>
      <c r="I255">
        <v>-204</v>
      </c>
      <c r="K255">
        <v>2</v>
      </c>
    </row>
    <row r="256" spans="1:11" x14ac:dyDescent="0.25">
      <c r="A256" s="3" t="s">
        <v>442</v>
      </c>
      <c r="B256" s="3">
        <v>388</v>
      </c>
      <c r="C256" s="3">
        <v>93</v>
      </c>
      <c r="D256" s="3">
        <v>2</v>
      </c>
      <c r="E256" s="3" t="s">
        <v>892</v>
      </c>
      <c r="F256" s="3" t="s">
        <v>895</v>
      </c>
      <c r="G256" s="3" t="s">
        <v>891</v>
      </c>
      <c r="I256">
        <v>212</v>
      </c>
      <c r="K256">
        <v>-206</v>
      </c>
    </row>
    <row r="257" spans="1:11" x14ac:dyDescent="0.25">
      <c r="A257" s="3" t="s">
        <v>70</v>
      </c>
      <c r="B257" s="3">
        <v>498</v>
      </c>
      <c r="C257" s="3">
        <v>-116</v>
      </c>
      <c r="D257" s="3">
        <v>4</v>
      </c>
      <c r="E257" s="3" t="s">
        <v>899</v>
      </c>
      <c r="F257" s="3" t="s">
        <v>901</v>
      </c>
      <c r="G257" s="3" t="s">
        <v>902</v>
      </c>
      <c r="I257">
        <v>-45</v>
      </c>
      <c r="K257">
        <v>8</v>
      </c>
    </row>
    <row r="258" spans="1:11" x14ac:dyDescent="0.25">
      <c r="A258" s="3" t="s">
        <v>118</v>
      </c>
      <c r="B258" s="3">
        <v>561</v>
      </c>
      <c r="C258" s="3">
        <v>212</v>
      </c>
      <c r="D258" s="3">
        <v>3</v>
      </c>
      <c r="E258" s="3" t="s">
        <v>899</v>
      </c>
      <c r="F258" s="3" t="s">
        <v>901</v>
      </c>
      <c r="G258" s="3" t="s">
        <v>897</v>
      </c>
      <c r="I258">
        <v>-633</v>
      </c>
      <c r="K258">
        <v>64</v>
      </c>
    </row>
    <row r="259" spans="1:11" x14ac:dyDescent="0.25">
      <c r="A259" s="3" t="s">
        <v>678</v>
      </c>
      <c r="B259" s="3">
        <v>61</v>
      </c>
      <c r="C259" s="3">
        <v>3</v>
      </c>
      <c r="D259" s="3">
        <v>4</v>
      </c>
      <c r="E259" s="3" t="s">
        <v>899</v>
      </c>
      <c r="F259" s="3" t="s">
        <v>903</v>
      </c>
      <c r="G259" s="3" t="s">
        <v>891</v>
      </c>
      <c r="I259">
        <v>80</v>
      </c>
      <c r="K259">
        <v>-46</v>
      </c>
    </row>
    <row r="260" spans="1:11" x14ac:dyDescent="0.25">
      <c r="A260" s="3" t="s">
        <v>643</v>
      </c>
      <c r="B260" s="3">
        <v>34</v>
      </c>
      <c r="C260" s="3">
        <v>-22</v>
      </c>
      <c r="D260" s="3">
        <v>4</v>
      </c>
      <c r="E260" s="3" t="s">
        <v>899</v>
      </c>
      <c r="F260" s="3" t="s">
        <v>910</v>
      </c>
      <c r="G260" s="3" t="s">
        <v>891</v>
      </c>
      <c r="I260">
        <v>261</v>
      </c>
      <c r="K260">
        <v>-18</v>
      </c>
    </row>
    <row r="261" spans="1:11" x14ac:dyDescent="0.25">
      <c r="A261" s="3" t="s">
        <v>397</v>
      </c>
      <c r="B261" s="3">
        <v>32</v>
      </c>
      <c r="C261" s="3">
        <v>6</v>
      </c>
      <c r="D261" s="3">
        <v>3</v>
      </c>
      <c r="E261" s="3" t="s">
        <v>899</v>
      </c>
      <c r="F261" s="3" t="s">
        <v>913</v>
      </c>
      <c r="G261" s="3" t="s">
        <v>902</v>
      </c>
      <c r="I261">
        <v>169</v>
      </c>
      <c r="K261">
        <v>9</v>
      </c>
    </row>
    <row r="262" spans="1:11" x14ac:dyDescent="0.25">
      <c r="A262" s="3" t="s">
        <v>63</v>
      </c>
      <c r="B262" s="3">
        <v>623</v>
      </c>
      <c r="C262" s="3">
        <v>-192</v>
      </c>
      <c r="D262" s="3">
        <v>3</v>
      </c>
      <c r="E262" s="3" t="s">
        <v>892</v>
      </c>
      <c r="F262" s="3" t="s">
        <v>906</v>
      </c>
      <c r="G262" s="3" t="s">
        <v>902</v>
      </c>
      <c r="I262">
        <v>1</v>
      </c>
      <c r="K262">
        <v>19</v>
      </c>
    </row>
    <row r="263" spans="1:11" x14ac:dyDescent="0.25">
      <c r="A263" s="3" t="s">
        <v>380</v>
      </c>
      <c r="B263" s="3">
        <v>520</v>
      </c>
      <c r="C263" s="3">
        <v>151</v>
      </c>
      <c r="D263" s="3">
        <v>3</v>
      </c>
      <c r="E263" s="3" t="s">
        <v>889</v>
      </c>
      <c r="F263" s="3" t="s">
        <v>898</v>
      </c>
      <c r="G263" s="3" t="s">
        <v>897</v>
      </c>
      <c r="I263">
        <v>193</v>
      </c>
      <c r="K263">
        <v>0</v>
      </c>
    </row>
    <row r="264" spans="1:11" x14ac:dyDescent="0.25">
      <c r="A264" s="3" t="s">
        <v>337</v>
      </c>
      <c r="B264" s="3">
        <v>32</v>
      </c>
      <c r="C264" s="3">
        <v>-16</v>
      </c>
      <c r="D264" s="3">
        <v>6</v>
      </c>
      <c r="E264" s="3" t="s">
        <v>899</v>
      </c>
      <c r="F264" s="3" t="s">
        <v>901</v>
      </c>
      <c r="G264" s="3" t="s">
        <v>902</v>
      </c>
      <c r="I264">
        <v>-103</v>
      </c>
      <c r="K264">
        <v>13</v>
      </c>
    </row>
    <row r="265" spans="1:11" x14ac:dyDescent="0.25">
      <c r="A265" s="3" t="s">
        <v>539</v>
      </c>
      <c r="B265" s="3">
        <v>32</v>
      </c>
      <c r="C265" s="3">
        <v>-5</v>
      </c>
      <c r="D265" s="3">
        <v>5</v>
      </c>
      <c r="E265" s="3" t="s">
        <v>899</v>
      </c>
      <c r="F265" s="3" t="s">
        <v>903</v>
      </c>
      <c r="G265" s="3" t="s">
        <v>902</v>
      </c>
      <c r="I265">
        <v>-56</v>
      </c>
      <c r="K265">
        <v>-146</v>
      </c>
    </row>
    <row r="266" spans="1:11" x14ac:dyDescent="0.25">
      <c r="A266" s="3" t="s">
        <v>383</v>
      </c>
      <c r="B266" s="3">
        <v>510</v>
      </c>
      <c r="C266" s="3">
        <v>234</v>
      </c>
      <c r="D266" s="3">
        <v>6</v>
      </c>
      <c r="E266" s="3" t="s">
        <v>889</v>
      </c>
      <c r="F266" s="3" t="s">
        <v>890</v>
      </c>
      <c r="G266" s="3" t="s">
        <v>894</v>
      </c>
      <c r="I266">
        <v>43</v>
      </c>
      <c r="K266">
        <v>87</v>
      </c>
    </row>
    <row r="267" spans="1:11" x14ac:dyDescent="0.25">
      <c r="A267" s="3" t="s">
        <v>450</v>
      </c>
      <c r="B267" s="3">
        <v>382</v>
      </c>
      <c r="C267" s="3">
        <v>68</v>
      </c>
      <c r="D267" s="3">
        <v>3</v>
      </c>
      <c r="E267" s="3" t="s">
        <v>899</v>
      </c>
      <c r="F267" s="3" t="s">
        <v>901</v>
      </c>
      <c r="G267" s="3" t="s">
        <v>891</v>
      </c>
      <c r="I267">
        <v>-447</v>
      </c>
      <c r="K267">
        <v>2</v>
      </c>
    </row>
    <row r="268" spans="1:11" x14ac:dyDescent="0.25">
      <c r="A268" s="3" t="s">
        <v>232</v>
      </c>
      <c r="B268" s="3">
        <v>33</v>
      </c>
      <c r="C268" s="3">
        <v>13</v>
      </c>
      <c r="D268" s="3">
        <v>3</v>
      </c>
      <c r="E268" s="3" t="s">
        <v>899</v>
      </c>
      <c r="F268" s="3" t="s">
        <v>908</v>
      </c>
      <c r="G268" s="3" t="s">
        <v>902</v>
      </c>
      <c r="I268">
        <v>-153</v>
      </c>
      <c r="K268">
        <v>13</v>
      </c>
    </row>
    <row r="269" spans="1:11" x14ac:dyDescent="0.25">
      <c r="A269" s="3" t="s">
        <v>64</v>
      </c>
      <c r="B269" s="3">
        <v>381</v>
      </c>
      <c r="C269" s="3">
        <v>-13</v>
      </c>
      <c r="D269" s="3">
        <v>2</v>
      </c>
      <c r="E269" s="3" t="s">
        <v>899</v>
      </c>
      <c r="F269" s="3" t="s">
        <v>901</v>
      </c>
      <c r="G269" s="3" t="s">
        <v>891</v>
      </c>
      <c r="I269">
        <v>89</v>
      </c>
      <c r="K269">
        <v>-25</v>
      </c>
    </row>
    <row r="270" spans="1:11" x14ac:dyDescent="0.25">
      <c r="A270" s="3" t="s">
        <v>138</v>
      </c>
      <c r="B270" s="3">
        <v>490</v>
      </c>
      <c r="C270" s="3">
        <v>88</v>
      </c>
      <c r="D270" s="3">
        <v>2</v>
      </c>
      <c r="E270" s="3" t="s">
        <v>889</v>
      </c>
      <c r="F270" s="3" t="s">
        <v>909</v>
      </c>
      <c r="G270" s="3" t="s">
        <v>894</v>
      </c>
      <c r="I270">
        <v>594</v>
      </c>
      <c r="K270">
        <v>47</v>
      </c>
    </row>
    <row r="271" spans="1:11" x14ac:dyDescent="0.25">
      <c r="A271" s="3" t="s">
        <v>421</v>
      </c>
      <c r="B271" s="3">
        <v>381</v>
      </c>
      <c r="C271" s="3">
        <v>144</v>
      </c>
      <c r="D271" s="3">
        <v>2</v>
      </c>
      <c r="E271" s="3" t="s">
        <v>899</v>
      </c>
      <c r="F271" s="3" t="s">
        <v>901</v>
      </c>
      <c r="G271" s="3" t="s">
        <v>891</v>
      </c>
      <c r="I271">
        <v>52</v>
      </c>
      <c r="K271">
        <v>-15</v>
      </c>
    </row>
    <row r="272" spans="1:11" x14ac:dyDescent="0.25">
      <c r="A272" s="3" t="s">
        <v>397</v>
      </c>
      <c r="B272" s="3">
        <v>487</v>
      </c>
      <c r="C272" s="3">
        <v>143</v>
      </c>
      <c r="D272" s="3">
        <v>4</v>
      </c>
      <c r="E272" s="3" t="s">
        <v>889</v>
      </c>
      <c r="F272" s="3" t="s">
        <v>898</v>
      </c>
      <c r="G272" s="3" t="s">
        <v>894</v>
      </c>
      <c r="I272">
        <v>-66</v>
      </c>
      <c r="K272">
        <v>11</v>
      </c>
    </row>
    <row r="273" spans="1:11" x14ac:dyDescent="0.25">
      <c r="A273" s="3" t="s">
        <v>419</v>
      </c>
      <c r="B273" s="3">
        <v>366</v>
      </c>
      <c r="C273" s="3">
        <v>84</v>
      </c>
      <c r="D273" s="3">
        <v>3</v>
      </c>
      <c r="E273" s="3" t="s">
        <v>892</v>
      </c>
      <c r="F273" s="3" t="s">
        <v>895</v>
      </c>
      <c r="G273" s="3" t="s">
        <v>891</v>
      </c>
      <c r="I273">
        <v>323</v>
      </c>
      <c r="K273">
        <v>8</v>
      </c>
    </row>
    <row r="274" spans="1:11" x14ac:dyDescent="0.25">
      <c r="A274" s="3" t="s">
        <v>722</v>
      </c>
      <c r="B274" s="3">
        <v>33</v>
      </c>
      <c r="C274" s="3">
        <v>-29</v>
      </c>
      <c r="D274" s="3">
        <v>3</v>
      </c>
      <c r="E274" s="3" t="s">
        <v>899</v>
      </c>
      <c r="F274" s="3" t="s">
        <v>913</v>
      </c>
      <c r="G274" s="3" t="s">
        <v>902</v>
      </c>
      <c r="I274">
        <v>187</v>
      </c>
      <c r="K274">
        <v>9</v>
      </c>
    </row>
    <row r="275" spans="1:11" x14ac:dyDescent="0.25">
      <c r="A275" s="3" t="s">
        <v>288</v>
      </c>
      <c r="B275" s="3">
        <v>365</v>
      </c>
      <c r="C275" s="3">
        <v>107</v>
      </c>
      <c r="D275" s="3">
        <v>3</v>
      </c>
      <c r="E275" s="3" t="s">
        <v>889</v>
      </c>
      <c r="F275" s="3" t="s">
        <v>898</v>
      </c>
      <c r="G275" s="3" t="s">
        <v>891</v>
      </c>
      <c r="I275">
        <v>-96</v>
      </c>
      <c r="K275">
        <v>-25</v>
      </c>
    </row>
    <row r="276" spans="1:11" x14ac:dyDescent="0.25">
      <c r="A276" s="3" t="s">
        <v>432</v>
      </c>
      <c r="B276" s="3">
        <v>207</v>
      </c>
      <c r="C276" s="3">
        <v>-100</v>
      </c>
      <c r="D276" s="3">
        <v>2</v>
      </c>
      <c r="E276" s="3" t="s">
        <v>899</v>
      </c>
      <c r="F276" s="3" t="s">
        <v>901</v>
      </c>
      <c r="G276" s="3" t="s">
        <v>902</v>
      </c>
      <c r="I276">
        <v>120</v>
      </c>
      <c r="K276">
        <v>-62</v>
      </c>
    </row>
    <row r="277" spans="1:11" x14ac:dyDescent="0.25">
      <c r="A277" s="3" t="s">
        <v>332</v>
      </c>
      <c r="B277" s="3">
        <v>359</v>
      </c>
      <c r="C277" s="3">
        <v>-338</v>
      </c>
      <c r="D277" s="3">
        <v>5</v>
      </c>
      <c r="E277" s="3" t="s">
        <v>892</v>
      </c>
      <c r="F277" s="3" t="s">
        <v>895</v>
      </c>
      <c r="G277" s="3" t="s">
        <v>891</v>
      </c>
      <c r="I277">
        <v>154</v>
      </c>
      <c r="K277">
        <v>11</v>
      </c>
    </row>
    <row r="278" spans="1:11" x14ac:dyDescent="0.25">
      <c r="A278" s="3" t="s">
        <v>226</v>
      </c>
      <c r="B278" s="3">
        <v>351</v>
      </c>
      <c r="C278" s="3">
        <v>-47</v>
      </c>
      <c r="D278" s="3">
        <v>8</v>
      </c>
      <c r="E278" s="3" t="s">
        <v>889</v>
      </c>
      <c r="F278" s="3" t="s">
        <v>898</v>
      </c>
      <c r="G278" s="3" t="s">
        <v>891</v>
      </c>
      <c r="I278">
        <v>267</v>
      </c>
      <c r="K278">
        <v>20</v>
      </c>
    </row>
    <row r="279" spans="1:11" x14ac:dyDescent="0.25">
      <c r="A279" s="3" t="s">
        <v>230</v>
      </c>
      <c r="B279" s="3">
        <v>485</v>
      </c>
      <c r="C279" s="3">
        <v>199</v>
      </c>
      <c r="D279" s="3">
        <v>4</v>
      </c>
      <c r="E279" s="3" t="s">
        <v>899</v>
      </c>
      <c r="F279" s="3" t="s">
        <v>901</v>
      </c>
      <c r="G279" s="3" t="s">
        <v>894</v>
      </c>
      <c r="I279">
        <v>-5</v>
      </c>
      <c r="K279">
        <v>8</v>
      </c>
    </row>
    <row r="280" spans="1:11" x14ac:dyDescent="0.25">
      <c r="A280" s="3" t="s">
        <v>206</v>
      </c>
      <c r="B280" s="3">
        <v>37</v>
      </c>
      <c r="C280" s="3">
        <v>-23</v>
      </c>
      <c r="D280" s="3">
        <v>4</v>
      </c>
      <c r="E280" s="3" t="s">
        <v>899</v>
      </c>
      <c r="F280" s="3" t="s">
        <v>913</v>
      </c>
      <c r="G280" s="3" t="s">
        <v>902</v>
      </c>
      <c r="I280">
        <v>-91</v>
      </c>
      <c r="K280">
        <v>77</v>
      </c>
    </row>
    <row r="281" spans="1:11" x14ac:dyDescent="0.25">
      <c r="A281" s="3" t="s">
        <v>258</v>
      </c>
      <c r="B281" s="3">
        <v>34</v>
      </c>
      <c r="C281" s="3">
        <v>10</v>
      </c>
      <c r="D281" s="3">
        <v>2</v>
      </c>
      <c r="E281" s="3" t="s">
        <v>899</v>
      </c>
      <c r="F281" s="3" t="s">
        <v>910</v>
      </c>
      <c r="G281" s="3" t="s">
        <v>911</v>
      </c>
      <c r="I281">
        <v>385</v>
      </c>
      <c r="K281">
        <v>4</v>
      </c>
    </row>
    <row r="282" spans="1:11" x14ac:dyDescent="0.25">
      <c r="A282" s="3" t="s">
        <v>166</v>
      </c>
      <c r="B282" s="3">
        <v>346</v>
      </c>
      <c r="C282" s="3">
        <v>108</v>
      </c>
      <c r="D282" s="3">
        <v>3</v>
      </c>
      <c r="E282" s="3" t="s">
        <v>892</v>
      </c>
      <c r="F282" s="3" t="s">
        <v>893</v>
      </c>
      <c r="G282" s="3" t="s">
        <v>891</v>
      </c>
      <c r="I282">
        <v>355</v>
      </c>
      <c r="K282">
        <v>-25</v>
      </c>
    </row>
    <row r="283" spans="1:11" x14ac:dyDescent="0.25">
      <c r="A283" s="3" t="s">
        <v>168</v>
      </c>
      <c r="B283" s="3">
        <v>342</v>
      </c>
      <c r="C283" s="3">
        <v>-103</v>
      </c>
      <c r="D283" s="3">
        <v>4</v>
      </c>
      <c r="E283" s="3" t="s">
        <v>889</v>
      </c>
      <c r="F283" s="3" t="s">
        <v>890</v>
      </c>
      <c r="G283" s="3" t="s">
        <v>891</v>
      </c>
      <c r="I283">
        <v>-129</v>
      </c>
      <c r="K283">
        <v>32</v>
      </c>
    </row>
    <row r="284" spans="1:11" x14ac:dyDescent="0.25">
      <c r="A284" s="3" t="s">
        <v>809</v>
      </c>
      <c r="B284" s="3">
        <v>35</v>
      </c>
      <c r="C284" s="3">
        <v>-8</v>
      </c>
      <c r="D284" s="3">
        <v>2</v>
      </c>
      <c r="E284" s="3" t="s">
        <v>892</v>
      </c>
      <c r="F284" s="3" t="s">
        <v>912</v>
      </c>
      <c r="G284" s="3" t="s">
        <v>911</v>
      </c>
      <c r="I284">
        <v>22</v>
      </c>
      <c r="K284">
        <v>10</v>
      </c>
    </row>
    <row r="285" spans="1:11" x14ac:dyDescent="0.25">
      <c r="A285" s="3" t="s">
        <v>682</v>
      </c>
      <c r="B285" s="3">
        <v>121</v>
      </c>
      <c r="C285" s="3">
        <v>41</v>
      </c>
      <c r="D285" s="3">
        <v>4</v>
      </c>
      <c r="E285" s="3" t="s">
        <v>899</v>
      </c>
      <c r="F285" s="3" t="s">
        <v>907</v>
      </c>
      <c r="G285" s="3" t="s">
        <v>902</v>
      </c>
      <c r="I285">
        <v>-447</v>
      </c>
      <c r="K285">
        <v>17</v>
      </c>
    </row>
    <row r="286" spans="1:11" x14ac:dyDescent="0.25">
      <c r="A286" s="3" t="s">
        <v>413</v>
      </c>
      <c r="B286" s="3">
        <v>336</v>
      </c>
      <c r="C286" s="3">
        <v>57</v>
      </c>
      <c r="D286" s="3">
        <v>2</v>
      </c>
      <c r="E286" s="3" t="s">
        <v>889</v>
      </c>
      <c r="F286" s="3" t="s">
        <v>898</v>
      </c>
      <c r="G286" s="3" t="s">
        <v>891</v>
      </c>
      <c r="I286">
        <v>114</v>
      </c>
      <c r="K286">
        <v>-46</v>
      </c>
    </row>
    <row r="287" spans="1:11" x14ac:dyDescent="0.25">
      <c r="A287" s="3" t="s">
        <v>472</v>
      </c>
      <c r="B287" s="3">
        <v>336</v>
      </c>
      <c r="C287" s="3">
        <v>71</v>
      </c>
      <c r="D287" s="3">
        <v>3</v>
      </c>
      <c r="E287" s="3" t="s">
        <v>892</v>
      </c>
      <c r="F287" s="3" t="s">
        <v>895</v>
      </c>
      <c r="G287" s="3" t="s">
        <v>891</v>
      </c>
      <c r="I287">
        <v>95</v>
      </c>
      <c r="K287">
        <v>30</v>
      </c>
    </row>
    <row r="288" spans="1:11" x14ac:dyDescent="0.25">
      <c r="A288" s="3" t="s">
        <v>652</v>
      </c>
      <c r="B288" s="3">
        <v>27</v>
      </c>
      <c r="C288" s="3">
        <v>4</v>
      </c>
      <c r="D288" s="3">
        <v>1</v>
      </c>
      <c r="E288" s="3" t="s">
        <v>899</v>
      </c>
      <c r="F288" s="3" t="s">
        <v>903</v>
      </c>
      <c r="G288" s="3" t="s">
        <v>891</v>
      </c>
      <c r="I288">
        <v>305</v>
      </c>
      <c r="K288">
        <v>17</v>
      </c>
    </row>
    <row r="289" spans="1:11" x14ac:dyDescent="0.25">
      <c r="A289" s="3" t="s">
        <v>478</v>
      </c>
      <c r="B289" s="3">
        <v>333</v>
      </c>
      <c r="C289" s="3">
        <v>50</v>
      </c>
      <c r="D289" s="3">
        <v>2</v>
      </c>
      <c r="E289" s="3" t="s">
        <v>889</v>
      </c>
      <c r="F289" s="3" t="s">
        <v>898</v>
      </c>
      <c r="G289" s="3" t="s">
        <v>891</v>
      </c>
      <c r="I289">
        <v>293</v>
      </c>
      <c r="K289">
        <v>-25</v>
      </c>
    </row>
    <row r="290" spans="1:11" x14ac:dyDescent="0.25">
      <c r="A290" s="3" t="s">
        <v>46</v>
      </c>
      <c r="B290" s="3">
        <v>36</v>
      </c>
      <c r="C290" s="3">
        <v>7</v>
      </c>
      <c r="D290" s="3">
        <v>3</v>
      </c>
      <c r="E290" s="3" t="s">
        <v>899</v>
      </c>
      <c r="F290" s="3" t="s">
        <v>908</v>
      </c>
      <c r="G290" s="3" t="s">
        <v>911</v>
      </c>
      <c r="I290">
        <v>206</v>
      </c>
      <c r="K290">
        <v>20</v>
      </c>
    </row>
    <row r="291" spans="1:11" x14ac:dyDescent="0.25">
      <c r="A291" s="3" t="s">
        <v>476</v>
      </c>
      <c r="B291" s="3">
        <v>333</v>
      </c>
      <c r="C291" s="3">
        <v>-15</v>
      </c>
      <c r="D291" s="3">
        <v>3</v>
      </c>
      <c r="E291" s="3" t="s">
        <v>889</v>
      </c>
      <c r="F291" s="3" t="s">
        <v>898</v>
      </c>
      <c r="G291" s="3" t="s">
        <v>891</v>
      </c>
      <c r="I291">
        <v>82</v>
      </c>
      <c r="K291">
        <v>0</v>
      </c>
    </row>
    <row r="292" spans="1:11" x14ac:dyDescent="0.25">
      <c r="A292" s="3" t="s">
        <v>482</v>
      </c>
      <c r="B292" s="3">
        <v>327</v>
      </c>
      <c r="C292" s="3">
        <v>114</v>
      </c>
      <c r="D292" s="3">
        <v>4</v>
      </c>
      <c r="E292" s="3" t="s">
        <v>899</v>
      </c>
      <c r="F292" s="3" t="s">
        <v>900</v>
      </c>
      <c r="G292" s="3" t="s">
        <v>891</v>
      </c>
      <c r="I292">
        <v>-130</v>
      </c>
      <c r="K292">
        <v>35</v>
      </c>
    </row>
    <row r="293" spans="1:11" x14ac:dyDescent="0.25">
      <c r="A293" s="3" t="s">
        <v>526</v>
      </c>
      <c r="B293" s="3">
        <v>18</v>
      </c>
      <c r="C293" s="3">
        <v>6</v>
      </c>
      <c r="D293" s="3">
        <v>3</v>
      </c>
      <c r="E293" s="3" t="s">
        <v>899</v>
      </c>
      <c r="F293" s="3" t="s">
        <v>903</v>
      </c>
      <c r="G293" s="3" t="s">
        <v>902</v>
      </c>
      <c r="I293">
        <v>-38</v>
      </c>
      <c r="K293">
        <v>-9</v>
      </c>
    </row>
    <row r="294" spans="1:11" x14ac:dyDescent="0.25">
      <c r="A294" s="3" t="s">
        <v>397</v>
      </c>
      <c r="B294" s="3">
        <v>325</v>
      </c>
      <c r="C294" s="3">
        <v>32</v>
      </c>
      <c r="D294" s="3">
        <v>7</v>
      </c>
      <c r="E294" s="3" t="s">
        <v>899</v>
      </c>
      <c r="F294" s="3" t="s">
        <v>910</v>
      </c>
      <c r="G294" s="3" t="s">
        <v>891</v>
      </c>
      <c r="I294">
        <v>546</v>
      </c>
      <c r="K294">
        <v>33</v>
      </c>
    </row>
    <row r="295" spans="1:11" x14ac:dyDescent="0.25">
      <c r="A295" s="3" t="s">
        <v>400</v>
      </c>
      <c r="B295" s="3">
        <v>482</v>
      </c>
      <c r="C295" s="3">
        <v>-6</v>
      </c>
      <c r="D295" s="3">
        <v>7</v>
      </c>
      <c r="E295" s="3" t="s">
        <v>889</v>
      </c>
      <c r="F295" s="3" t="s">
        <v>890</v>
      </c>
      <c r="G295" s="3" t="s">
        <v>894</v>
      </c>
      <c r="I295">
        <v>-153</v>
      </c>
      <c r="K295">
        <v>11</v>
      </c>
    </row>
    <row r="296" spans="1:11" x14ac:dyDescent="0.25">
      <c r="A296" s="3" t="s">
        <v>297</v>
      </c>
      <c r="B296" s="3">
        <v>465</v>
      </c>
      <c r="C296" s="3">
        <v>-33</v>
      </c>
      <c r="D296" s="3">
        <v>4</v>
      </c>
      <c r="E296" s="3" t="s">
        <v>889</v>
      </c>
      <c r="F296" s="3" t="s">
        <v>898</v>
      </c>
      <c r="G296" s="3" t="s">
        <v>894</v>
      </c>
      <c r="I296">
        <v>-12</v>
      </c>
      <c r="K296">
        <v>55</v>
      </c>
    </row>
    <row r="297" spans="1:11" x14ac:dyDescent="0.25">
      <c r="A297" s="3" t="s">
        <v>364</v>
      </c>
      <c r="B297" s="3">
        <v>40</v>
      </c>
      <c r="C297" s="3">
        <v>-12</v>
      </c>
      <c r="D297" s="3">
        <v>3</v>
      </c>
      <c r="E297" s="3" t="s">
        <v>899</v>
      </c>
      <c r="F297" s="3" t="s">
        <v>913</v>
      </c>
      <c r="G297" s="3" t="s">
        <v>891</v>
      </c>
      <c r="I297">
        <v>-244</v>
      </c>
      <c r="K297">
        <v>-23</v>
      </c>
    </row>
    <row r="298" spans="1:11" x14ac:dyDescent="0.25">
      <c r="A298" s="3" t="s">
        <v>136</v>
      </c>
      <c r="B298" s="3">
        <v>107</v>
      </c>
      <c r="C298" s="3">
        <v>36</v>
      </c>
      <c r="D298" s="3">
        <v>6</v>
      </c>
      <c r="E298" s="3" t="s">
        <v>899</v>
      </c>
      <c r="F298" s="3" t="s">
        <v>907</v>
      </c>
      <c r="G298" s="3" t="s">
        <v>891</v>
      </c>
      <c r="I298">
        <v>567</v>
      </c>
      <c r="K298">
        <v>0</v>
      </c>
    </row>
    <row r="299" spans="1:11" x14ac:dyDescent="0.25">
      <c r="A299" s="3" t="s">
        <v>436</v>
      </c>
      <c r="B299" s="3">
        <v>312</v>
      </c>
      <c r="C299" s="3">
        <v>-312</v>
      </c>
      <c r="D299" s="3">
        <v>7</v>
      </c>
      <c r="E299" s="3" t="s">
        <v>892</v>
      </c>
      <c r="F299" s="3" t="s">
        <v>893</v>
      </c>
      <c r="G299" s="3" t="s">
        <v>891</v>
      </c>
      <c r="I299">
        <v>742</v>
      </c>
      <c r="K299">
        <v>7</v>
      </c>
    </row>
    <row r="300" spans="1:11" x14ac:dyDescent="0.25">
      <c r="A300" s="3" t="s">
        <v>415</v>
      </c>
      <c r="B300" s="3">
        <v>451</v>
      </c>
      <c r="C300" s="3">
        <v>25</v>
      </c>
      <c r="D300" s="3">
        <v>3</v>
      </c>
      <c r="E300" s="3" t="s">
        <v>889</v>
      </c>
      <c r="F300" s="3" t="s">
        <v>898</v>
      </c>
      <c r="G300" s="3" t="s">
        <v>894</v>
      </c>
      <c r="I300">
        <v>111</v>
      </c>
      <c r="K300">
        <v>2</v>
      </c>
    </row>
    <row r="301" spans="1:11" x14ac:dyDescent="0.25">
      <c r="A301" s="3" t="s">
        <v>367</v>
      </c>
      <c r="B301" s="3">
        <v>312</v>
      </c>
      <c r="C301" s="3">
        <v>62</v>
      </c>
      <c r="D301" s="3">
        <v>1</v>
      </c>
      <c r="E301" s="3" t="s">
        <v>889</v>
      </c>
      <c r="F301" s="3" t="s">
        <v>890</v>
      </c>
      <c r="G301" s="3" t="s">
        <v>891</v>
      </c>
      <c r="I301">
        <v>346</v>
      </c>
      <c r="K301">
        <v>19</v>
      </c>
    </row>
    <row r="302" spans="1:11" x14ac:dyDescent="0.25">
      <c r="A302" s="3" t="s">
        <v>494</v>
      </c>
      <c r="B302" s="3">
        <v>311</v>
      </c>
      <c r="C302" s="3">
        <v>72</v>
      </c>
      <c r="D302" s="3">
        <v>2</v>
      </c>
      <c r="E302" s="3" t="s">
        <v>892</v>
      </c>
      <c r="F302" s="3" t="s">
        <v>895</v>
      </c>
      <c r="G302" s="3" t="s">
        <v>891</v>
      </c>
      <c r="I302">
        <v>309</v>
      </c>
      <c r="K302">
        <v>-105</v>
      </c>
    </row>
    <row r="303" spans="1:11" x14ac:dyDescent="0.25">
      <c r="A303" s="3" t="s">
        <v>879</v>
      </c>
      <c r="B303" s="3">
        <v>11</v>
      </c>
      <c r="C303" s="3">
        <v>5</v>
      </c>
      <c r="D303" s="3">
        <v>2</v>
      </c>
      <c r="E303" s="3" t="s">
        <v>899</v>
      </c>
      <c r="F303" s="3" t="s">
        <v>903</v>
      </c>
      <c r="G303" s="3" t="s">
        <v>902</v>
      </c>
      <c r="I303">
        <v>503</v>
      </c>
      <c r="K303">
        <v>5</v>
      </c>
    </row>
    <row r="304" spans="1:11" x14ac:dyDescent="0.25">
      <c r="A304" s="3" t="s">
        <v>644</v>
      </c>
      <c r="B304" s="3">
        <v>37</v>
      </c>
      <c r="C304" s="3">
        <v>-5</v>
      </c>
      <c r="D304" s="3">
        <v>3</v>
      </c>
      <c r="E304" s="3" t="s">
        <v>899</v>
      </c>
      <c r="F304" s="3" t="s">
        <v>910</v>
      </c>
      <c r="G304" s="3" t="s">
        <v>911</v>
      </c>
      <c r="I304">
        <v>322</v>
      </c>
      <c r="K304">
        <v>-22</v>
      </c>
    </row>
    <row r="305" spans="1:11" x14ac:dyDescent="0.25">
      <c r="A305" s="3" t="s">
        <v>265</v>
      </c>
      <c r="B305" s="3">
        <v>444</v>
      </c>
      <c r="C305" s="3">
        <v>-200</v>
      </c>
      <c r="D305" s="3">
        <v>4</v>
      </c>
      <c r="E305" s="3" t="s">
        <v>889</v>
      </c>
      <c r="F305" s="3" t="s">
        <v>898</v>
      </c>
      <c r="G305" s="3" t="s">
        <v>894</v>
      </c>
      <c r="I305">
        <v>-289</v>
      </c>
      <c r="K305">
        <v>40</v>
      </c>
    </row>
    <row r="306" spans="1:11" x14ac:dyDescent="0.25">
      <c r="A306" s="3" t="s">
        <v>422</v>
      </c>
      <c r="B306" s="3">
        <v>434</v>
      </c>
      <c r="C306" s="3">
        <v>26</v>
      </c>
      <c r="D306" s="3">
        <v>11</v>
      </c>
      <c r="E306" s="3" t="s">
        <v>899</v>
      </c>
      <c r="F306" s="3" t="s">
        <v>913</v>
      </c>
      <c r="G306" s="3" t="s">
        <v>897</v>
      </c>
      <c r="I306">
        <v>64</v>
      </c>
      <c r="K306">
        <v>4</v>
      </c>
    </row>
    <row r="307" spans="1:11" x14ac:dyDescent="0.25">
      <c r="A307" s="3" t="s">
        <v>501</v>
      </c>
      <c r="B307" s="3">
        <v>299</v>
      </c>
      <c r="C307" s="3">
        <v>0</v>
      </c>
      <c r="D307" s="3">
        <v>6</v>
      </c>
      <c r="E307" s="3" t="s">
        <v>899</v>
      </c>
      <c r="F307" s="3" t="s">
        <v>907</v>
      </c>
      <c r="G307" s="3" t="s">
        <v>891</v>
      </c>
      <c r="I307">
        <v>-175</v>
      </c>
      <c r="K307">
        <v>-50</v>
      </c>
    </row>
    <row r="308" spans="1:11" x14ac:dyDescent="0.25">
      <c r="A308" s="3" t="s">
        <v>413</v>
      </c>
      <c r="B308" s="3">
        <v>37</v>
      </c>
      <c r="C308" s="3">
        <v>17</v>
      </c>
      <c r="D308" s="3">
        <v>3</v>
      </c>
      <c r="E308" s="3" t="s">
        <v>899</v>
      </c>
      <c r="F308" s="3" t="s">
        <v>903</v>
      </c>
      <c r="G308" s="3" t="s">
        <v>911</v>
      </c>
      <c r="I308">
        <v>665</v>
      </c>
      <c r="K308">
        <v>39</v>
      </c>
    </row>
    <row r="309" spans="1:11" x14ac:dyDescent="0.25">
      <c r="A309" s="3" t="s">
        <v>452</v>
      </c>
      <c r="B309" s="3">
        <v>299</v>
      </c>
      <c r="C309" s="3">
        <v>113</v>
      </c>
      <c r="D309" s="3">
        <v>2</v>
      </c>
      <c r="E309" s="3" t="s">
        <v>892</v>
      </c>
      <c r="F309" s="3" t="s">
        <v>895</v>
      </c>
      <c r="G309" s="3" t="s">
        <v>891</v>
      </c>
      <c r="I309">
        <v>1698</v>
      </c>
      <c r="K309">
        <v>153</v>
      </c>
    </row>
    <row r="310" spans="1:11" x14ac:dyDescent="0.25">
      <c r="A310" s="3" t="s">
        <v>503</v>
      </c>
      <c r="B310" s="3">
        <v>298</v>
      </c>
      <c r="C310" s="3">
        <v>74</v>
      </c>
      <c r="D310" s="3">
        <v>2</v>
      </c>
      <c r="E310" s="3" t="s">
        <v>892</v>
      </c>
      <c r="F310" s="3" t="s">
        <v>895</v>
      </c>
      <c r="G310" s="3" t="s">
        <v>891</v>
      </c>
      <c r="K310">
        <v>0</v>
      </c>
    </row>
    <row r="311" spans="1:11" x14ac:dyDescent="0.25">
      <c r="A311" s="3" t="s">
        <v>728</v>
      </c>
      <c r="B311" s="3">
        <v>94</v>
      </c>
      <c r="C311" s="3">
        <v>7</v>
      </c>
      <c r="D311" s="3">
        <v>7</v>
      </c>
      <c r="E311" s="3" t="s">
        <v>899</v>
      </c>
      <c r="F311" s="3" t="s">
        <v>908</v>
      </c>
      <c r="G311" s="3" t="s">
        <v>902</v>
      </c>
      <c r="K311">
        <v>0</v>
      </c>
    </row>
    <row r="312" spans="1:11" x14ac:dyDescent="0.25">
      <c r="A312" s="3" t="s">
        <v>317</v>
      </c>
      <c r="B312" s="3">
        <v>296</v>
      </c>
      <c r="C312" s="3">
        <v>225</v>
      </c>
      <c r="D312" s="3">
        <v>11</v>
      </c>
      <c r="E312" s="3" t="s">
        <v>899</v>
      </c>
      <c r="F312" s="3" t="s">
        <v>901</v>
      </c>
      <c r="G312" s="3" t="s">
        <v>891</v>
      </c>
      <c r="K312">
        <v>23</v>
      </c>
    </row>
    <row r="313" spans="1:11" x14ac:dyDescent="0.25">
      <c r="A313" s="3" t="s">
        <v>114</v>
      </c>
      <c r="B313" s="3">
        <v>37</v>
      </c>
      <c r="C313" s="3">
        <v>17</v>
      </c>
      <c r="D313" s="3">
        <v>3</v>
      </c>
      <c r="E313" s="3" t="s">
        <v>899</v>
      </c>
      <c r="F313" s="3" t="s">
        <v>903</v>
      </c>
      <c r="G313" s="3" t="s">
        <v>911</v>
      </c>
      <c r="K313">
        <v>54</v>
      </c>
    </row>
    <row r="314" spans="1:11" x14ac:dyDescent="0.25">
      <c r="A314" s="3" t="s">
        <v>506</v>
      </c>
      <c r="B314" s="3">
        <v>291</v>
      </c>
      <c r="C314" s="3">
        <v>93</v>
      </c>
      <c r="D314" s="3">
        <v>2</v>
      </c>
      <c r="E314" s="3" t="s">
        <v>889</v>
      </c>
      <c r="F314" s="3" t="s">
        <v>896</v>
      </c>
      <c r="G314" s="3" t="s">
        <v>891</v>
      </c>
      <c r="K314">
        <v>15</v>
      </c>
    </row>
    <row r="315" spans="1:11" x14ac:dyDescent="0.25">
      <c r="A315" s="3" t="s">
        <v>480</v>
      </c>
      <c r="B315" s="3">
        <v>327</v>
      </c>
      <c r="C315" s="3">
        <v>-39</v>
      </c>
      <c r="D315" s="3">
        <v>1</v>
      </c>
      <c r="E315" s="3" t="s">
        <v>889</v>
      </c>
      <c r="F315" s="3" t="s">
        <v>898</v>
      </c>
      <c r="G315" s="3" t="s">
        <v>891</v>
      </c>
      <c r="K315">
        <v>51</v>
      </c>
    </row>
    <row r="316" spans="1:11" x14ac:dyDescent="0.25">
      <c r="A316" s="3" t="s">
        <v>380</v>
      </c>
      <c r="B316" s="3">
        <v>291</v>
      </c>
      <c r="C316" s="3">
        <v>119</v>
      </c>
      <c r="D316" s="3">
        <v>11</v>
      </c>
      <c r="E316" s="3" t="s">
        <v>899</v>
      </c>
      <c r="F316" s="3" t="s">
        <v>901</v>
      </c>
      <c r="G316" s="3" t="s">
        <v>891</v>
      </c>
      <c r="K316">
        <v>-1</v>
      </c>
    </row>
    <row r="317" spans="1:11" x14ac:dyDescent="0.25">
      <c r="A317" s="3" t="s">
        <v>509</v>
      </c>
      <c r="B317" s="3">
        <v>287</v>
      </c>
      <c r="C317" s="3">
        <v>-66</v>
      </c>
      <c r="D317" s="3">
        <v>6</v>
      </c>
      <c r="E317" s="3" t="s">
        <v>899</v>
      </c>
      <c r="F317" s="3" t="s">
        <v>904</v>
      </c>
      <c r="G317" s="3" t="s">
        <v>891</v>
      </c>
      <c r="K317">
        <v>22</v>
      </c>
    </row>
    <row r="318" spans="1:11" x14ac:dyDescent="0.25">
      <c r="A318" s="3" t="s">
        <v>469</v>
      </c>
      <c r="B318" s="3">
        <v>42</v>
      </c>
      <c r="C318" s="3">
        <v>15</v>
      </c>
      <c r="D318" s="3">
        <v>1</v>
      </c>
      <c r="E318" s="3" t="s">
        <v>889</v>
      </c>
      <c r="F318" s="3" t="s">
        <v>909</v>
      </c>
      <c r="G318" s="3" t="s">
        <v>902</v>
      </c>
      <c r="K318">
        <v>50</v>
      </c>
    </row>
    <row r="319" spans="1:11" x14ac:dyDescent="0.25">
      <c r="A319" s="3" t="s">
        <v>424</v>
      </c>
      <c r="B319" s="3">
        <v>429</v>
      </c>
      <c r="C319" s="3">
        <v>61</v>
      </c>
      <c r="D319" s="3">
        <v>3</v>
      </c>
      <c r="E319" s="3" t="s">
        <v>889</v>
      </c>
      <c r="F319" s="3" t="s">
        <v>890</v>
      </c>
      <c r="G319" s="3" t="s">
        <v>897</v>
      </c>
      <c r="K319">
        <v>48</v>
      </c>
    </row>
    <row r="320" spans="1:11" x14ac:dyDescent="0.25">
      <c r="A320" s="3" t="s">
        <v>510</v>
      </c>
      <c r="B320" s="3">
        <v>285</v>
      </c>
      <c r="C320" s="3">
        <v>128</v>
      </c>
      <c r="D320" s="3">
        <v>2</v>
      </c>
      <c r="E320" s="3" t="s">
        <v>889</v>
      </c>
      <c r="F320" s="3" t="s">
        <v>896</v>
      </c>
      <c r="G320" s="3" t="s">
        <v>891</v>
      </c>
      <c r="K320">
        <v>-87</v>
      </c>
    </row>
    <row r="321" spans="1:11" x14ac:dyDescent="0.25">
      <c r="A321" s="3" t="s">
        <v>514</v>
      </c>
      <c r="B321" s="3">
        <v>277</v>
      </c>
      <c r="C321" s="3">
        <v>3</v>
      </c>
      <c r="D321" s="3">
        <v>1</v>
      </c>
      <c r="E321" s="3" t="s">
        <v>889</v>
      </c>
      <c r="F321" s="3" t="s">
        <v>890</v>
      </c>
      <c r="G321" s="3" t="s">
        <v>891</v>
      </c>
      <c r="K321">
        <v>20</v>
      </c>
    </row>
    <row r="322" spans="1:11" x14ac:dyDescent="0.25">
      <c r="A322" s="3" t="s">
        <v>282</v>
      </c>
      <c r="B322" s="3">
        <v>274</v>
      </c>
      <c r="C322" s="3">
        <v>-7</v>
      </c>
      <c r="D322" s="3">
        <v>4</v>
      </c>
      <c r="E322" s="3" t="s">
        <v>889</v>
      </c>
      <c r="F322" s="3" t="s">
        <v>898</v>
      </c>
      <c r="G322" s="3" t="s">
        <v>891</v>
      </c>
      <c r="K322">
        <v>32</v>
      </c>
    </row>
    <row r="323" spans="1:11" x14ac:dyDescent="0.25">
      <c r="A323" s="3" t="s">
        <v>519</v>
      </c>
      <c r="B323" s="3">
        <v>273</v>
      </c>
      <c r="C323" s="3">
        <v>-87</v>
      </c>
      <c r="D323" s="3">
        <v>4</v>
      </c>
      <c r="E323" s="3" t="s">
        <v>889</v>
      </c>
      <c r="F323" s="3" t="s">
        <v>898</v>
      </c>
      <c r="G323" s="3" t="s">
        <v>891</v>
      </c>
      <c r="K323">
        <v>12</v>
      </c>
    </row>
    <row r="324" spans="1:11" x14ac:dyDescent="0.25">
      <c r="A324" s="3" t="s">
        <v>277</v>
      </c>
      <c r="B324" s="3">
        <v>269</v>
      </c>
      <c r="C324" s="3">
        <v>91</v>
      </c>
      <c r="D324" s="3">
        <v>1</v>
      </c>
      <c r="E324" s="3" t="s">
        <v>889</v>
      </c>
      <c r="F324" s="3" t="s">
        <v>890</v>
      </c>
      <c r="G324" s="3" t="s">
        <v>891</v>
      </c>
      <c r="K324">
        <v>-1</v>
      </c>
    </row>
    <row r="325" spans="1:11" x14ac:dyDescent="0.25">
      <c r="A325" s="3" t="s">
        <v>506</v>
      </c>
      <c r="B325" s="3">
        <v>11</v>
      </c>
      <c r="C325" s="3">
        <v>5</v>
      </c>
      <c r="D325" s="3">
        <v>1</v>
      </c>
      <c r="E325" s="3" t="s">
        <v>899</v>
      </c>
      <c r="F325" s="3" t="s">
        <v>905</v>
      </c>
      <c r="G325" s="3" t="s">
        <v>891</v>
      </c>
      <c r="K325">
        <v>22</v>
      </c>
    </row>
    <row r="326" spans="1:11" x14ac:dyDescent="0.25">
      <c r="A326" s="3" t="s">
        <v>25</v>
      </c>
      <c r="B326" s="3">
        <v>39</v>
      </c>
      <c r="C326" s="3">
        <v>2</v>
      </c>
      <c r="D326" s="3">
        <v>2</v>
      </c>
      <c r="E326" s="3" t="s">
        <v>899</v>
      </c>
      <c r="F326" s="3" t="s">
        <v>901</v>
      </c>
      <c r="G326" s="3" t="s">
        <v>911</v>
      </c>
      <c r="K326">
        <v>12</v>
      </c>
    </row>
    <row r="327" spans="1:11" x14ac:dyDescent="0.25">
      <c r="A327" s="3" t="s">
        <v>415</v>
      </c>
      <c r="B327" s="3">
        <v>264</v>
      </c>
      <c r="C327" s="3">
        <v>-26</v>
      </c>
      <c r="D327" s="3">
        <v>3</v>
      </c>
      <c r="E327" s="3" t="s">
        <v>899</v>
      </c>
      <c r="F327" s="3" t="s">
        <v>900</v>
      </c>
      <c r="G327" s="3" t="s">
        <v>891</v>
      </c>
      <c r="K327">
        <v>0</v>
      </c>
    </row>
    <row r="328" spans="1:11" x14ac:dyDescent="0.25">
      <c r="A328" s="3" t="s">
        <v>448</v>
      </c>
      <c r="B328" s="3">
        <v>40</v>
      </c>
      <c r="C328" s="3">
        <v>16</v>
      </c>
      <c r="D328" s="3">
        <v>3</v>
      </c>
      <c r="E328" s="3" t="s">
        <v>899</v>
      </c>
      <c r="F328" s="3" t="s">
        <v>903</v>
      </c>
      <c r="G328" s="3" t="s">
        <v>911</v>
      </c>
      <c r="K328">
        <v>41</v>
      </c>
    </row>
    <row r="329" spans="1:11" x14ac:dyDescent="0.25">
      <c r="A329" s="3" t="s">
        <v>662</v>
      </c>
      <c r="B329" s="3">
        <v>41</v>
      </c>
      <c r="C329" s="3">
        <v>19</v>
      </c>
      <c r="D329" s="3">
        <v>2</v>
      </c>
      <c r="E329" s="3" t="s">
        <v>899</v>
      </c>
      <c r="F329" s="3" t="s">
        <v>910</v>
      </c>
      <c r="G329" s="3" t="s">
        <v>911</v>
      </c>
      <c r="K329">
        <v>34</v>
      </c>
    </row>
    <row r="330" spans="1:11" x14ac:dyDescent="0.25">
      <c r="A330" s="3" t="s">
        <v>354</v>
      </c>
      <c r="B330" s="3">
        <v>253</v>
      </c>
      <c r="C330" s="3">
        <v>-63</v>
      </c>
      <c r="D330" s="3">
        <v>2</v>
      </c>
      <c r="E330" s="3" t="s">
        <v>899</v>
      </c>
      <c r="F330" s="3" t="s">
        <v>901</v>
      </c>
      <c r="G330" s="3" t="s">
        <v>902</v>
      </c>
      <c r="K330">
        <v>24</v>
      </c>
    </row>
    <row r="331" spans="1:11" x14ac:dyDescent="0.25">
      <c r="A331" s="3" t="s">
        <v>434</v>
      </c>
      <c r="B331" s="3">
        <v>406</v>
      </c>
      <c r="C331" s="3">
        <v>97</v>
      </c>
      <c r="D331" s="3">
        <v>7</v>
      </c>
      <c r="E331" s="3" t="s">
        <v>892</v>
      </c>
      <c r="F331" s="3" t="s">
        <v>893</v>
      </c>
      <c r="G331" s="3" t="s">
        <v>897</v>
      </c>
      <c r="K331">
        <v>-17</v>
      </c>
    </row>
    <row r="332" spans="1:11" x14ac:dyDescent="0.25">
      <c r="A332" s="3" t="s">
        <v>375</v>
      </c>
      <c r="B332" s="3">
        <v>32</v>
      </c>
      <c r="C332" s="3">
        <v>7</v>
      </c>
      <c r="D332" s="3">
        <v>3</v>
      </c>
      <c r="E332" s="3" t="s">
        <v>899</v>
      </c>
      <c r="F332" s="3" t="s">
        <v>903</v>
      </c>
      <c r="G332" s="3" t="s">
        <v>891</v>
      </c>
      <c r="K332">
        <v>0</v>
      </c>
    </row>
    <row r="333" spans="1:11" x14ac:dyDescent="0.25">
      <c r="A333" s="3" t="s">
        <v>367</v>
      </c>
      <c r="B333" s="3">
        <v>260</v>
      </c>
      <c r="C333" s="3">
        <v>68</v>
      </c>
      <c r="D333" s="3">
        <v>2</v>
      </c>
      <c r="E333" s="3" t="s">
        <v>889</v>
      </c>
      <c r="F333" s="3" t="s">
        <v>896</v>
      </c>
      <c r="G333" s="3" t="s">
        <v>891</v>
      </c>
      <c r="K333">
        <v>0</v>
      </c>
    </row>
    <row r="334" spans="1:11" x14ac:dyDescent="0.25">
      <c r="A334" s="3" t="s">
        <v>616</v>
      </c>
      <c r="B334" s="3">
        <v>41</v>
      </c>
      <c r="C334" s="3">
        <v>19</v>
      </c>
      <c r="D334" s="3">
        <v>5</v>
      </c>
      <c r="E334" s="3" t="s">
        <v>899</v>
      </c>
      <c r="F334" s="3" t="s">
        <v>903</v>
      </c>
      <c r="G334" s="3" t="s">
        <v>911</v>
      </c>
      <c r="K334">
        <v>22</v>
      </c>
    </row>
    <row r="335" spans="1:11" x14ac:dyDescent="0.25">
      <c r="A335" s="3" t="s">
        <v>122</v>
      </c>
      <c r="B335" s="3">
        <v>401</v>
      </c>
      <c r="C335" s="3">
        <v>13</v>
      </c>
      <c r="D335" s="3">
        <v>6</v>
      </c>
      <c r="E335" s="3" t="s">
        <v>892</v>
      </c>
      <c r="F335" s="3" t="s">
        <v>893</v>
      </c>
      <c r="G335" s="3" t="s">
        <v>897</v>
      </c>
      <c r="K335">
        <v>16</v>
      </c>
    </row>
    <row r="336" spans="1:11" x14ac:dyDescent="0.25">
      <c r="A336" s="3" t="s">
        <v>448</v>
      </c>
      <c r="B336" s="3">
        <v>382</v>
      </c>
      <c r="C336" s="3">
        <v>30</v>
      </c>
      <c r="D336" s="3">
        <v>3</v>
      </c>
      <c r="E336" s="3" t="s">
        <v>899</v>
      </c>
      <c r="F336" s="3" t="s">
        <v>901</v>
      </c>
      <c r="G336" s="3" t="s">
        <v>897</v>
      </c>
      <c r="K336">
        <v>0</v>
      </c>
    </row>
    <row r="337" spans="1:11" x14ac:dyDescent="0.25">
      <c r="A337" s="3" t="s">
        <v>248</v>
      </c>
      <c r="B337" s="3">
        <v>867</v>
      </c>
      <c r="C337" s="3">
        <v>251</v>
      </c>
      <c r="D337" s="3">
        <v>5</v>
      </c>
      <c r="E337" s="3" t="s">
        <v>889</v>
      </c>
      <c r="F337" s="3" t="s">
        <v>898</v>
      </c>
      <c r="G337" s="3" t="s">
        <v>891</v>
      </c>
      <c r="K337">
        <v>59</v>
      </c>
    </row>
    <row r="338" spans="1:11" x14ac:dyDescent="0.25">
      <c r="A338" s="3" t="s">
        <v>199</v>
      </c>
      <c r="B338" s="3">
        <v>43</v>
      </c>
      <c r="C338" s="3">
        <v>0</v>
      </c>
      <c r="D338" s="3">
        <v>3</v>
      </c>
      <c r="E338" s="3" t="s">
        <v>899</v>
      </c>
      <c r="F338" s="3" t="s">
        <v>901</v>
      </c>
      <c r="G338" s="3" t="s">
        <v>911</v>
      </c>
      <c r="K338">
        <v>14</v>
      </c>
    </row>
    <row r="339" spans="1:11" x14ac:dyDescent="0.25">
      <c r="A339" s="3" t="s">
        <v>810</v>
      </c>
      <c r="B339" s="3">
        <v>43</v>
      </c>
      <c r="C339" s="3">
        <v>-43</v>
      </c>
      <c r="D339" s="3">
        <v>7</v>
      </c>
      <c r="E339" s="3" t="s">
        <v>899</v>
      </c>
      <c r="F339" s="3" t="s">
        <v>907</v>
      </c>
      <c r="G339" s="3" t="s">
        <v>911</v>
      </c>
      <c r="K339">
        <v>44</v>
      </c>
    </row>
    <row r="340" spans="1:11" x14ac:dyDescent="0.25">
      <c r="A340" s="3" t="s">
        <v>581</v>
      </c>
      <c r="B340" s="3">
        <v>74</v>
      </c>
      <c r="C340" s="3">
        <v>29</v>
      </c>
      <c r="D340" s="3">
        <v>3</v>
      </c>
      <c r="E340" s="3" t="s">
        <v>899</v>
      </c>
      <c r="F340" s="3" t="s">
        <v>907</v>
      </c>
      <c r="G340" s="3" t="s">
        <v>891</v>
      </c>
      <c r="K340">
        <v>68</v>
      </c>
    </row>
    <row r="341" spans="1:11" x14ac:dyDescent="0.25">
      <c r="A341" s="3" t="s">
        <v>436</v>
      </c>
      <c r="B341" s="3">
        <v>44</v>
      </c>
      <c r="C341" s="3">
        <v>-26</v>
      </c>
      <c r="D341" s="3">
        <v>3</v>
      </c>
      <c r="E341" s="3" t="s">
        <v>899</v>
      </c>
      <c r="F341" s="3" t="s">
        <v>903</v>
      </c>
      <c r="G341" s="3" t="s">
        <v>911</v>
      </c>
      <c r="K341">
        <v>48</v>
      </c>
    </row>
    <row r="342" spans="1:11" x14ac:dyDescent="0.25">
      <c r="A342" s="3" t="s">
        <v>523</v>
      </c>
      <c r="B342" s="3">
        <v>259</v>
      </c>
      <c r="C342" s="3">
        <v>-55</v>
      </c>
      <c r="D342" s="3">
        <v>2</v>
      </c>
      <c r="E342" s="3" t="s">
        <v>892</v>
      </c>
      <c r="F342" s="3" t="s">
        <v>893</v>
      </c>
      <c r="G342" s="3" t="s">
        <v>891</v>
      </c>
      <c r="K342">
        <v>12</v>
      </c>
    </row>
    <row r="343" spans="1:11" x14ac:dyDescent="0.25">
      <c r="A343" s="3" t="s">
        <v>128</v>
      </c>
      <c r="B343" s="3">
        <v>257</v>
      </c>
      <c r="C343" s="3">
        <v>23</v>
      </c>
      <c r="D343" s="3">
        <v>5</v>
      </c>
      <c r="E343" s="3" t="s">
        <v>899</v>
      </c>
      <c r="F343" s="3" t="s">
        <v>903</v>
      </c>
      <c r="G343" s="3" t="s">
        <v>891</v>
      </c>
      <c r="K343">
        <v>8</v>
      </c>
    </row>
    <row r="344" spans="1:11" x14ac:dyDescent="0.25">
      <c r="A344" s="3" t="s">
        <v>132</v>
      </c>
      <c r="B344" s="3">
        <v>76</v>
      </c>
      <c r="C344" s="3">
        <v>27</v>
      </c>
      <c r="D344" s="3">
        <v>5</v>
      </c>
      <c r="E344" s="3" t="s">
        <v>899</v>
      </c>
      <c r="F344" s="3" t="s">
        <v>907</v>
      </c>
      <c r="G344" s="3" t="s">
        <v>891</v>
      </c>
      <c r="K344">
        <v>19</v>
      </c>
    </row>
    <row r="345" spans="1:11" x14ac:dyDescent="0.25">
      <c r="A345" s="3" t="s">
        <v>663</v>
      </c>
      <c r="B345" s="3">
        <v>44</v>
      </c>
      <c r="C345" s="3">
        <v>-32</v>
      </c>
      <c r="D345" s="3">
        <v>3</v>
      </c>
      <c r="E345" s="3" t="s">
        <v>899</v>
      </c>
      <c r="F345" s="3" t="s">
        <v>907</v>
      </c>
      <c r="G345" s="3" t="s">
        <v>911</v>
      </c>
      <c r="K345">
        <v>29</v>
      </c>
    </row>
    <row r="346" spans="1:11" x14ac:dyDescent="0.25">
      <c r="A346" s="3" t="s">
        <v>309</v>
      </c>
      <c r="B346" s="3">
        <v>257</v>
      </c>
      <c r="C346" s="3">
        <v>3</v>
      </c>
      <c r="D346" s="3">
        <v>2</v>
      </c>
      <c r="E346" s="3" t="s">
        <v>899</v>
      </c>
      <c r="F346" s="3" t="s">
        <v>901</v>
      </c>
      <c r="G346" s="3" t="s">
        <v>891</v>
      </c>
      <c r="K346">
        <v>19</v>
      </c>
    </row>
    <row r="347" spans="1:11" x14ac:dyDescent="0.25">
      <c r="A347" s="3" t="s">
        <v>528</v>
      </c>
      <c r="B347" s="3">
        <v>255</v>
      </c>
      <c r="C347" s="3">
        <v>76</v>
      </c>
      <c r="D347" s="3">
        <v>9</v>
      </c>
      <c r="E347" s="3" t="s">
        <v>899</v>
      </c>
      <c r="F347" s="3" t="s">
        <v>903</v>
      </c>
      <c r="G347" s="3" t="s">
        <v>891</v>
      </c>
      <c r="K347">
        <v>-1</v>
      </c>
    </row>
    <row r="348" spans="1:11" x14ac:dyDescent="0.25">
      <c r="A348" s="3" t="s">
        <v>546</v>
      </c>
      <c r="B348" s="3">
        <v>44</v>
      </c>
      <c r="C348" s="3">
        <v>14</v>
      </c>
      <c r="D348" s="3">
        <v>3</v>
      </c>
      <c r="E348" s="3" t="s">
        <v>899</v>
      </c>
      <c r="F348" s="3" t="s">
        <v>903</v>
      </c>
      <c r="G348" s="3" t="s">
        <v>911</v>
      </c>
      <c r="K348">
        <v>12</v>
      </c>
    </row>
    <row r="349" spans="1:11" x14ac:dyDescent="0.25">
      <c r="A349" s="3" t="s">
        <v>644</v>
      </c>
      <c r="B349" s="3">
        <v>45</v>
      </c>
      <c r="C349" s="3">
        <v>-2</v>
      </c>
      <c r="D349" s="3">
        <v>4</v>
      </c>
      <c r="E349" s="3" t="s">
        <v>899</v>
      </c>
      <c r="F349" s="3" t="s">
        <v>913</v>
      </c>
      <c r="G349" s="3" t="s">
        <v>891</v>
      </c>
      <c r="K349">
        <v>6</v>
      </c>
    </row>
    <row r="350" spans="1:11" x14ac:dyDescent="0.25">
      <c r="A350" s="3" t="s">
        <v>87</v>
      </c>
      <c r="B350" s="3">
        <v>44</v>
      </c>
      <c r="C350" s="3">
        <v>-3</v>
      </c>
      <c r="D350" s="3">
        <v>1</v>
      </c>
      <c r="E350" s="3" t="s">
        <v>899</v>
      </c>
      <c r="F350" s="3" t="s">
        <v>901</v>
      </c>
      <c r="G350" s="3" t="s">
        <v>911</v>
      </c>
      <c r="K350">
        <v>14</v>
      </c>
    </row>
    <row r="351" spans="1:11" x14ac:dyDescent="0.25">
      <c r="A351" s="3" t="s">
        <v>138</v>
      </c>
      <c r="B351" s="3">
        <v>382</v>
      </c>
      <c r="C351" s="3">
        <v>119</v>
      </c>
      <c r="D351" s="3">
        <v>2</v>
      </c>
      <c r="E351" s="3" t="s">
        <v>899</v>
      </c>
      <c r="F351" s="3" t="s">
        <v>901</v>
      </c>
      <c r="G351" s="3" t="s">
        <v>897</v>
      </c>
      <c r="K351">
        <v>14</v>
      </c>
    </row>
    <row r="352" spans="1:11" x14ac:dyDescent="0.25">
      <c r="A352" s="3" t="s">
        <v>286</v>
      </c>
      <c r="B352" s="3">
        <v>250</v>
      </c>
      <c r="C352" s="3">
        <v>100</v>
      </c>
      <c r="D352" s="3">
        <v>3</v>
      </c>
      <c r="E352" s="3" t="s">
        <v>899</v>
      </c>
      <c r="F352" s="3" t="s">
        <v>900</v>
      </c>
      <c r="G352" s="3" t="s">
        <v>891</v>
      </c>
      <c r="K352">
        <v>14</v>
      </c>
    </row>
    <row r="353" spans="1:11" x14ac:dyDescent="0.25">
      <c r="A353" s="3" t="s">
        <v>559</v>
      </c>
      <c r="B353" s="3">
        <v>45</v>
      </c>
      <c r="C353" s="3">
        <v>-15</v>
      </c>
      <c r="D353" s="3">
        <v>2</v>
      </c>
      <c r="E353" s="3" t="s">
        <v>892</v>
      </c>
      <c r="F353" s="3" t="s">
        <v>893</v>
      </c>
      <c r="G353" s="3" t="s">
        <v>891</v>
      </c>
      <c r="K353">
        <v>36</v>
      </c>
    </row>
    <row r="354" spans="1:11" x14ac:dyDescent="0.25">
      <c r="A354" s="3" t="s">
        <v>352</v>
      </c>
      <c r="B354" s="3">
        <v>246</v>
      </c>
      <c r="C354" s="3">
        <v>61</v>
      </c>
      <c r="D354" s="3">
        <v>2</v>
      </c>
      <c r="E354" s="3" t="s">
        <v>892</v>
      </c>
      <c r="F354" s="3" t="s">
        <v>895</v>
      </c>
      <c r="G354" s="3" t="s">
        <v>891</v>
      </c>
      <c r="K354">
        <v>-14</v>
      </c>
    </row>
    <row r="355" spans="1:11" x14ac:dyDescent="0.25">
      <c r="A355" s="3" t="s">
        <v>506</v>
      </c>
      <c r="B355" s="3">
        <v>50</v>
      </c>
      <c r="C355" s="3">
        <v>25</v>
      </c>
      <c r="D355" s="3">
        <v>5</v>
      </c>
      <c r="E355" s="3" t="s">
        <v>899</v>
      </c>
      <c r="F355" s="3" t="s">
        <v>907</v>
      </c>
      <c r="G355" s="3" t="s">
        <v>891</v>
      </c>
      <c r="K355">
        <v>-3</v>
      </c>
    </row>
    <row r="356" spans="1:11" x14ac:dyDescent="0.25">
      <c r="A356" s="3" t="s">
        <v>360</v>
      </c>
      <c r="B356" s="3">
        <v>246</v>
      </c>
      <c r="C356" s="3">
        <v>98</v>
      </c>
      <c r="D356" s="3">
        <v>5</v>
      </c>
      <c r="E356" s="3" t="s">
        <v>899</v>
      </c>
      <c r="F356" s="3" t="s">
        <v>903</v>
      </c>
      <c r="G356" s="3" t="s">
        <v>891</v>
      </c>
      <c r="K356">
        <v>13</v>
      </c>
    </row>
    <row r="357" spans="1:11" x14ac:dyDescent="0.25">
      <c r="A357" s="3" t="s">
        <v>239</v>
      </c>
      <c r="B357" s="3">
        <v>44</v>
      </c>
      <c r="C357" s="3">
        <v>99</v>
      </c>
      <c r="D357" s="3">
        <v>3</v>
      </c>
      <c r="E357" s="3" t="s">
        <v>899</v>
      </c>
      <c r="F357" s="3" t="s">
        <v>904</v>
      </c>
      <c r="G357" s="3" t="s">
        <v>911</v>
      </c>
      <c r="K357">
        <v>12</v>
      </c>
    </row>
    <row r="358" spans="1:11" x14ac:dyDescent="0.25">
      <c r="A358" s="3" t="s">
        <v>533</v>
      </c>
      <c r="B358" s="3">
        <v>245</v>
      </c>
      <c r="C358" s="3">
        <v>-78</v>
      </c>
      <c r="D358" s="3">
        <v>3</v>
      </c>
      <c r="E358" s="3" t="s">
        <v>899</v>
      </c>
      <c r="F358" s="3" t="s">
        <v>901</v>
      </c>
      <c r="G358" s="3" t="s">
        <v>891</v>
      </c>
      <c r="K358">
        <v>22</v>
      </c>
    </row>
    <row r="359" spans="1:11" x14ac:dyDescent="0.25">
      <c r="A359" s="3" t="s">
        <v>36</v>
      </c>
      <c r="B359" s="3">
        <v>245</v>
      </c>
      <c r="C359" s="3">
        <v>30</v>
      </c>
      <c r="D359" s="3">
        <v>2</v>
      </c>
      <c r="E359" s="3" t="s">
        <v>899</v>
      </c>
      <c r="F359" s="3" t="s">
        <v>901</v>
      </c>
      <c r="G359" s="3" t="s">
        <v>891</v>
      </c>
      <c r="K359">
        <v>5</v>
      </c>
    </row>
    <row r="360" spans="1:11" x14ac:dyDescent="0.25">
      <c r="A360" s="3" t="s">
        <v>451</v>
      </c>
      <c r="B360" s="3">
        <v>376</v>
      </c>
      <c r="C360" s="3">
        <v>0</v>
      </c>
      <c r="D360" s="3">
        <v>7</v>
      </c>
      <c r="E360" s="3" t="s">
        <v>899</v>
      </c>
      <c r="F360" s="3" t="s">
        <v>907</v>
      </c>
      <c r="G360" s="3" t="s">
        <v>897</v>
      </c>
      <c r="K360">
        <v>-12</v>
      </c>
    </row>
    <row r="361" spans="1:11" x14ac:dyDescent="0.25">
      <c r="A361" s="3" t="s">
        <v>230</v>
      </c>
      <c r="B361" s="3">
        <v>45</v>
      </c>
      <c r="C361" s="3">
        <v>1</v>
      </c>
      <c r="D361" s="3">
        <v>3</v>
      </c>
      <c r="E361" s="3" t="s">
        <v>899</v>
      </c>
      <c r="F361" s="3" t="s">
        <v>910</v>
      </c>
      <c r="G361" s="3" t="s">
        <v>911</v>
      </c>
      <c r="K361">
        <v>-84</v>
      </c>
    </row>
    <row r="362" spans="1:11" x14ac:dyDescent="0.25">
      <c r="A362" s="3" t="s">
        <v>273</v>
      </c>
      <c r="B362" s="3">
        <v>45</v>
      </c>
      <c r="C362" s="3">
        <v>-28</v>
      </c>
      <c r="D362" s="3">
        <v>2</v>
      </c>
      <c r="E362" s="3" t="s">
        <v>899</v>
      </c>
      <c r="F362" s="3" t="s">
        <v>907</v>
      </c>
      <c r="G362" s="3" t="s">
        <v>911</v>
      </c>
      <c r="K362">
        <v>54</v>
      </c>
    </row>
    <row r="363" spans="1:11" x14ac:dyDescent="0.25">
      <c r="A363" s="3" t="s">
        <v>534</v>
      </c>
      <c r="B363" s="3">
        <v>244</v>
      </c>
      <c r="C363" s="3">
        <v>-122</v>
      </c>
      <c r="D363" s="3">
        <v>5</v>
      </c>
      <c r="E363" s="3" t="s">
        <v>892</v>
      </c>
      <c r="F363" s="3" t="s">
        <v>912</v>
      </c>
      <c r="G363" s="3" t="s">
        <v>891</v>
      </c>
      <c r="K363">
        <v>-10</v>
      </c>
    </row>
    <row r="364" spans="1:11" x14ac:dyDescent="0.25">
      <c r="A364" s="3" t="s">
        <v>536</v>
      </c>
      <c r="B364" s="3">
        <v>244</v>
      </c>
      <c r="C364" s="3">
        <v>83</v>
      </c>
      <c r="D364" s="3">
        <v>2</v>
      </c>
      <c r="E364" s="3" t="s">
        <v>892</v>
      </c>
      <c r="F364" s="3" t="s">
        <v>895</v>
      </c>
      <c r="G364" s="3" t="s">
        <v>891</v>
      </c>
      <c r="K364">
        <v>-65</v>
      </c>
    </row>
    <row r="365" spans="1:11" x14ac:dyDescent="0.25">
      <c r="A365" s="3" t="s">
        <v>252</v>
      </c>
      <c r="B365" s="3">
        <v>10</v>
      </c>
      <c r="C365" s="3">
        <v>4</v>
      </c>
      <c r="D365" s="3">
        <v>1</v>
      </c>
      <c r="E365" s="3" t="s">
        <v>899</v>
      </c>
      <c r="F365" s="3" t="s">
        <v>904</v>
      </c>
      <c r="G365" s="3" t="s">
        <v>902</v>
      </c>
      <c r="K365">
        <v>5</v>
      </c>
    </row>
    <row r="366" spans="1:11" x14ac:dyDescent="0.25">
      <c r="A366" s="3" t="s">
        <v>452</v>
      </c>
      <c r="B366" s="3">
        <v>375</v>
      </c>
      <c r="C366" s="3">
        <v>180</v>
      </c>
      <c r="D366" s="3">
        <v>3</v>
      </c>
      <c r="E366" s="3" t="s">
        <v>892</v>
      </c>
      <c r="F366" s="3" t="s">
        <v>895</v>
      </c>
      <c r="G366" s="3" t="s">
        <v>897</v>
      </c>
      <c r="K366">
        <v>12</v>
      </c>
    </row>
    <row r="367" spans="1:11" x14ac:dyDescent="0.25">
      <c r="A367" s="3" t="s">
        <v>18</v>
      </c>
      <c r="B367" s="3">
        <v>46</v>
      </c>
      <c r="C367" s="3">
        <v>14</v>
      </c>
      <c r="D367" s="3">
        <v>5</v>
      </c>
      <c r="E367" s="3" t="s">
        <v>899</v>
      </c>
      <c r="F367" s="3" t="s">
        <v>905</v>
      </c>
      <c r="G367" s="3" t="s">
        <v>911</v>
      </c>
      <c r="K367">
        <v>29</v>
      </c>
    </row>
    <row r="368" spans="1:11" x14ac:dyDescent="0.25">
      <c r="A368" s="3" t="s">
        <v>718</v>
      </c>
      <c r="B368" s="3">
        <v>49</v>
      </c>
      <c r="C368" s="3">
        <v>-31</v>
      </c>
      <c r="D368" s="3">
        <v>2</v>
      </c>
      <c r="E368" s="3" t="s">
        <v>899</v>
      </c>
      <c r="F368" s="3" t="s">
        <v>907</v>
      </c>
      <c r="G368" s="3" t="s">
        <v>902</v>
      </c>
      <c r="K368">
        <v>4</v>
      </c>
    </row>
    <row r="369" spans="1:11" x14ac:dyDescent="0.25">
      <c r="A369" s="3" t="s">
        <v>805</v>
      </c>
      <c r="B369" s="3">
        <v>47</v>
      </c>
      <c r="C369" s="3">
        <v>-20</v>
      </c>
      <c r="D369" s="3">
        <v>2</v>
      </c>
      <c r="E369" s="3" t="s">
        <v>899</v>
      </c>
      <c r="F369" s="3" t="s">
        <v>904</v>
      </c>
      <c r="G369" s="3" t="s">
        <v>911</v>
      </c>
      <c r="K369">
        <v>241</v>
      </c>
    </row>
    <row r="370" spans="1:11" x14ac:dyDescent="0.25">
      <c r="A370" s="3" t="s">
        <v>310</v>
      </c>
      <c r="B370" s="3">
        <v>355</v>
      </c>
      <c r="C370" s="3">
        <v>-114</v>
      </c>
      <c r="D370" s="3">
        <v>7</v>
      </c>
      <c r="E370" s="3" t="s">
        <v>899</v>
      </c>
      <c r="F370" s="3" t="s">
        <v>907</v>
      </c>
      <c r="G370" s="3" t="s">
        <v>897</v>
      </c>
      <c r="K370">
        <v>47</v>
      </c>
    </row>
    <row r="371" spans="1:11" x14ac:dyDescent="0.25">
      <c r="A371" s="3" t="s">
        <v>562</v>
      </c>
      <c r="B371" s="3">
        <v>32</v>
      </c>
      <c r="C371" s="3">
        <v>8</v>
      </c>
      <c r="D371" s="3">
        <v>5</v>
      </c>
      <c r="E371" s="3" t="s">
        <v>899</v>
      </c>
      <c r="F371" s="3" t="s">
        <v>903</v>
      </c>
      <c r="G371" s="3" t="s">
        <v>902</v>
      </c>
      <c r="K371">
        <v>48</v>
      </c>
    </row>
    <row r="372" spans="1:11" x14ac:dyDescent="0.25">
      <c r="A372" s="3" t="s">
        <v>87</v>
      </c>
      <c r="B372" s="3">
        <v>243</v>
      </c>
      <c r="C372" s="3">
        <v>-14</v>
      </c>
      <c r="D372" s="3">
        <v>2</v>
      </c>
      <c r="E372" s="3" t="s">
        <v>892</v>
      </c>
      <c r="F372" s="3" t="s">
        <v>893</v>
      </c>
      <c r="G372" s="3" t="s">
        <v>891</v>
      </c>
      <c r="K372">
        <v>10</v>
      </c>
    </row>
    <row r="373" spans="1:11" x14ac:dyDescent="0.25">
      <c r="A373" s="3" t="s">
        <v>537</v>
      </c>
      <c r="B373" s="3">
        <v>241</v>
      </c>
      <c r="C373" s="3">
        <v>-77</v>
      </c>
      <c r="D373" s="3">
        <v>4</v>
      </c>
      <c r="E373" s="3" t="s">
        <v>889</v>
      </c>
      <c r="F373" s="3" t="s">
        <v>890</v>
      </c>
      <c r="G373" s="3" t="s">
        <v>891</v>
      </c>
      <c r="K373">
        <v>36</v>
      </c>
    </row>
    <row r="374" spans="1:11" x14ac:dyDescent="0.25">
      <c r="A374" s="3" t="s">
        <v>807</v>
      </c>
      <c r="B374" s="3">
        <v>47</v>
      </c>
      <c r="C374" s="3">
        <v>15</v>
      </c>
      <c r="D374" s="3">
        <v>5</v>
      </c>
      <c r="E374" s="3" t="s">
        <v>899</v>
      </c>
      <c r="F374" s="3" t="s">
        <v>901</v>
      </c>
      <c r="G374" s="3" t="s">
        <v>911</v>
      </c>
      <c r="K374">
        <v>-8</v>
      </c>
    </row>
    <row r="375" spans="1:11" x14ac:dyDescent="0.25">
      <c r="A375" s="3" t="s">
        <v>627</v>
      </c>
      <c r="B375" s="3">
        <v>50</v>
      </c>
      <c r="C375" s="3">
        <v>-10</v>
      </c>
      <c r="D375" s="3">
        <v>6</v>
      </c>
      <c r="E375" s="3" t="s">
        <v>899</v>
      </c>
      <c r="F375" s="3" t="s">
        <v>905</v>
      </c>
      <c r="G375" s="3" t="s">
        <v>911</v>
      </c>
      <c r="K375">
        <v>54</v>
      </c>
    </row>
    <row r="376" spans="1:11" x14ac:dyDescent="0.25">
      <c r="A376" s="3" t="s">
        <v>427</v>
      </c>
      <c r="B376" s="3">
        <v>15</v>
      </c>
      <c r="C376" s="3">
        <v>6</v>
      </c>
      <c r="D376" s="3">
        <v>2</v>
      </c>
      <c r="E376" s="3" t="s">
        <v>899</v>
      </c>
      <c r="F376" s="3" t="s">
        <v>903</v>
      </c>
      <c r="G376" s="3" t="s">
        <v>891</v>
      </c>
      <c r="K376">
        <v>17</v>
      </c>
    </row>
    <row r="377" spans="1:11" x14ac:dyDescent="0.25">
      <c r="A377" s="3" t="s">
        <v>230</v>
      </c>
      <c r="B377" s="3">
        <v>148</v>
      </c>
      <c r="C377" s="3">
        <v>24</v>
      </c>
      <c r="D377" s="3">
        <v>3</v>
      </c>
      <c r="E377" s="3" t="s">
        <v>899</v>
      </c>
      <c r="F377" s="3" t="s">
        <v>907</v>
      </c>
      <c r="G377" s="3" t="s">
        <v>891</v>
      </c>
      <c r="K377">
        <v>11</v>
      </c>
    </row>
    <row r="378" spans="1:11" x14ac:dyDescent="0.25">
      <c r="A378" s="3" t="s">
        <v>499</v>
      </c>
      <c r="B378" s="3">
        <v>299</v>
      </c>
      <c r="C378" s="3">
        <v>-28</v>
      </c>
      <c r="D378" s="3">
        <v>3</v>
      </c>
      <c r="E378" s="3" t="s">
        <v>889</v>
      </c>
      <c r="F378" s="3" t="s">
        <v>890</v>
      </c>
      <c r="G378" s="3" t="s">
        <v>902</v>
      </c>
      <c r="K378">
        <v>19</v>
      </c>
    </row>
    <row r="379" spans="1:11" x14ac:dyDescent="0.25">
      <c r="A379" s="3" t="s">
        <v>337</v>
      </c>
      <c r="B379" s="3">
        <v>68</v>
      </c>
      <c r="C379" s="3">
        <v>-30</v>
      </c>
      <c r="D379" s="3">
        <v>1</v>
      </c>
      <c r="E379" s="3" t="s">
        <v>889</v>
      </c>
      <c r="F379" s="3" t="s">
        <v>898</v>
      </c>
      <c r="G379" s="3" t="s">
        <v>902</v>
      </c>
      <c r="K379">
        <v>23</v>
      </c>
    </row>
    <row r="380" spans="1:11" x14ac:dyDescent="0.25">
      <c r="A380" s="3" t="s">
        <v>230</v>
      </c>
      <c r="B380" s="3">
        <v>52</v>
      </c>
      <c r="C380" s="3">
        <v>18</v>
      </c>
      <c r="D380" s="3">
        <v>5</v>
      </c>
      <c r="E380" s="3" t="s">
        <v>899</v>
      </c>
      <c r="F380" s="3" t="s">
        <v>908</v>
      </c>
      <c r="G380" s="3" t="s">
        <v>911</v>
      </c>
      <c r="K380">
        <v>-11</v>
      </c>
    </row>
    <row r="381" spans="1:11" x14ac:dyDescent="0.25">
      <c r="A381" s="3" t="s">
        <v>339</v>
      </c>
      <c r="B381" s="3">
        <v>239</v>
      </c>
      <c r="C381" s="3">
        <v>-162</v>
      </c>
      <c r="D381" s="3">
        <v>5</v>
      </c>
      <c r="E381" s="3" t="s">
        <v>892</v>
      </c>
      <c r="F381" s="3" t="s">
        <v>893</v>
      </c>
      <c r="G381" s="3" t="s">
        <v>891</v>
      </c>
      <c r="K381">
        <v>17</v>
      </c>
    </row>
    <row r="382" spans="1:11" x14ac:dyDescent="0.25">
      <c r="A382" s="3" t="s">
        <v>352</v>
      </c>
      <c r="B382" s="3">
        <v>27</v>
      </c>
      <c r="C382" s="3">
        <v>6</v>
      </c>
      <c r="D382" s="3">
        <v>3</v>
      </c>
      <c r="E382" s="3" t="s">
        <v>899</v>
      </c>
      <c r="F382" s="3" t="s">
        <v>905</v>
      </c>
      <c r="G382" s="3" t="s">
        <v>891</v>
      </c>
      <c r="K382">
        <v>9</v>
      </c>
    </row>
    <row r="383" spans="1:11" x14ac:dyDescent="0.25">
      <c r="A383" s="3" t="s">
        <v>226</v>
      </c>
      <c r="B383" s="3">
        <v>238</v>
      </c>
      <c r="C383" s="3">
        <v>20</v>
      </c>
      <c r="D383" s="3">
        <v>2</v>
      </c>
      <c r="E383" s="3" t="s">
        <v>899</v>
      </c>
      <c r="F383" s="3" t="s">
        <v>901</v>
      </c>
      <c r="G383" s="3" t="s">
        <v>891</v>
      </c>
      <c r="K383">
        <v>54</v>
      </c>
    </row>
    <row r="384" spans="1:11" x14ac:dyDescent="0.25">
      <c r="A384" s="3" t="s">
        <v>419</v>
      </c>
      <c r="B384" s="3">
        <v>48</v>
      </c>
      <c r="C384" s="3">
        <v>16</v>
      </c>
      <c r="D384" s="3">
        <v>3</v>
      </c>
      <c r="E384" s="3" t="s">
        <v>899</v>
      </c>
      <c r="F384" s="3" t="s">
        <v>913</v>
      </c>
      <c r="G384" s="3" t="s">
        <v>891</v>
      </c>
      <c r="K384">
        <v>-5</v>
      </c>
    </row>
    <row r="385" spans="1:11" x14ac:dyDescent="0.25">
      <c r="A385" s="3" t="s">
        <v>194</v>
      </c>
      <c r="B385" s="3">
        <v>66</v>
      </c>
      <c r="C385" s="3">
        <v>22</v>
      </c>
      <c r="D385" s="3">
        <v>3</v>
      </c>
      <c r="E385" s="3" t="s">
        <v>899</v>
      </c>
      <c r="F385" s="3" t="s">
        <v>907</v>
      </c>
      <c r="G385" s="3" t="s">
        <v>902</v>
      </c>
      <c r="K385">
        <v>16</v>
      </c>
    </row>
    <row r="386" spans="1:11" x14ac:dyDescent="0.25">
      <c r="A386" s="3" t="s">
        <v>618</v>
      </c>
      <c r="B386" s="3">
        <v>53</v>
      </c>
      <c r="C386" s="3">
        <v>24</v>
      </c>
      <c r="D386" s="3">
        <v>1</v>
      </c>
      <c r="E386" s="3" t="s">
        <v>899</v>
      </c>
      <c r="F386" s="3" t="s">
        <v>903</v>
      </c>
      <c r="G386" s="3" t="s">
        <v>911</v>
      </c>
      <c r="K386">
        <v>-4</v>
      </c>
    </row>
    <row r="387" spans="1:11" x14ac:dyDescent="0.25">
      <c r="A387" s="3" t="s">
        <v>476</v>
      </c>
      <c r="B387" s="3">
        <v>233</v>
      </c>
      <c r="C387" s="3">
        <v>-10</v>
      </c>
      <c r="D387" s="3">
        <v>5</v>
      </c>
      <c r="E387" s="3" t="s">
        <v>889</v>
      </c>
      <c r="F387" s="3" t="s">
        <v>890</v>
      </c>
      <c r="G387" s="3" t="s">
        <v>891</v>
      </c>
      <c r="K387">
        <v>68</v>
      </c>
    </row>
    <row r="388" spans="1:11" x14ac:dyDescent="0.25">
      <c r="A388" s="3" t="s">
        <v>421</v>
      </c>
      <c r="B388" s="3">
        <v>53</v>
      </c>
      <c r="C388" s="3">
        <v>-2</v>
      </c>
      <c r="D388" s="3">
        <v>3</v>
      </c>
      <c r="E388" s="3" t="s">
        <v>899</v>
      </c>
      <c r="F388" s="3" t="s">
        <v>901</v>
      </c>
      <c r="G388" s="3" t="s">
        <v>911</v>
      </c>
      <c r="K388">
        <v>14</v>
      </c>
    </row>
    <row r="389" spans="1:11" x14ac:dyDescent="0.25">
      <c r="A389" s="3" t="s">
        <v>292</v>
      </c>
      <c r="B389" s="3">
        <v>54</v>
      </c>
      <c r="C389" s="3">
        <v>8</v>
      </c>
      <c r="D389" s="3">
        <v>4</v>
      </c>
      <c r="E389" s="3" t="s">
        <v>899</v>
      </c>
      <c r="F389" s="3" t="s">
        <v>910</v>
      </c>
      <c r="G389" s="3" t="s">
        <v>911</v>
      </c>
      <c r="K389">
        <v>-39</v>
      </c>
    </row>
    <row r="390" spans="1:11" x14ac:dyDescent="0.25">
      <c r="A390" s="3" t="s">
        <v>462</v>
      </c>
      <c r="B390" s="3">
        <v>352</v>
      </c>
      <c r="C390" s="3">
        <v>-345</v>
      </c>
      <c r="D390" s="3">
        <v>5</v>
      </c>
      <c r="E390" s="3" t="s">
        <v>899</v>
      </c>
      <c r="F390" s="3" t="s">
        <v>901</v>
      </c>
      <c r="G390" s="3" t="s">
        <v>897</v>
      </c>
      <c r="K390">
        <v>7</v>
      </c>
    </row>
    <row r="391" spans="1:11" x14ac:dyDescent="0.25">
      <c r="A391" s="3" t="s">
        <v>294</v>
      </c>
      <c r="B391" s="3">
        <v>349</v>
      </c>
      <c r="C391" s="3">
        <v>0</v>
      </c>
      <c r="D391" s="3">
        <v>7</v>
      </c>
      <c r="E391" s="3" t="s">
        <v>899</v>
      </c>
      <c r="F391" s="3" t="s">
        <v>907</v>
      </c>
      <c r="G391" s="3" t="s">
        <v>897</v>
      </c>
      <c r="K391">
        <v>8</v>
      </c>
    </row>
    <row r="392" spans="1:11" x14ac:dyDescent="0.25">
      <c r="A392" s="3" t="s">
        <v>214</v>
      </c>
      <c r="B392" s="3">
        <v>341</v>
      </c>
      <c r="C392" s="3">
        <v>-85</v>
      </c>
      <c r="D392" s="3">
        <v>6</v>
      </c>
      <c r="E392" s="3" t="s">
        <v>899</v>
      </c>
      <c r="F392" s="3" t="s">
        <v>900</v>
      </c>
      <c r="G392" s="3" t="s">
        <v>897</v>
      </c>
      <c r="K392">
        <v>14</v>
      </c>
    </row>
    <row r="393" spans="1:11" x14ac:dyDescent="0.25">
      <c r="A393" s="3" t="s">
        <v>248</v>
      </c>
      <c r="B393" s="3">
        <v>54</v>
      </c>
      <c r="C393" s="3">
        <v>12</v>
      </c>
      <c r="D393" s="3">
        <v>3</v>
      </c>
      <c r="E393" s="3" t="s">
        <v>899</v>
      </c>
      <c r="F393" s="3" t="s">
        <v>901</v>
      </c>
      <c r="G393" s="3" t="s">
        <v>911</v>
      </c>
      <c r="K393">
        <v>12</v>
      </c>
    </row>
    <row r="394" spans="1:11" x14ac:dyDescent="0.25">
      <c r="A394" s="3" t="s">
        <v>5</v>
      </c>
      <c r="B394" s="3">
        <v>57</v>
      </c>
      <c r="C394" s="3">
        <v>7</v>
      </c>
      <c r="D394" s="3">
        <v>2</v>
      </c>
      <c r="E394" s="3" t="s">
        <v>899</v>
      </c>
      <c r="F394" s="3" t="s">
        <v>913</v>
      </c>
      <c r="G394" s="3" t="s">
        <v>902</v>
      </c>
      <c r="K394">
        <v>25</v>
      </c>
    </row>
    <row r="395" spans="1:11" x14ac:dyDescent="0.25">
      <c r="A395" s="3" t="s">
        <v>467</v>
      </c>
      <c r="B395" s="3">
        <v>340</v>
      </c>
      <c r="C395" s="3">
        <v>20</v>
      </c>
      <c r="D395" s="3">
        <v>7</v>
      </c>
      <c r="E395" s="3" t="s">
        <v>899</v>
      </c>
      <c r="F395" s="3" t="s">
        <v>913</v>
      </c>
      <c r="G395" s="3" t="s">
        <v>897</v>
      </c>
      <c r="K395">
        <v>-9</v>
      </c>
    </row>
    <row r="396" spans="1:11" x14ac:dyDescent="0.25">
      <c r="A396" s="3" t="s">
        <v>5</v>
      </c>
      <c r="B396" s="3">
        <v>227</v>
      </c>
      <c r="C396" s="3">
        <v>48</v>
      </c>
      <c r="D396" s="3">
        <v>5</v>
      </c>
      <c r="E396" s="3" t="s">
        <v>899</v>
      </c>
      <c r="F396" s="3" t="s">
        <v>907</v>
      </c>
      <c r="G396" s="3" t="s">
        <v>891</v>
      </c>
      <c r="K396">
        <v>-7</v>
      </c>
    </row>
    <row r="397" spans="1:11" x14ac:dyDescent="0.25">
      <c r="A397" s="3" t="s">
        <v>469</v>
      </c>
      <c r="B397" s="3">
        <v>330</v>
      </c>
      <c r="C397" s="3">
        <v>81</v>
      </c>
      <c r="D397" s="3">
        <v>1</v>
      </c>
      <c r="E397" s="3" t="s">
        <v>892</v>
      </c>
      <c r="F397" s="3" t="s">
        <v>895</v>
      </c>
      <c r="G397" s="3" t="s">
        <v>897</v>
      </c>
      <c r="K397">
        <v>9</v>
      </c>
    </row>
    <row r="398" spans="1:11" x14ac:dyDescent="0.25">
      <c r="A398" s="3" t="s">
        <v>343</v>
      </c>
      <c r="B398" s="3">
        <v>216</v>
      </c>
      <c r="C398" s="3">
        <v>-38</v>
      </c>
      <c r="D398" s="3">
        <v>6</v>
      </c>
      <c r="E398" s="3" t="s">
        <v>892</v>
      </c>
      <c r="F398" s="3" t="s">
        <v>912</v>
      </c>
      <c r="G398" s="3" t="s">
        <v>902</v>
      </c>
      <c r="K398">
        <v>-8</v>
      </c>
    </row>
    <row r="399" spans="1:11" x14ac:dyDescent="0.25">
      <c r="A399" s="3" t="s">
        <v>530</v>
      </c>
      <c r="B399" s="3">
        <v>224</v>
      </c>
      <c r="C399" s="3">
        <v>-143</v>
      </c>
      <c r="D399" s="3">
        <v>3</v>
      </c>
      <c r="E399" s="3" t="s">
        <v>892</v>
      </c>
      <c r="F399" s="3" t="s">
        <v>893</v>
      </c>
      <c r="G399" s="3" t="s">
        <v>891</v>
      </c>
      <c r="K399">
        <v>15</v>
      </c>
    </row>
    <row r="400" spans="1:11" x14ac:dyDescent="0.25">
      <c r="A400" s="3" t="s">
        <v>541</v>
      </c>
      <c r="B400" s="3">
        <v>55</v>
      </c>
      <c r="C400" s="3">
        <v>-33</v>
      </c>
      <c r="D400" s="3">
        <v>2</v>
      </c>
      <c r="E400" s="3" t="s">
        <v>892</v>
      </c>
      <c r="F400" s="3" t="s">
        <v>893</v>
      </c>
      <c r="G400" s="3" t="s">
        <v>911</v>
      </c>
      <c r="K400">
        <v>-6</v>
      </c>
    </row>
    <row r="401" spans="1:11" x14ac:dyDescent="0.25">
      <c r="A401" s="3" t="s">
        <v>677</v>
      </c>
      <c r="B401" s="3">
        <v>49</v>
      </c>
      <c r="C401" s="3">
        <v>21</v>
      </c>
      <c r="D401" s="3">
        <v>1</v>
      </c>
      <c r="E401" s="3" t="s">
        <v>899</v>
      </c>
      <c r="F401" s="3" t="s">
        <v>907</v>
      </c>
      <c r="G401" s="3" t="s">
        <v>902</v>
      </c>
      <c r="K401">
        <v>-6</v>
      </c>
    </row>
    <row r="402" spans="1:11" x14ac:dyDescent="0.25">
      <c r="A402" s="3" t="s">
        <v>292</v>
      </c>
      <c r="B402" s="3">
        <v>224</v>
      </c>
      <c r="C402" s="3">
        <v>87</v>
      </c>
      <c r="D402" s="3">
        <v>3</v>
      </c>
      <c r="E402" s="3" t="s">
        <v>899</v>
      </c>
      <c r="F402" s="3" t="s">
        <v>900</v>
      </c>
      <c r="G402" s="3" t="s">
        <v>891</v>
      </c>
      <c r="K402">
        <v>-8</v>
      </c>
    </row>
    <row r="403" spans="1:11" x14ac:dyDescent="0.25">
      <c r="A403" s="3" t="s">
        <v>36</v>
      </c>
      <c r="B403" s="3">
        <v>223</v>
      </c>
      <c r="C403" s="3">
        <v>27</v>
      </c>
      <c r="D403" s="3">
        <v>2</v>
      </c>
      <c r="E403" s="3" t="s">
        <v>892</v>
      </c>
      <c r="F403" s="3" t="s">
        <v>895</v>
      </c>
      <c r="G403" s="3" t="s">
        <v>891</v>
      </c>
      <c r="K403">
        <v>17</v>
      </c>
    </row>
    <row r="404" spans="1:11" x14ac:dyDescent="0.25">
      <c r="A404" s="3" t="s">
        <v>347</v>
      </c>
      <c r="B404" s="3">
        <v>324</v>
      </c>
      <c r="C404" s="3">
        <v>39</v>
      </c>
      <c r="D404" s="3">
        <v>8</v>
      </c>
      <c r="E404" s="3" t="s">
        <v>889</v>
      </c>
      <c r="F404" s="3" t="s">
        <v>909</v>
      </c>
      <c r="G404" s="3" t="s">
        <v>897</v>
      </c>
      <c r="K404">
        <v>46</v>
      </c>
    </row>
    <row r="405" spans="1:11" x14ac:dyDescent="0.25">
      <c r="A405" s="3" t="s">
        <v>126</v>
      </c>
      <c r="B405" s="3">
        <v>56</v>
      </c>
      <c r="C405" s="3">
        <v>18</v>
      </c>
      <c r="D405" s="3">
        <v>2</v>
      </c>
      <c r="E405" s="3" t="s">
        <v>899</v>
      </c>
      <c r="F405" s="3" t="s">
        <v>903</v>
      </c>
      <c r="G405" s="3" t="s">
        <v>911</v>
      </c>
      <c r="K405">
        <v>20</v>
      </c>
    </row>
    <row r="406" spans="1:11" x14ac:dyDescent="0.25">
      <c r="A406" s="3" t="s">
        <v>271</v>
      </c>
      <c r="B406" s="3">
        <v>223</v>
      </c>
      <c r="C406" s="3">
        <v>62</v>
      </c>
      <c r="D406" s="3">
        <v>7</v>
      </c>
      <c r="E406" s="3" t="s">
        <v>899</v>
      </c>
      <c r="F406" s="3" t="s">
        <v>913</v>
      </c>
      <c r="G406" s="3" t="s">
        <v>891</v>
      </c>
      <c r="K406">
        <v>-33</v>
      </c>
    </row>
    <row r="407" spans="1:11" x14ac:dyDescent="0.25">
      <c r="A407" s="3" t="s">
        <v>309</v>
      </c>
      <c r="B407" s="3">
        <v>10</v>
      </c>
      <c r="C407" s="3">
        <v>2</v>
      </c>
      <c r="D407" s="3">
        <v>2</v>
      </c>
      <c r="E407" s="3" t="s">
        <v>899</v>
      </c>
      <c r="F407" s="3" t="s">
        <v>905</v>
      </c>
      <c r="G407" s="3" t="s">
        <v>891</v>
      </c>
      <c r="K407">
        <v>25</v>
      </c>
    </row>
    <row r="408" spans="1:11" x14ac:dyDescent="0.25">
      <c r="A408" s="3" t="s">
        <v>783</v>
      </c>
      <c r="B408" s="3">
        <v>57</v>
      </c>
      <c r="C408" s="3">
        <v>6</v>
      </c>
      <c r="D408" s="3">
        <v>5</v>
      </c>
      <c r="E408" s="3" t="s">
        <v>899</v>
      </c>
      <c r="F408" s="3" t="s">
        <v>908</v>
      </c>
      <c r="G408" s="3" t="s">
        <v>911</v>
      </c>
      <c r="K408">
        <v>-7</v>
      </c>
    </row>
    <row r="409" spans="1:11" x14ac:dyDescent="0.25">
      <c r="A409" s="3" t="s">
        <v>208</v>
      </c>
      <c r="B409" s="3">
        <v>322</v>
      </c>
      <c r="C409" s="3">
        <v>-113</v>
      </c>
      <c r="D409" s="3">
        <v>4</v>
      </c>
      <c r="E409" s="3" t="s">
        <v>899</v>
      </c>
      <c r="F409" s="3" t="s">
        <v>901</v>
      </c>
      <c r="G409" s="3" t="s">
        <v>897</v>
      </c>
      <c r="K409">
        <v>5</v>
      </c>
    </row>
    <row r="410" spans="1:11" x14ac:dyDescent="0.25">
      <c r="A410" s="3" t="s">
        <v>418</v>
      </c>
      <c r="B410" s="3">
        <v>219</v>
      </c>
      <c r="C410" s="3">
        <v>4</v>
      </c>
      <c r="D410" s="3">
        <v>2</v>
      </c>
      <c r="E410" s="3" t="s">
        <v>899</v>
      </c>
      <c r="F410" s="3" t="s">
        <v>901</v>
      </c>
      <c r="G410" s="3" t="s">
        <v>891</v>
      </c>
      <c r="K410">
        <v>-7</v>
      </c>
    </row>
    <row r="411" spans="1:11" x14ac:dyDescent="0.25">
      <c r="A411" s="3" t="s">
        <v>705</v>
      </c>
      <c r="B411" s="3">
        <v>103</v>
      </c>
      <c r="C411" s="3">
        <v>21</v>
      </c>
      <c r="D411" s="3">
        <v>7</v>
      </c>
      <c r="E411" s="3" t="s">
        <v>899</v>
      </c>
      <c r="F411" s="3" t="s">
        <v>907</v>
      </c>
      <c r="G411" s="3" t="s">
        <v>902</v>
      </c>
      <c r="K411">
        <v>36</v>
      </c>
    </row>
    <row r="412" spans="1:11" x14ac:dyDescent="0.25">
      <c r="A412" s="3" t="s">
        <v>539</v>
      </c>
      <c r="B412" s="3">
        <v>47</v>
      </c>
      <c r="C412" s="3">
        <v>-27</v>
      </c>
      <c r="D412" s="3">
        <v>4</v>
      </c>
      <c r="E412" s="3" t="s">
        <v>899</v>
      </c>
      <c r="F412" s="3" t="s">
        <v>901</v>
      </c>
      <c r="G412" s="3" t="s">
        <v>891</v>
      </c>
      <c r="K412">
        <v>-6</v>
      </c>
    </row>
    <row r="413" spans="1:11" x14ac:dyDescent="0.25">
      <c r="A413" s="3" t="s">
        <v>36</v>
      </c>
      <c r="B413" s="3">
        <v>219</v>
      </c>
      <c r="C413" s="3">
        <v>0</v>
      </c>
      <c r="D413" s="3">
        <v>1</v>
      </c>
      <c r="E413" s="3" t="s">
        <v>899</v>
      </c>
      <c r="F413" s="3" t="s">
        <v>901</v>
      </c>
      <c r="G413" s="3" t="s">
        <v>891</v>
      </c>
      <c r="K413">
        <v>33</v>
      </c>
    </row>
    <row r="414" spans="1:11" x14ac:dyDescent="0.25">
      <c r="A414" s="3" t="s">
        <v>482</v>
      </c>
      <c r="B414" s="3">
        <v>57</v>
      </c>
      <c r="C414" s="3">
        <v>-48</v>
      </c>
      <c r="D414" s="3">
        <v>6</v>
      </c>
      <c r="E414" s="3" t="s">
        <v>899</v>
      </c>
      <c r="F414" s="3" t="s">
        <v>908</v>
      </c>
      <c r="G414" s="3" t="s">
        <v>911</v>
      </c>
      <c r="K414">
        <v>-90</v>
      </c>
    </row>
    <row r="415" spans="1:11" x14ac:dyDescent="0.25">
      <c r="A415" s="3" t="s">
        <v>490</v>
      </c>
      <c r="B415" s="3">
        <v>319</v>
      </c>
      <c r="C415" s="3">
        <v>102</v>
      </c>
      <c r="D415" s="3">
        <v>6</v>
      </c>
      <c r="E415" s="3" t="s">
        <v>889</v>
      </c>
      <c r="F415" s="3" t="s">
        <v>909</v>
      </c>
      <c r="G415" s="3" t="s">
        <v>897</v>
      </c>
      <c r="K415">
        <v>11</v>
      </c>
    </row>
    <row r="416" spans="1:11" x14ac:dyDescent="0.25">
      <c r="A416" s="3" t="s">
        <v>70</v>
      </c>
      <c r="B416" s="3">
        <v>315</v>
      </c>
      <c r="C416" s="3">
        <v>-8</v>
      </c>
      <c r="D416" s="3">
        <v>3</v>
      </c>
      <c r="E416" s="3" t="s">
        <v>892</v>
      </c>
      <c r="F416" s="3" t="s">
        <v>893</v>
      </c>
      <c r="G416" s="3" t="s">
        <v>897</v>
      </c>
      <c r="K416">
        <v>-8</v>
      </c>
    </row>
    <row r="417" spans="1:11" x14ac:dyDescent="0.25">
      <c r="A417" s="3" t="s">
        <v>176</v>
      </c>
      <c r="B417" s="3">
        <v>314</v>
      </c>
      <c r="C417" s="3">
        <v>-41</v>
      </c>
      <c r="D417" s="3">
        <v>3</v>
      </c>
      <c r="E417" s="3" t="s">
        <v>889</v>
      </c>
      <c r="F417" s="3" t="s">
        <v>890</v>
      </c>
      <c r="G417" s="3" t="s">
        <v>897</v>
      </c>
      <c r="K417">
        <v>18</v>
      </c>
    </row>
    <row r="418" spans="1:11" x14ac:dyDescent="0.25">
      <c r="A418" s="3" t="s">
        <v>495</v>
      </c>
      <c r="B418" s="3">
        <v>311</v>
      </c>
      <c r="C418" s="3">
        <v>40</v>
      </c>
      <c r="D418" s="3">
        <v>1</v>
      </c>
      <c r="E418" s="3" t="s">
        <v>889</v>
      </c>
      <c r="F418" s="3" t="s">
        <v>890</v>
      </c>
      <c r="G418" s="3" t="s">
        <v>894</v>
      </c>
      <c r="K418">
        <v>-6</v>
      </c>
    </row>
    <row r="419" spans="1:11" x14ac:dyDescent="0.25">
      <c r="A419" s="3" t="s">
        <v>189</v>
      </c>
      <c r="B419" s="3">
        <v>307</v>
      </c>
      <c r="C419" s="3">
        <v>74</v>
      </c>
      <c r="D419" s="3">
        <v>3</v>
      </c>
      <c r="E419" s="3" t="s">
        <v>889</v>
      </c>
      <c r="F419" s="3" t="s">
        <v>909</v>
      </c>
      <c r="G419" s="3" t="s">
        <v>894</v>
      </c>
      <c r="K419">
        <v>18</v>
      </c>
    </row>
    <row r="420" spans="1:11" x14ac:dyDescent="0.25">
      <c r="A420" s="3" t="s">
        <v>36</v>
      </c>
      <c r="B420" s="3">
        <v>294</v>
      </c>
      <c r="C420" s="3">
        <v>109</v>
      </c>
      <c r="D420" s="3">
        <v>7</v>
      </c>
      <c r="E420" s="3" t="s">
        <v>889</v>
      </c>
      <c r="F420" s="3" t="s">
        <v>909</v>
      </c>
      <c r="G420" s="3" t="s">
        <v>894</v>
      </c>
      <c r="K420">
        <v>5</v>
      </c>
    </row>
    <row r="421" spans="1:11" x14ac:dyDescent="0.25">
      <c r="A421" s="3" t="s">
        <v>546</v>
      </c>
      <c r="B421" s="3">
        <v>216</v>
      </c>
      <c r="C421" s="3">
        <v>-83</v>
      </c>
      <c r="D421" s="3">
        <v>3</v>
      </c>
      <c r="E421" s="3" t="s">
        <v>889</v>
      </c>
      <c r="F421" s="3" t="s">
        <v>890</v>
      </c>
      <c r="G421" s="3" t="s">
        <v>891</v>
      </c>
      <c r="K421">
        <v>69</v>
      </c>
    </row>
    <row r="422" spans="1:11" x14ac:dyDescent="0.25">
      <c r="A422" s="3" t="s">
        <v>541</v>
      </c>
      <c r="B422" s="3">
        <v>58</v>
      </c>
      <c r="C422" s="3">
        <v>-42</v>
      </c>
      <c r="D422" s="3">
        <v>2</v>
      </c>
      <c r="E422" s="3" t="s">
        <v>892</v>
      </c>
      <c r="F422" s="3" t="s">
        <v>893</v>
      </c>
      <c r="G422" s="3" t="s">
        <v>911</v>
      </c>
      <c r="K422">
        <v>16</v>
      </c>
    </row>
    <row r="423" spans="1:11" x14ac:dyDescent="0.25">
      <c r="A423" s="3" t="s">
        <v>110</v>
      </c>
      <c r="B423" s="3">
        <v>48</v>
      </c>
      <c r="C423" s="3">
        <v>20</v>
      </c>
      <c r="D423" s="3">
        <v>4</v>
      </c>
      <c r="E423" s="3" t="s">
        <v>899</v>
      </c>
      <c r="F423" s="3" t="s">
        <v>907</v>
      </c>
      <c r="G423" s="3" t="s">
        <v>902</v>
      </c>
      <c r="K423">
        <v>37</v>
      </c>
    </row>
    <row r="424" spans="1:11" x14ac:dyDescent="0.25">
      <c r="A424" s="3" t="s">
        <v>25</v>
      </c>
      <c r="B424" s="3">
        <v>54</v>
      </c>
      <c r="C424" s="3">
        <v>14</v>
      </c>
      <c r="D424" s="3">
        <v>3</v>
      </c>
      <c r="E424" s="3" t="s">
        <v>899</v>
      </c>
      <c r="F424" s="3" t="s">
        <v>910</v>
      </c>
      <c r="G424" s="3" t="s">
        <v>902</v>
      </c>
      <c r="K424">
        <v>36</v>
      </c>
    </row>
    <row r="425" spans="1:11" x14ac:dyDescent="0.25">
      <c r="A425" s="3" t="s">
        <v>138</v>
      </c>
      <c r="B425" s="3">
        <v>216</v>
      </c>
      <c r="C425" s="3">
        <v>50</v>
      </c>
      <c r="D425" s="3">
        <v>4</v>
      </c>
      <c r="E425" s="3" t="s">
        <v>899</v>
      </c>
      <c r="F425" s="3" t="s">
        <v>907</v>
      </c>
      <c r="G425" s="3" t="s">
        <v>891</v>
      </c>
      <c r="K425">
        <v>-54</v>
      </c>
    </row>
    <row r="426" spans="1:11" x14ac:dyDescent="0.25">
      <c r="A426" s="3" t="s">
        <v>271</v>
      </c>
      <c r="B426" s="3">
        <v>215</v>
      </c>
      <c r="C426" s="3">
        <v>-30</v>
      </c>
      <c r="D426" s="3">
        <v>2</v>
      </c>
      <c r="E426" s="3" t="s">
        <v>899</v>
      </c>
      <c r="F426" s="3" t="s">
        <v>901</v>
      </c>
      <c r="G426" s="3" t="s">
        <v>891</v>
      </c>
      <c r="K426">
        <v>-58</v>
      </c>
    </row>
    <row r="427" spans="1:11" x14ac:dyDescent="0.25">
      <c r="A427" s="3" t="s">
        <v>640</v>
      </c>
      <c r="B427" s="3">
        <v>43</v>
      </c>
      <c r="C427" s="3">
        <v>8</v>
      </c>
      <c r="D427" s="3">
        <v>3</v>
      </c>
      <c r="E427" s="3" t="s">
        <v>899</v>
      </c>
      <c r="F427" s="3" t="s">
        <v>908</v>
      </c>
      <c r="G427" s="3" t="s">
        <v>891</v>
      </c>
      <c r="K427">
        <v>26</v>
      </c>
    </row>
    <row r="428" spans="1:11" x14ac:dyDescent="0.25">
      <c r="A428" s="3" t="s">
        <v>93</v>
      </c>
      <c r="B428" s="3">
        <v>136</v>
      </c>
      <c r="C428" s="3">
        <v>-33</v>
      </c>
      <c r="D428" s="3">
        <v>5</v>
      </c>
      <c r="E428" s="3" t="s">
        <v>899</v>
      </c>
      <c r="F428" s="3" t="s">
        <v>901</v>
      </c>
      <c r="G428" s="3" t="s">
        <v>891</v>
      </c>
      <c r="K428">
        <v>6</v>
      </c>
    </row>
    <row r="429" spans="1:11" x14ac:dyDescent="0.25">
      <c r="A429" s="3" t="s">
        <v>333</v>
      </c>
      <c r="B429" s="3">
        <v>59</v>
      </c>
      <c r="C429" s="3">
        <v>-30</v>
      </c>
      <c r="D429" s="3">
        <v>3</v>
      </c>
      <c r="E429" s="3" t="s">
        <v>899</v>
      </c>
      <c r="F429" s="3" t="s">
        <v>908</v>
      </c>
      <c r="G429" s="3" t="s">
        <v>911</v>
      </c>
      <c r="K429">
        <v>17</v>
      </c>
    </row>
    <row r="430" spans="1:11" x14ac:dyDescent="0.25">
      <c r="A430" s="3" t="s">
        <v>5</v>
      </c>
      <c r="B430" s="3">
        <v>213</v>
      </c>
      <c r="C430" s="3">
        <v>4</v>
      </c>
      <c r="D430" s="3">
        <v>14</v>
      </c>
      <c r="E430" s="3" t="s">
        <v>899</v>
      </c>
      <c r="F430" s="3" t="s">
        <v>913</v>
      </c>
      <c r="G430" s="3" t="s">
        <v>891</v>
      </c>
      <c r="K430">
        <v>26</v>
      </c>
    </row>
    <row r="431" spans="1:11" x14ac:dyDescent="0.25">
      <c r="A431" s="3" t="s">
        <v>194</v>
      </c>
      <c r="B431" s="3">
        <v>59</v>
      </c>
      <c r="C431" s="3">
        <v>21</v>
      </c>
      <c r="D431" s="3">
        <v>2</v>
      </c>
      <c r="E431" s="3" t="s">
        <v>899</v>
      </c>
      <c r="F431" s="3" t="s">
        <v>907</v>
      </c>
      <c r="G431" s="3" t="s">
        <v>911</v>
      </c>
      <c r="K431">
        <v>9</v>
      </c>
    </row>
    <row r="432" spans="1:11" x14ac:dyDescent="0.25">
      <c r="A432" s="3" t="s">
        <v>378</v>
      </c>
      <c r="B432" s="3">
        <v>55</v>
      </c>
      <c r="C432" s="3">
        <v>3</v>
      </c>
      <c r="D432" s="3">
        <v>3</v>
      </c>
      <c r="E432" s="3" t="s">
        <v>899</v>
      </c>
      <c r="F432" s="3" t="s">
        <v>910</v>
      </c>
      <c r="G432" s="3" t="s">
        <v>891</v>
      </c>
      <c r="K432">
        <v>29</v>
      </c>
    </row>
    <row r="433" spans="1:11" x14ac:dyDescent="0.25">
      <c r="A433" s="3" t="s">
        <v>25</v>
      </c>
      <c r="B433" s="3">
        <v>294</v>
      </c>
      <c r="C433" s="3">
        <v>62</v>
      </c>
      <c r="D433" s="3">
        <v>9</v>
      </c>
      <c r="E433" s="3" t="s">
        <v>899</v>
      </c>
      <c r="F433" s="3" t="s">
        <v>910</v>
      </c>
      <c r="G433" s="3" t="s">
        <v>894</v>
      </c>
      <c r="K433">
        <v>-68</v>
      </c>
    </row>
    <row r="434" spans="1:11" x14ac:dyDescent="0.25">
      <c r="A434" s="3" t="s">
        <v>552</v>
      </c>
      <c r="B434" s="3">
        <v>210</v>
      </c>
      <c r="C434" s="3">
        <v>62</v>
      </c>
      <c r="D434" s="3">
        <v>2</v>
      </c>
      <c r="E434" s="3" t="s">
        <v>889</v>
      </c>
      <c r="F434" s="3" t="s">
        <v>898</v>
      </c>
      <c r="G434" s="3" t="s">
        <v>891</v>
      </c>
      <c r="K434">
        <v>-62</v>
      </c>
    </row>
    <row r="435" spans="1:11" x14ac:dyDescent="0.25">
      <c r="A435" s="3" t="s">
        <v>652</v>
      </c>
      <c r="B435" s="3">
        <v>59</v>
      </c>
      <c r="C435" s="3">
        <v>24</v>
      </c>
      <c r="D435" s="3">
        <v>6</v>
      </c>
      <c r="E435" s="3" t="s">
        <v>899</v>
      </c>
      <c r="F435" s="3" t="s">
        <v>904</v>
      </c>
      <c r="G435" s="3" t="s">
        <v>911</v>
      </c>
      <c r="K435">
        <v>35</v>
      </c>
    </row>
    <row r="436" spans="1:11" x14ac:dyDescent="0.25">
      <c r="A436" s="3" t="s">
        <v>436</v>
      </c>
      <c r="B436" s="3">
        <v>396</v>
      </c>
      <c r="C436" s="3">
        <v>-31</v>
      </c>
      <c r="D436" s="3">
        <v>9</v>
      </c>
      <c r="E436" s="3" t="s">
        <v>899</v>
      </c>
      <c r="F436" s="3" t="s">
        <v>901</v>
      </c>
      <c r="G436" s="3" t="s">
        <v>891</v>
      </c>
      <c r="K436">
        <v>20</v>
      </c>
    </row>
    <row r="437" spans="1:11" x14ac:dyDescent="0.25">
      <c r="A437" s="3" t="s">
        <v>358</v>
      </c>
      <c r="B437" s="3">
        <v>284</v>
      </c>
      <c r="C437" s="3">
        <v>45</v>
      </c>
      <c r="D437" s="3">
        <v>2</v>
      </c>
      <c r="E437" s="3" t="s">
        <v>892</v>
      </c>
      <c r="F437" s="3" t="s">
        <v>895</v>
      </c>
      <c r="G437" s="3" t="s">
        <v>894</v>
      </c>
      <c r="K437">
        <v>-5</v>
      </c>
    </row>
    <row r="438" spans="1:11" x14ac:dyDescent="0.25">
      <c r="A438" s="3" t="s">
        <v>518</v>
      </c>
      <c r="B438" s="3">
        <v>276</v>
      </c>
      <c r="C438" s="3">
        <v>52</v>
      </c>
      <c r="D438" s="3">
        <v>5</v>
      </c>
      <c r="E438" s="3" t="s">
        <v>899</v>
      </c>
      <c r="F438" s="3" t="s">
        <v>901</v>
      </c>
      <c r="G438" s="3" t="s">
        <v>894</v>
      </c>
      <c r="K438">
        <v>12</v>
      </c>
    </row>
    <row r="439" spans="1:11" x14ac:dyDescent="0.25">
      <c r="A439" s="3" t="s">
        <v>448</v>
      </c>
      <c r="B439" s="3">
        <v>23</v>
      </c>
      <c r="C439" s="3">
        <v>2</v>
      </c>
      <c r="D439" s="3">
        <v>2</v>
      </c>
      <c r="E439" s="3" t="s">
        <v>899</v>
      </c>
      <c r="F439" s="3" t="s">
        <v>905</v>
      </c>
      <c r="G439" s="3" t="s">
        <v>902</v>
      </c>
      <c r="K439">
        <v>27</v>
      </c>
    </row>
    <row r="440" spans="1:11" x14ac:dyDescent="0.25">
      <c r="A440" s="3" t="s">
        <v>553</v>
      </c>
      <c r="B440" s="3">
        <v>209</v>
      </c>
      <c r="C440" s="3">
        <v>-63</v>
      </c>
      <c r="D440" s="3">
        <v>4</v>
      </c>
      <c r="E440" s="3" t="s">
        <v>889</v>
      </c>
      <c r="F440" s="3" t="s">
        <v>890</v>
      </c>
      <c r="G440" s="3" t="s">
        <v>891</v>
      </c>
      <c r="K440">
        <v>15</v>
      </c>
    </row>
    <row r="441" spans="1:11" x14ac:dyDescent="0.25">
      <c r="A441" s="3" t="s">
        <v>800</v>
      </c>
      <c r="B441" s="3">
        <v>50</v>
      </c>
      <c r="C441" s="3">
        <v>-28</v>
      </c>
      <c r="D441" s="3">
        <v>5</v>
      </c>
      <c r="E441" s="3" t="s">
        <v>892</v>
      </c>
      <c r="F441" s="3" t="s">
        <v>912</v>
      </c>
      <c r="G441" s="3" t="s">
        <v>891</v>
      </c>
      <c r="K441">
        <v>23</v>
      </c>
    </row>
    <row r="442" spans="1:11" x14ac:dyDescent="0.25">
      <c r="A442" s="3" t="s">
        <v>781</v>
      </c>
      <c r="B442" s="3">
        <v>57</v>
      </c>
      <c r="C442" s="3">
        <v>27</v>
      </c>
      <c r="D442" s="3">
        <v>2</v>
      </c>
      <c r="E442" s="3" t="s">
        <v>899</v>
      </c>
      <c r="F442" s="3" t="s">
        <v>913</v>
      </c>
      <c r="G442" s="3" t="s">
        <v>891</v>
      </c>
      <c r="K442">
        <v>24</v>
      </c>
    </row>
    <row r="443" spans="1:11" x14ac:dyDescent="0.25">
      <c r="A443" s="3" t="s">
        <v>516</v>
      </c>
      <c r="B443" s="3">
        <v>276</v>
      </c>
      <c r="C443" s="3">
        <v>-21</v>
      </c>
      <c r="D443" s="3">
        <v>2</v>
      </c>
      <c r="E443" s="3" t="s">
        <v>889</v>
      </c>
      <c r="F443" s="3" t="s">
        <v>898</v>
      </c>
      <c r="G443" s="3" t="s">
        <v>894</v>
      </c>
      <c r="K443">
        <v>2</v>
      </c>
    </row>
    <row r="444" spans="1:11" x14ac:dyDescent="0.25">
      <c r="A444" s="3" t="s">
        <v>77</v>
      </c>
      <c r="B444" s="3">
        <v>268</v>
      </c>
      <c r="C444" s="3">
        <v>6</v>
      </c>
      <c r="D444" s="3">
        <v>2</v>
      </c>
      <c r="E444" s="3" t="s">
        <v>892</v>
      </c>
      <c r="F444" s="3" t="s">
        <v>895</v>
      </c>
      <c r="G444" s="3" t="s">
        <v>902</v>
      </c>
      <c r="K444">
        <v>11</v>
      </c>
    </row>
    <row r="445" spans="1:11" x14ac:dyDescent="0.25">
      <c r="A445" s="3" t="s">
        <v>226</v>
      </c>
      <c r="B445" s="3">
        <v>269</v>
      </c>
      <c r="C445" s="3">
        <v>111</v>
      </c>
      <c r="D445" s="3">
        <v>3</v>
      </c>
      <c r="E445" s="3" t="s">
        <v>899</v>
      </c>
      <c r="F445" s="3" t="s">
        <v>900</v>
      </c>
      <c r="G445" s="3" t="s">
        <v>894</v>
      </c>
      <c r="K445">
        <v>42</v>
      </c>
    </row>
    <row r="446" spans="1:11" x14ac:dyDescent="0.25">
      <c r="A446" s="3" t="s">
        <v>181</v>
      </c>
      <c r="B446" s="3">
        <v>209</v>
      </c>
      <c r="C446" s="3">
        <v>2</v>
      </c>
      <c r="D446" s="3">
        <v>1</v>
      </c>
      <c r="E446" s="3" t="s">
        <v>899</v>
      </c>
      <c r="F446" s="3" t="s">
        <v>901</v>
      </c>
      <c r="G446" s="3" t="s">
        <v>891</v>
      </c>
      <c r="K446">
        <v>14</v>
      </c>
    </row>
    <row r="447" spans="1:11" x14ac:dyDescent="0.25">
      <c r="A447" s="3" t="s">
        <v>124</v>
      </c>
      <c r="B447" s="3">
        <v>60</v>
      </c>
      <c r="C447" s="3">
        <v>-12</v>
      </c>
      <c r="D447" s="3">
        <v>4</v>
      </c>
      <c r="E447" s="3" t="s">
        <v>899</v>
      </c>
      <c r="F447" s="3" t="s">
        <v>903</v>
      </c>
      <c r="G447" s="3" t="s">
        <v>911</v>
      </c>
      <c r="K447">
        <v>-10</v>
      </c>
    </row>
    <row r="448" spans="1:11" x14ac:dyDescent="0.25">
      <c r="A448" s="3" t="s">
        <v>416</v>
      </c>
      <c r="B448" s="3">
        <v>269</v>
      </c>
      <c r="C448" s="3">
        <v>-86</v>
      </c>
      <c r="D448" s="3">
        <v>2</v>
      </c>
      <c r="E448" s="3" t="s">
        <v>889</v>
      </c>
      <c r="F448" s="3" t="s">
        <v>890</v>
      </c>
      <c r="G448" s="3" t="s">
        <v>894</v>
      </c>
      <c r="K448">
        <v>-10</v>
      </c>
    </row>
    <row r="449" spans="1:11" x14ac:dyDescent="0.25">
      <c r="A449" s="3" t="s">
        <v>369</v>
      </c>
      <c r="B449" s="3">
        <v>208</v>
      </c>
      <c r="C449" s="3">
        <v>-25</v>
      </c>
      <c r="D449" s="3">
        <v>2</v>
      </c>
      <c r="E449" s="3" t="s">
        <v>899</v>
      </c>
      <c r="F449" s="3" t="s">
        <v>901</v>
      </c>
      <c r="G449" s="3" t="s">
        <v>891</v>
      </c>
      <c r="K449">
        <v>29</v>
      </c>
    </row>
    <row r="450" spans="1:11" x14ac:dyDescent="0.25">
      <c r="A450" s="3" t="s">
        <v>614</v>
      </c>
      <c r="B450" s="3">
        <v>27</v>
      </c>
      <c r="C450" s="3">
        <v>2</v>
      </c>
      <c r="D450" s="3">
        <v>2</v>
      </c>
      <c r="E450" s="3" t="s">
        <v>899</v>
      </c>
      <c r="F450" s="3" t="s">
        <v>908</v>
      </c>
      <c r="G450" s="3" t="s">
        <v>902</v>
      </c>
      <c r="K450">
        <v>36</v>
      </c>
    </row>
    <row r="451" spans="1:11" x14ac:dyDescent="0.25">
      <c r="A451" s="3" t="s">
        <v>555</v>
      </c>
      <c r="B451" s="3">
        <v>206</v>
      </c>
      <c r="C451" s="3">
        <v>-206</v>
      </c>
      <c r="D451" s="3">
        <v>3</v>
      </c>
      <c r="E451" s="3" t="s">
        <v>899</v>
      </c>
      <c r="F451" s="3" t="s">
        <v>901</v>
      </c>
      <c r="G451" s="3" t="s">
        <v>891</v>
      </c>
      <c r="K451">
        <v>-5</v>
      </c>
    </row>
    <row r="452" spans="1:11" x14ac:dyDescent="0.25">
      <c r="A452" s="3" t="s">
        <v>484</v>
      </c>
      <c r="B452" s="3">
        <v>61</v>
      </c>
      <c r="C452" s="3">
        <v>8</v>
      </c>
      <c r="D452" s="3">
        <v>4</v>
      </c>
      <c r="E452" s="3" t="s">
        <v>899</v>
      </c>
      <c r="F452" s="3" t="s">
        <v>903</v>
      </c>
      <c r="G452" s="3" t="s">
        <v>911</v>
      </c>
      <c r="K452">
        <v>73</v>
      </c>
    </row>
    <row r="453" spans="1:11" x14ac:dyDescent="0.25">
      <c r="A453" s="3" t="s">
        <v>369</v>
      </c>
      <c r="B453" s="3">
        <v>212</v>
      </c>
      <c r="C453" s="3">
        <v>-24</v>
      </c>
      <c r="D453" s="3">
        <v>2</v>
      </c>
      <c r="E453" s="3" t="s">
        <v>892</v>
      </c>
      <c r="F453" s="3" t="s">
        <v>893</v>
      </c>
      <c r="G453" s="3" t="s">
        <v>891</v>
      </c>
      <c r="K453">
        <v>35</v>
      </c>
    </row>
    <row r="454" spans="1:11" x14ac:dyDescent="0.25">
      <c r="A454" s="3" t="s">
        <v>503</v>
      </c>
      <c r="B454" s="3">
        <v>262</v>
      </c>
      <c r="C454" s="3">
        <v>64</v>
      </c>
      <c r="D454" s="3">
        <v>6</v>
      </c>
      <c r="E454" s="3" t="s">
        <v>899</v>
      </c>
      <c r="F454" s="3" t="s">
        <v>901</v>
      </c>
      <c r="G454" s="3" t="s">
        <v>894</v>
      </c>
      <c r="K454">
        <v>56</v>
      </c>
    </row>
    <row r="455" spans="1:11" x14ac:dyDescent="0.25">
      <c r="A455" s="3" t="s">
        <v>297</v>
      </c>
      <c r="B455" s="3">
        <v>204</v>
      </c>
      <c r="C455" s="3">
        <v>276</v>
      </c>
      <c r="D455" s="3">
        <v>3</v>
      </c>
      <c r="E455" s="3" t="s">
        <v>892</v>
      </c>
      <c r="F455" s="3" t="s">
        <v>895</v>
      </c>
      <c r="G455" s="3" t="s">
        <v>891</v>
      </c>
      <c r="K455">
        <v>27</v>
      </c>
    </row>
    <row r="456" spans="1:11" x14ac:dyDescent="0.25">
      <c r="A456" s="3" t="s">
        <v>200</v>
      </c>
      <c r="B456" s="3">
        <v>59</v>
      </c>
      <c r="C456" s="3">
        <v>-46</v>
      </c>
      <c r="D456" s="3">
        <v>7</v>
      </c>
      <c r="E456" s="3" t="s">
        <v>899</v>
      </c>
      <c r="F456" s="3" t="s">
        <v>910</v>
      </c>
      <c r="G456" s="3" t="s">
        <v>902</v>
      </c>
      <c r="K456">
        <v>1</v>
      </c>
    </row>
    <row r="457" spans="1:11" x14ac:dyDescent="0.25">
      <c r="A457" s="3" t="s">
        <v>369</v>
      </c>
      <c r="B457" s="3">
        <v>199</v>
      </c>
      <c r="C457" s="3">
        <v>-18</v>
      </c>
      <c r="D457" s="3">
        <v>2</v>
      </c>
      <c r="E457" s="3" t="s">
        <v>899</v>
      </c>
      <c r="F457" s="3" t="s">
        <v>901</v>
      </c>
      <c r="G457" s="3" t="s">
        <v>891</v>
      </c>
      <c r="K457">
        <v>-37</v>
      </c>
    </row>
    <row r="458" spans="1:11" x14ac:dyDescent="0.25">
      <c r="A458" s="3" t="s">
        <v>50</v>
      </c>
      <c r="B458" s="3">
        <v>59</v>
      </c>
      <c r="C458" s="3">
        <v>6</v>
      </c>
      <c r="D458" s="3">
        <v>1</v>
      </c>
      <c r="E458" s="3" t="s">
        <v>889</v>
      </c>
      <c r="F458" s="3" t="s">
        <v>909</v>
      </c>
      <c r="G458" s="3" t="s">
        <v>902</v>
      </c>
      <c r="K458">
        <v>41</v>
      </c>
    </row>
    <row r="459" spans="1:11" x14ac:dyDescent="0.25">
      <c r="A459" s="3" t="s">
        <v>415</v>
      </c>
      <c r="B459" s="3">
        <v>45</v>
      </c>
      <c r="C459" s="3">
        <v>9</v>
      </c>
      <c r="D459" s="3">
        <v>3</v>
      </c>
      <c r="E459" s="3" t="s">
        <v>899</v>
      </c>
      <c r="F459" s="3" t="s">
        <v>908</v>
      </c>
      <c r="G459" s="3" t="s">
        <v>902</v>
      </c>
      <c r="K459">
        <v>20</v>
      </c>
    </row>
    <row r="460" spans="1:11" x14ac:dyDescent="0.25">
      <c r="A460" s="3" t="s">
        <v>18</v>
      </c>
      <c r="B460" s="3">
        <v>211</v>
      </c>
      <c r="C460" s="3">
        <v>19</v>
      </c>
      <c r="D460" s="3">
        <v>8</v>
      </c>
      <c r="E460" s="3" t="s">
        <v>899</v>
      </c>
      <c r="F460" s="3" t="s">
        <v>907</v>
      </c>
      <c r="G460" s="3" t="s">
        <v>891</v>
      </c>
      <c r="K460">
        <v>-83</v>
      </c>
    </row>
    <row r="461" spans="1:11" x14ac:dyDescent="0.25">
      <c r="A461" s="3" t="s">
        <v>381</v>
      </c>
      <c r="B461" s="3">
        <v>65</v>
      </c>
      <c r="C461" s="3">
        <v>-16</v>
      </c>
      <c r="D461" s="3">
        <v>2</v>
      </c>
      <c r="E461" s="3" t="s">
        <v>889</v>
      </c>
      <c r="F461" s="3" t="s">
        <v>898</v>
      </c>
      <c r="G461" s="3" t="s">
        <v>911</v>
      </c>
      <c r="K461">
        <v>4</v>
      </c>
    </row>
    <row r="462" spans="1:11" x14ac:dyDescent="0.25">
      <c r="A462" s="3" t="s">
        <v>343</v>
      </c>
      <c r="B462" s="3">
        <v>25</v>
      </c>
      <c r="C462" s="3">
        <v>0</v>
      </c>
      <c r="D462" s="3">
        <v>4</v>
      </c>
      <c r="E462" s="3" t="s">
        <v>899</v>
      </c>
      <c r="F462" s="3" t="s">
        <v>905</v>
      </c>
      <c r="G462" s="3" t="s">
        <v>902</v>
      </c>
      <c r="K462">
        <v>10</v>
      </c>
    </row>
    <row r="463" spans="1:11" x14ac:dyDescent="0.25">
      <c r="A463" s="3" t="s">
        <v>564</v>
      </c>
      <c r="B463" s="3">
        <v>196</v>
      </c>
      <c r="C463" s="3">
        <v>-7</v>
      </c>
      <c r="D463" s="3">
        <v>5</v>
      </c>
      <c r="E463" s="3" t="s">
        <v>889</v>
      </c>
      <c r="F463" s="3" t="s">
        <v>898</v>
      </c>
      <c r="G463" s="3" t="s">
        <v>891</v>
      </c>
      <c r="K463">
        <v>-32</v>
      </c>
    </row>
    <row r="464" spans="1:11" x14ac:dyDescent="0.25">
      <c r="A464" s="3" t="s">
        <v>93</v>
      </c>
      <c r="B464" s="3">
        <v>261</v>
      </c>
      <c r="C464" s="3">
        <v>13</v>
      </c>
      <c r="D464" s="3">
        <v>6</v>
      </c>
      <c r="E464" s="3" t="s">
        <v>899</v>
      </c>
      <c r="F464" s="3" t="s">
        <v>913</v>
      </c>
      <c r="G464" s="3" t="s">
        <v>897</v>
      </c>
      <c r="K464">
        <v>-55</v>
      </c>
    </row>
    <row r="465" spans="1:11" x14ac:dyDescent="0.25">
      <c r="A465" s="3" t="s">
        <v>142</v>
      </c>
      <c r="B465" s="3">
        <v>195</v>
      </c>
      <c r="C465" s="3">
        <v>-117</v>
      </c>
      <c r="D465" s="3">
        <v>5</v>
      </c>
      <c r="E465" s="3" t="s">
        <v>889</v>
      </c>
      <c r="F465" s="3" t="s">
        <v>898</v>
      </c>
      <c r="G465" s="3" t="s">
        <v>891</v>
      </c>
      <c r="K465">
        <v>22</v>
      </c>
    </row>
    <row r="466" spans="1:11" x14ac:dyDescent="0.25">
      <c r="A466" s="3" t="s">
        <v>349</v>
      </c>
      <c r="B466" s="3">
        <v>192</v>
      </c>
      <c r="C466" s="3">
        <v>-146</v>
      </c>
      <c r="D466" s="3">
        <v>3</v>
      </c>
      <c r="E466" s="3" t="s">
        <v>899</v>
      </c>
      <c r="F466" s="3" t="s">
        <v>901</v>
      </c>
      <c r="G466" s="3" t="s">
        <v>891</v>
      </c>
      <c r="K466">
        <v>-3</v>
      </c>
    </row>
    <row r="467" spans="1:11" x14ac:dyDescent="0.25">
      <c r="A467" s="3" t="s">
        <v>575</v>
      </c>
      <c r="B467" s="3">
        <v>189</v>
      </c>
      <c r="C467" s="3">
        <v>87</v>
      </c>
      <c r="D467" s="3">
        <v>7</v>
      </c>
      <c r="E467" s="3" t="s">
        <v>899</v>
      </c>
      <c r="F467" s="3" t="s">
        <v>907</v>
      </c>
      <c r="G467" s="3" t="s">
        <v>891</v>
      </c>
      <c r="K467">
        <v>-124</v>
      </c>
    </row>
    <row r="468" spans="1:11" x14ac:dyDescent="0.25">
      <c r="A468" s="3" t="s">
        <v>311</v>
      </c>
      <c r="B468" s="3">
        <v>32</v>
      </c>
      <c r="C468" s="3">
        <v>2</v>
      </c>
      <c r="D468" s="3">
        <v>2</v>
      </c>
      <c r="E468" s="3" t="s">
        <v>899</v>
      </c>
      <c r="F468" s="3" t="s">
        <v>904</v>
      </c>
      <c r="G468" s="3" t="s">
        <v>902</v>
      </c>
      <c r="K468">
        <v>22</v>
      </c>
    </row>
    <row r="469" spans="1:11" x14ac:dyDescent="0.25">
      <c r="A469" s="3" t="s">
        <v>577</v>
      </c>
      <c r="B469" s="3">
        <v>188</v>
      </c>
      <c r="C469" s="3">
        <v>13</v>
      </c>
      <c r="D469" s="3">
        <v>7</v>
      </c>
      <c r="E469" s="3" t="s">
        <v>899</v>
      </c>
      <c r="F469" s="3" t="s">
        <v>913</v>
      </c>
      <c r="G469" s="3" t="s">
        <v>891</v>
      </c>
      <c r="K469">
        <v>9</v>
      </c>
    </row>
    <row r="470" spans="1:11" x14ac:dyDescent="0.25">
      <c r="A470" s="3" t="s">
        <v>759</v>
      </c>
      <c r="B470" s="3">
        <v>73</v>
      </c>
      <c r="C470" s="3">
        <v>-25</v>
      </c>
      <c r="D470" s="3">
        <v>3</v>
      </c>
      <c r="E470" s="3" t="s">
        <v>899</v>
      </c>
      <c r="F470" s="3" t="s">
        <v>901</v>
      </c>
      <c r="G470" s="3" t="s">
        <v>891</v>
      </c>
      <c r="K470">
        <v>-9</v>
      </c>
    </row>
    <row r="471" spans="1:11" x14ac:dyDescent="0.25">
      <c r="A471" s="3" t="s">
        <v>91</v>
      </c>
      <c r="B471" s="3">
        <v>259</v>
      </c>
      <c r="C471" s="3">
        <v>47</v>
      </c>
      <c r="D471" s="3">
        <v>5</v>
      </c>
      <c r="E471" s="3" t="s">
        <v>899</v>
      </c>
      <c r="F471" s="3" t="s">
        <v>903</v>
      </c>
      <c r="G471" s="3" t="s">
        <v>897</v>
      </c>
      <c r="K471">
        <v>-75</v>
      </c>
    </row>
    <row r="472" spans="1:11" x14ac:dyDescent="0.25">
      <c r="A472" s="3" t="s">
        <v>579</v>
      </c>
      <c r="B472" s="3">
        <v>187</v>
      </c>
      <c r="C472" s="3">
        <v>-15</v>
      </c>
      <c r="D472" s="3">
        <v>3</v>
      </c>
      <c r="E472" s="3" t="s">
        <v>899</v>
      </c>
      <c r="F472" s="3" t="s">
        <v>900</v>
      </c>
      <c r="G472" s="3" t="s">
        <v>891</v>
      </c>
      <c r="K472">
        <v>61</v>
      </c>
    </row>
    <row r="473" spans="1:11" x14ac:dyDescent="0.25">
      <c r="A473" s="3" t="s">
        <v>52</v>
      </c>
      <c r="B473" s="3">
        <v>26</v>
      </c>
      <c r="C473" s="3">
        <v>11</v>
      </c>
      <c r="D473" s="3">
        <v>2</v>
      </c>
      <c r="E473" s="3" t="s">
        <v>899</v>
      </c>
      <c r="F473" s="3" t="s">
        <v>903</v>
      </c>
      <c r="G473" s="3" t="s">
        <v>902</v>
      </c>
      <c r="K473">
        <v>-3</v>
      </c>
    </row>
    <row r="474" spans="1:11" x14ac:dyDescent="0.25">
      <c r="A474" s="3" t="s">
        <v>315</v>
      </c>
      <c r="B474" s="3">
        <v>185</v>
      </c>
      <c r="C474" s="3">
        <v>-26</v>
      </c>
      <c r="D474" s="3">
        <v>6</v>
      </c>
      <c r="E474" s="3" t="s">
        <v>892</v>
      </c>
      <c r="F474" s="3" t="s">
        <v>893</v>
      </c>
      <c r="G474" s="3" t="s">
        <v>891</v>
      </c>
      <c r="K474">
        <v>15</v>
      </c>
    </row>
    <row r="475" spans="1:11" x14ac:dyDescent="0.25">
      <c r="A475" s="3" t="s">
        <v>531</v>
      </c>
      <c r="B475" s="3">
        <v>248</v>
      </c>
      <c r="C475" s="3">
        <v>8</v>
      </c>
      <c r="D475" s="3">
        <v>2</v>
      </c>
      <c r="E475" s="3" t="s">
        <v>899</v>
      </c>
      <c r="F475" s="3" t="s">
        <v>901</v>
      </c>
      <c r="G475" s="3" t="s">
        <v>897</v>
      </c>
      <c r="K475">
        <v>0</v>
      </c>
    </row>
    <row r="476" spans="1:11" x14ac:dyDescent="0.25">
      <c r="A476" s="3" t="s">
        <v>767</v>
      </c>
      <c r="B476" s="3">
        <v>67</v>
      </c>
      <c r="C476" s="3">
        <v>9</v>
      </c>
      <c r="D476" s="3">
        <v>4</v>
      </c>
      <c r="E476" s="3" t="s">
        <v>899</v>
      </c>
      <c r="F476" s="3" t="s">
        <v>908</v>
      </c>
      <c r="G476" s="3" t="s">
        <v>911</v>
      </c>
      <c r="K476">
        <v>49</v>
      </c>
    </row>
    <row r="477" spans="1:11" x14ac:dyDescent="0.25">
      <c r="A477" s="3" t="s">
        <v>530</v>
      </c>
      <c r="B477" s="3">
        <v>248</v>
      </c>
      <c r="C477" s="3">
        <v>-70</v>
      </c>
      <c r="D477" s="3">
        <v>3</v>
      </c>
      <c r="E477" s="3" t="s">
        <v>892</v>
      </c>
      <c r="F477" s="3" t="s">
        <v>893</v>
      </c>
      <c r="G477" s="3" t="s">
        <v>897</v>
      </c>
      <c r="K477">
        <v>12</v>
      </c>
    </row>
    <row r="478" spans="1:11" x14ac:dyDescent="0.25">
      <c r="A478" s="3" t="s">
        <v>503</v>
      </c>
      <c r="B478" s="3">
        <v>246</v>
      </c>
      <c r="C478" s="3">
        <v>61</v>
      </c>
      <c r="D478" s="3">
        <v>2</v>
      </c>
      <c r="E478" s="3" t="s">
        <v>892</v>
      </c>
      <c r="F478" s="3" t="s">
        <v>895</v>
      </c>
      <c r="G478" s="3" t="s">
        <v>897</v>
      </c>
      <c r="K478">
        <v>13</v>
      </c>
    </row>
    <row r="479" spans="1:11" x14ac:dyDescent="0.25">
      <c r="A479" s="3" t="s">
        <v>582</v>
      </c>
      <c r="B479" s="3">
        <v>179</v>
      </c>
      <c r="C479" s="3">
        <v>-25</v>
      </c>
      <c r="D479" s="3">
        <v>5</v>
      </c>
      <c r="E479" s="3" t="s">
        <v>899</v>
      </c>
      <c r="F479" s="3" t="s">
        <v>904</v>
      </c>
      <c r="G479" s="3" t="s">
        <v>891</v>
      </c>
      <c r="K479">
        <v>56</v>
      </c>
    </row>
    <row r="480" spans="1:11" x14ac:dyDescent="0.25">
      <c r="A480" s="3" t="s">
        <v>587</v>
      </c>
      <c r="B480" s="3">
        <v>176</v>
      </c>
      <c r="C480" s="3">
        <v>-28</v>
      </c>
      <c r="D480" s="3">
        <v>5</v>
      </c>
      <c r="E480" s="3" t="s">
        <v>892</v>
      </c>
      <c r="F480" s="3" t="s">
        <v>912</v>
      </c>
      <c r="G480" s="3" t="s">
        <v>891</v>
      </c>
      <c r="K480">
        <v>19</v>
      </c>
    </row>
    <row r="481" spans="1:11" x14ac:dyDescent="0.25">
      <c r="A481" s="3" t="s">
        <v>378</v>
      </c>
      <c r="B481" s="3">
        <v>176</v>
      </c>
      <c r="C481" s="3">
        <v>-13</v>
      </c>
      <c r="D481" s="3">
        <v>5</v>
      </c>
      <c r="E481" s="3" t="s">
        <v>892</v>
      </c>
      <c r="F481" s="3" t="s">
        <v>912</v>
      </c>
      <c r="G481" s="3" t="s">
        <v>891</v>
      </c>
      <c r="K481">
        <v>38</v>
      </c>
    </row>
    <row r="482" spans="1:11" x14ac:dyDescent="0.25">
      <c r="A482" s="3" t="s">
        <v>491</v>
      </c>
      <c r="B482" s="3">
        <v>68</v>
      </c>
      <c r="C482" s="3">
        <v>-62</v>
      </c>
      <c r="D482" s="3">
        <v>2</v>
      </c>
      <c r="E482" s="3" t="s">
        <v>899</v>
      </c>
      <c r="F482" s="3" t="s">
        <v>900</v>
      </c>
      <c r="G482" s="3" t="s">
        <v>911</v>
      </c>
      <c r="K482">
        <v>57</v>
      </c>
    </row>
    <row r="483" spans="1:11" x14ac:dyDescent="0.25">
      <c r="A483" s="3" t="s">
        <v>586</v>
      </c>
      <c r="B483" s="3">
        <v>176</v>
      </c>
      <c r="C483" s="3">
        <v>37</v>
      </c>
      <c r="D483" s="3">
        <v>6</v>
      </c>
      <c r="E483" s="3" t="s">
        <v>889</v>
      </c>
      <c r="F483" s="3" t="s">
        <v>909</v>
      </c>
      <c r="G483" s="3" t="s">
        <v>891</v>
      </c>
      <c r="K483">
        <v>30</v>
      </c>
    </row>
    <row r="484" spans="1:11" x14ac:dyDescent="0.25">
      <c r="A484" s="3" t="s">
        <v>501</v>
      </c>
      <c r="B484" s="3">
        <v>88</v>
      </c>
      <c r="C484" s="3">
        <v>11</v>
      </c>
      <c r="D484" s="3">
        <v>7</v>
      </c>
      <c r="E484" s="3" t="s">
        <v>899</v>
      </c>
      <c r="F484" s="3" t="s">
        <v>903</v>
      </c>
      <c r="G484" s="3" t="s">
        <v>902</v>
      </c>
      <c r="K484">
        <v>11</v>
      </c>
    </row>
    <row r="485" spans="1:11" x14ac:dyDescent="0.25">
      <c r="A485" s="3" t="s">
        <v>766</v>
      </c>
      <c r="B485" s="3">
        <v>68</v>
      </c>
      <c r="C485" s="3">
        <v>20</v>
      </c>
      <c r="D485" s="3">
        <v>5</v>
      </c>
      <c r="E485" s="3" t="s">
        <v>899</v>
      </c>
      <c r="F485" s="3" t="s">
        <v>903</v>
      </c>
      <c r="G485" s="3" t="s">
        <v>911</v>
      </c>
      <c r="K485">
        <v>-124</v>
      </c>
    </row>
    <row r="486" spans="1:11" x14ac:dyDescent="0.25">
      <c r="A486" s="3" t="s">
        <v>44</v>
      </c>
      <c r="B486" s="3">
        <v>231</v>
      </c>
      <c r="C486" s="3">
        <v>99</v>
      </c>
      <c r="D486" s="3">
        <v>2</v>
      </c>
      <c r="E486" s="3" t="s">
        <v>889</v>
      </c>
      <c r="F486" s="3" t="s">
        <v>890</v>
      </c>
      <c r="G486" s="3" t="s">
        <v>897</v>
      </c>
      <c r="K486">
        <v>16</v>
      </c>
    </row>
    <row r="487" spans="1:11" x14ac:dyDescent="0.25">
      <c r="A487" s="3" t="s">
        <v>248</v>
      </c>
      <c r="B487" s="3">
        <v>62</v>
      </c>
      <c r="C487" s="3">
        <v>8</v>
      </c>
      <c r="D487" s="3">
        <v>2</v>
      </c>
      <c r="E487" s="3" t="s">
        <v>899</v>
      </c>
      <c r="F487" s="3" t="s">
        <v>910</v>
      </c>
      <c r="G487" s="3" t="s">
        <v>902</v>
      </c>
      <c r="K487">
        <v>20</v>
      </c>
    </row>
    <row r="488" spans="1:11" x14ac:dyDescent="0.25">
      <c r="A488" s="3" t="s">
        <v>354</v>
      </c>
      <c r="B488" s="3">
        <v>175</v>
      </c>
      <c r="C488" s="3">
        <v>77</v>
      </c>
      <c r="D488" s="3">
        <v>3</v>
      </c>
      <c r="E488" s="3" t="s">
        <v>899</v>
      </c>
      <c r="F488" s="3" t="s">
        <v>901</v>
      </c>
      <c r="G488" s="3" t="s">
        <v>891</v>
      </c>
      <c r="K488">
        <v>6</v>
      </c>
    </row>
    <row r="489" spans="1:11" x14ac:dyDescent="0.25">
      <c r="A489" s="3" t="s">
        <v>228</v>
      </c>
      <c r="B489" s="3">
        <v>71</v>
      </c>
      <c r="C489" s="3">
        <v>4</v>
      </c>
      <c r="D489" s="3">
        <v>5</v>
      </c>
      <c r="E489" s="3" t="s">
        <v>899</v>
      </c>
      <c r="F489" s="3" t="s">
        <v>908</v>
      </c>
      <c r="G489" s="3" t="s">
        <v>911</v>
      </c>
      <c r="K489">
        <v>36</v>
      </c>
    </row>
    <row r="490" spans="1:11" x14ac:dyDescent="0.25">
      <c r="A490" s="3" t="s">
        <v>555</v>
      </c>
      <c r="B490" s="3">
        <v>174</v>
      </c>
      <c r="C490" s="3">
        <v>-70</v>
      </c>
      <c r="D490" s="3">
        <v>3</v>
      </c>
      <c r="E490" s="3" t="s">
        <v>889</v>
      </c>
      <c r="F490" s="3" t="s">
        <v>909</v>
      </c>
      <c r="G490" s="3" t="s">
        <v>891</v>
      </c>
      <c r="K490">
        <v>5</v>
      </c>
    </row>
    <row r="491" spans="1:11" x14ac:dyDescent="0.25">
      <c r="A491" s="3" t="s">
        <v>221</v>
      </c>
      <c r="B491" s="3">
        <v>173</v>
      </c>
      <c r="C491" s="3">
        <v>69</v>
      </c>
      <c r="D491" s="3">
        <v>3</v>
      </c>
      <c r="E491" s="3" t="s">
        <v>892</v>
      </c>
      <c r="F491" s="3" t="s">
        <v>893</v>
      </c>
      <c r="G491" s="3" t="s">
        <v>891</v>
      </c>
      <c r="K491">
        <v>20</v>
      </c>
    </row>
    <row r="492" spans="1:11" x14ac:dyDescent="0.25">
      <c r="A492" s="3" t="s">
        <v>232</v>
      </c>
      <c r="B492" s="3">
        <v>171</v>
      </c>
      <c r="C492" s="3">
        <v>2</v>
      </c>
      <c r="D492" s="3">
        <v>2</v>
      </c>
      <c r="E492" s="3" t="s">
        <v>889</v>
      </c>
      <c r="F492" s="3" t="s">
        <v>890</v>
      </c>
      <c r="G492" s="3" t="s">
        <v>891</v>
      </c>
      <c r="K492">
        <v>27</v>
      </c>
    </row>
    <row r="493" spans="1:11" x14ac:dyDescent="0.25">
      <c r="A493" s="3" t="s">
        <v>349</v>
      </c>
      <c r="B493" s="3">
        <v>268</v>
      </c>
      <c r="C493" s="3">
        <v>-25</v>
      </c>
      <c r="D493" s="3">
        <v>3</v>
      </c>
      <c r="E493" s="3" t="s">
        <v>899</v>
      </c>
      <c r="F493" s="3" t="s">
        <v>901</v>
      </c>
      <c r="G493" s="3" t="s">
        <v>891</v>
      </c>
      <c r="K493">
        <v>-50</v>
      </c>
    </row>
    <row r="494" spans="1:11" x14ac:dyDescent="0.25">
      <c r="A494" s="3" t="s">
        <v>764</v>
      </c>
      <c r="B494" s="3">
        <v>71</v>
      </c>
      <c r="C494" s="3">
        <v>32</v>
      </c>
      <c r="D494" s="3">
        <v>3</v>
      </c>
      <c r="E494" s="3" t="s">
        <v>899</v>
      </c>
      <c r="F494" s="3" t="s">
        <v>901</v>
      </c>
      <c r="G494" s="3" t="s">
        <v>911</v>
      </c>
      <c r="K494">
        <v>19</v>
      </c>
    </row>
    <row r="495" spans="1:11" x14ac:dyDescent="0.25">
      <c r="A495" s="3" t="s">
        <v>611</v>
      </c>
      <c r="B495" s="3">
        <v>29</v>
      </c>
      <c r="C495" s="3">
        <v>10</v>
      </c>
      <c r="D495" s="3">
        <v>4</v>
      </c>
      <c r="E495" s="3" t="s">
        <v>899</v>
      </c>
      <c r="F495" s="3" t="s">
        <v>903</v>
      </c>
      <c r="G495" s="3" t="s">
        <v>902</v>
      </c>
      <c r="K495">
        <v>29</v>
      </c>
    </row>
    <row r="496" spans="1:11" x14ac:dyDescent="0.25">
      <c r="A496" s="3" t="s">
        <v>612</v>
      </c>
      <c r="B496" s="3">
        <v>65</v>
      </c>
      <c r="C496" s="3">
        <v>17</v>
      </c>
      <c r="D496" s="3">
        <v>2</v>
      </c>
      <c r="E496" s="3" t="s">
        <v>899</v>
      </c>
      <c r="F496" s="3" t="s">
        <v>910</v>
      </c>
      <c r="G496" s="3" t="s">
        <v>902</v>
      </c>
      <c r="K496">
        <v>-25</v>
      </c>
    </row>
    <row r="497" spans="1:11" x14ac:dyDescent="0.25">
      <c r="A497" s="3" t="s">
        <v>488</v>
      </c>
      <c r="B497" s="3">
        <v>72</v>
      </c>
      <c r="C497" s="3">
        <v>-46</v>
      </c>
      <c r="D497" s="3">
        <v>7</v>
      </c>
      <c r="E497" s="3" t="s">
        <v>899</v>
      </c>
      <c r="F497" s="3" t="s">
        <v>904</v>
      </c>
      <c r="G497" s="3" t="s">
        <v>911</v>
      </c>
      <c r="K497">
        <v>22</v>
      </c>
    </row>
    <row r="498" spans="1:11" x14ac:dyDescent="0.25">
      <c r="A498" s="3" t="s">
        <v>597</v>
      </c>
      <c r="B498" s="3">
        <v>168</v>
      </c>
      <c r="C498" s="3">
        <v>-51</v>
      </c>
      <c r="D498" s="3">
        <v>2</v>
      </c>
      <c r="E498" s="3" t="s">
        <v>892</v>
      </c>
      <c r="F498" s="3" t="s">
        <v>895</v>
      </c>
      <c r="G498" s="3" t="s">
        <v>891</v>
      </c>
      <c r="K498">
        <v>46</v>
      </c>
    </row>
    <row r="499" spans="1:11" x14ac:dyDescent="0.25">
      <c r="A499" s="3" t="s">
        <v>18</v>
      </c>
      <c r="B499" s="3">
        <v>165</v>
      </c>
      <c r="C499" s="3">
        <v>30</v>
      </c>
      <c r="D499" s="3">
        <v>3</v>
      </c>
      <c r="E499" s="3" t="s">
        <v>899</v>
      </c>
      <c r="F499" s="3" t="s">
        <v>907</v>
      </c>
      <c r="G499" s="3" t="s">
        <v>891</v>
      </c>
      <c r="K499">
        <v>-41</v>
      </c>
    </row>
    <row r="500" spans="1:11" x14ac:dyDescent="0.25">
      <c r="A500" s="3" t="s">
        <v>499</v>
      </c>
      <c r="B500" s="3">
        <v>74</v>
      </c>
      <c r="C500" s="3">
        <v>-59</v>
      </c>
      <c r="D500" s="3">
        <v>2</v>
      </c>
      <c r="E500" s="3" t="s">
        <v>889</v>
      </c>
      <c r="F500" s="3" t="s">
        <v>909</v>
      </c>
      <c r="G500" s="3" t="s">
        <v>911</v>
      </c>
      <c r="K500">
        <v>41</v>
      </c>
    </row>
    <row r="501" spans="1:11" x14ac:dyDescent="0.25">
      <c r="A501" s="3" t="s">
        <v>389</v>
      </c>
      <c r="B501" s="3">
        <v>89</v>
      </c>
      <c r="C501" s="3">
        <v>17</v>
      </c>
      <c r="D501" s="3">
        <v>2</v>
      </c>
      <c r="E501" s="3" t="s">
        <v>899</v>
      </c>
      <c r="F501" s="3" t="s">
        <v>907</v>
      </c>
      <c r="G501" s="3" t="s">
        <v>902</v>
      </c>
      <c r="K501">
        <v>72</v>
      </c>
    </row>
    <row r="502" spans="1:11" x14ac:dyDescent="0.25">
      <c r="A502" s="3" t="s">
        <v>476</v>
      </c>
      <c r="B502" s="3">
        <v>228</v>
      </c>
      <c r="C502" s="3">
        <v>63</v>
      </c>
      <c r="D502" s="3">
        <v>3</v>
      </c>
      <c r="E502" s="3" t="s">
        <v>889</v>
      </c>
      <c r="F502" s="3" t="s">
        <v>890</v>
      </c>
      <c r="G502" s="3" t="s">
        <v>897</v>
      </c>
      <c r="K502">
        <v>0</v>
      </c>
    </row>
    <row r="503" spans="1:11" x14ac:dyDescent="0.25">
      <c r="A503" s="3" t="s">
        <v>22</v>
      </c>
      <c r="B503" s="3">
        <v>119</v>
      </c>
      <c r="C503" s="3">
        <v>-24</v>
      </c>
      <c r="D503" s="3">
        <v>4</v>
      </c>
      <c r="E503" s="3" t="s">
        <v>892</v>
      </c>
      <c r="F503" s="3" t="s">
        <v>912</v>
      </c>
      <c r="G503" s="3" t="s">
        <v>891</v>
      </c>
      <c r="K503">
        <v>-13</v>
      </c>
    </row>
    <row r="504" spans="1:11" x14ac:dyDescent="0.25">
      <c r="A504" s="3" t="s">
        <v>300</v>
      </c>
      <c r="B504" s="3">
        <v>75</v>
      </c>
      <c r="C504" s="3">
        <v>-25</v>
      </c>
      <c r="D504" s="3">
        <v>3</v>
      </c>
      <c r="E504" s="3" t="s">
        <v>899</v>
      </c>
      <c r="F504" s="3" t="s">
        <v>907</v>
      </c>
      <c r="G504" s="3" t="s">
        <v>902</v>
      </c>
      <c r="K504">
        <v>25</v>
      </c>
    </row>
    <row r="505" spans="1:11" x14ac:dyDescent="0.25">
      <c r="A505" s="3" t="s">
        <v>177</v>
      </c>
      <c r="B505" s="3">
        <v>67</v>
      </c>
      <c r="C505" s="3">
        <v>20</v>
      </c>
      <c r="D505" s="3">
        <v>4</v>
      </c>
      <c r="E505" s="3" t="s">
        <v>899</v>
      </c>
      <c r="F505" s="3" t="s">
        <v>910</v>
      </c>
      <c r="G505" s="3" t="s">
        <v>902</v>
      </c>
      <c r="K505">
        <v>15</v>
      </c>
    </row>
    <row r="506" spans="1:11" x14ac:dyDescent="0.25">
      <c r="A506" s="3" t="s">
        <v>260</v>
      </c>
      <c r="B506" s="3">
        <v>7</v>
      </c>
      <c r="C506" s="3">
        <v>0</v>
      </c>
      <c r="D506" s="3">
        <v>1</v>
      </c>
      <c r="E506" s="3" t="s">
        <v>899</v>
      </c>
      <c r="F506" s="3" t="s">
        <v>908</v>
      </c>
      <c r="G506" s="3" t="s">
        <v>891</v>
      </c>
      <c r="K506">
        <v>15</v>
      </c>
    </row>
    <row r="507" spans="1:11" x14ac:dyDescent="0.25">
      <c r="A507" s="3" t="s">
        <v>371</v>
      </c>
      <c r="B507" s="3">
        <v>222</v>
      </c>
      <c r="C507" s="3">
        <v>35</v>
      </c>
      <c r="D507" s="3">
        <v>5</v>
      </c>
      <c r="E507" s="3" t="s">
        <v>899</v>
      </c>
      <c r="F507" s="3" t="s">
        <v>901</v>
      </c>
      <c r="G507" s="3" t="s">
        <v>897</v>
      </c>
      <c r="K507">
        <v>16</v>
      </c>
    </row>
    <row r="508" spans="1:11" x14ac:dyDescent="0.25">
      <c r="A508" s="3" t="s">
        <v>809</v>
      </c>
      <c r="B508" s="3">
        <v>219</v>
      </c>
      <c r="C508" s="3">
        <v>-9</v>
      </c>
      <c r="D508" s="3">
        <v>4</v>
      </c>
      <c r="E508" s="3" t="s">
        <v>899</v>
      </c>
      <c r="F508" s="3" t="s">
        <v>901</v>
      </c>
      <c r="G508" s="3" t="s">
        <v>897</v>
      </c>
      <c r="K508">
        <v>0</v>
      </c>
    </row>
    <row r="509" spans="1:11" x14ac:dyDescent="0.25">
      <c r="A509" s="3" t="s">
        <v>539</v>
      </c>
      <c r="B509" s="3">
        <v>42</v>
      </c>
      <c r="C509" s="3">
        <v>-23</v>
      </c>
      <c r="D509" s="3">
        <v>2</v>
      </c>
      <c r="E509" s="3" t="s">
        <v>892</v>
      </c>
      <c r="F509" s="3" t="s">
        <v>912</v>
      </c>
      <c r="G509" s="3" t="s">
        <v>902</v>
      </c>
      <c r="K509">
        <v>19</v>
      </c>
    </row>
    <row r="510" spans="1:11" x14ac:dyDescent="0.25">
      <c r="A510" s="3" t="s">
        <v>150</v>
      </c>
      <c r="B510" s="3">
        <v>216</v>
      </c>
      <c r="C510" s="3">
        <v>-135</v>
      </c>
      <c r="D510" s="3">
        <v>3</v>
      </c>
      <c r="E510" s="3" t="s">
        <v>892</v>
      </c>
      <c r="F510" s="3" t="s">
        <v>893</v>
      </c>
      <c r="G510" s="3" t="s">
        <v>897</v>
      </c>
      <c r="K510">
        <v>-3</v>
      </c>
    </row>
    <row r="511" spans="1:11" x14ac:dyDescent="0.25">
      <c r="A511" s="3" t="s">
        <v>543</v>
      </c>
      <c r="B511" s="3">
        <v>47</v>
      </c>
      <c r="C511" s="3">
        <v>-21</v>
      </c>
      <c r="D511" s="3">
        <v>2</v>
      </c>
      <c r="E511" s="3" t="s">
        <v>889</v>
      </c>
      <c r="F511" s="3" t="s">
        <v>890</v>
      </c>
      <c r="G511" s="3" t="s">
        <v>891</v>
      </c>
      <c r="K511">
        <v>-47</v>
      </c>
    </row>
    <row r="512" spans="1:11" x14ac:dyDescent="0.25">
      <c r="A512" s="3" t="s">
        <v>199</v>
      </c>
      <c r="B512" s="3">
        <v>68</v>
      </c>
      <c r="C512" s="3">
        <v>-55</v>
      </c>
      <c r="D512" s="3">
        <v>5</v>
      </c>
      <c r="E512" s="3" t="s">
        <v>889</v>
      </c>
      <c r="F512" s="3" t="s">
        <v>909</v>
      </c>
      <c r="G512" s="3" t="s">
        <v>902</v>
      </c>
      <c r="K512">
        <v>26</v>
      </c>
    </row>
    <row r="513" spans="1:11" x14ac:dyDescent="0.25">
      <c r="A513" s="3" t="s">
        <v>413</v>
      </c>
      <c r="B513" s="3">
        <v>74</v>
      </c>
      <c r="C513" s="3">
        <v>33</v>
      </c>
      <c r="D513" s="3">
        <v>2</v>
      </c>
      <c r="E513" s="3" t="s">
        <v>899</v>
      </c>
      <c r="F513" s="3" t="s">
        <v>913</v>
      </c>
      <c r="G513" s="3" t="s">
        <v>911</v>
      </c>
      <c r="K513">
        <v>5</v>
      </c>
    </row>
    <row r="514" spans="1:11" x14ac:dyDescent="0.25">
      <c r="A514" s="3" t="s">
        <v>290</v>
      </c>
      <c r="B514" s="3">
        <v>165</v>
      </c>
      <c r="C514" s="3">
        <v>46</v>
      </c>
      <c r="D514" s="3">
        <v>3</v>
      </c>
      <c r="E514" s="3" t="s">
        <v>892</v>
      </c>
      <c r="F514" s="3" t="s">
        <v>912</v>
      </c>
      <c r="G514" s="3" t="s">
        <v>891</v>
      </c>
      <c r="K514">
        <v>-42</v>
      </c>
    </row>
    <row r="515" spans="1:11" x14ac:dyDescent="0.25">
      <c r="A515" s="3" t="s">
        <v>427</v>
      </c>
      <c r="B515" s="3">
        <v>101</v>
      </c>
      <c r="C515" s="3">
        <v>11</v>
      </c>
      <c r="D515" s="3">
        <v>2</v>
      </c>
      <c r="E515" s="3" t="s">
        <v>899</v>
      </c>
      <c r="F515" s="3" t="s">
        <v>903</v>
      </c>
      <c r="G515" s="3" t="s">
        <v>902</v>
      </c>
      <c r="K515">
        <v>38</v>
      </c>
    </row>
    <row r="516" spans="1:11" x14ac:dyDescent="0.25">
      <c r="A516" s="3" t="s">
        <v>603</v>
      </c>
      <c r="B516" s="3">
        <v>162</v>
      </c>
      <c r="C516" s="3">
        <v>73</v>
      </c>
      <c r="D516" s="3">
        <v>2</v>
      </c>
      <c r="E516" s="3" t="s">
        <v>889</v>
      </c>
      <c r="F516" s="3" t="s">
        <v>890</v>
      </c>
      <c r="G516" s="3" t="s">
        <v>891</v>
      </c>
      <c r="K516">
        <v>-5</v>
      </c>
    </row>
    <row r="517" spans="1:11" x14ac:dyDescent="0.25">
      <c r="A517" s="3" t="s">
        <v>718</v>
      </c>
      <c r="B517" s="3">
        <v>20</v>
      </c>
      <c r="C517" s="3">
        <v>-22</v>
      </c>
      <c r="D517" s="3">
        <v>1</v>
      </c>
      <c r="E517" s="3" t="s">
        <v>892</v>
      </c>
      <c r="F517" s="3" t="s">
        <v>912</v>
      </c>
      <c r="G517" s="3" t="s">
        <v>902</v>
      </c>
      <c r="K517">
        <v>-15</v>
      </c>
    </row>
    <row r="518" spans="1:11" x14ac:dyDescent="0.25">
      <c r="A518" s="3" t="s">
        <v>352</v>
      </c>
      <c r="B518" s="3">
        <v>162</v>
      </c>
      <c r="C518" s="3">
        <v>55</v>
      </c>
      <c r="D518" s="3">
        <v>3</v>
      </c>
      <c r="E518" s="3" t="s">
        <v>899</v>
      </c>
      <c r="F518" s="3" t="s">
        <v>907</v>
      </c>
      <c r="G518" s="3" t="s">
        <v>891</v>
      </c>
      <c r="K518">
        <v>-4</v>
      </c>
    </row>
    <row r="519" spans="1:11" x14ac:dyDescent="0.25">
      <c r="A519" s="3" t="s">
        <v>416</v>
      </c>
      <c r="B519" s="3">
        <v>229</v>
      </c>
      <c r="C519" s="3">
        <v>-23</v>
      </c>
      <c r="D519" s="3">
        <v>2</v>
      </c>
      <c r="E519" s="3" t="s">
        <v>899</v>
      </c>
      <c r="F519" s="3" t="s">
        <v>901</v>
      </c>
      <c r="G519" s="3" t="s">
        <v>902</v>
      </c>
      <c r="K519">
        <v>-43</v>
      </c>
    </row>
    <row r="520" spans="1:11" x14ac:dyDescent="0.25">
      <c r="A520" s="3" t="s">
        <v>237</v>
      </c>
      <c r="B520" s="3">
        <v>27</v>
      </c>
      <c r="C520" s="3">
        <v>0</v>
      </c>
      <c r="D520" s="3">
        <v>2</v>
      </c>
      <c r="E520" s="3" t="s">
        <v>899</v>
      </c>
      <c r="F520" s="3" t="s">
        <v>908</v>
      </c>
      <c r="G520" s="3" t="s">
        <v>891</v>
      </c>
      <c r="K520">
        <v>-5</v>
      </c>
    </row>
    <row r="521" spans="1:11" x14ac:dyDescent="0.25">
      <c r="A521" s="3" t="s">
        <v>91</v>
      </c>
      <c r="B521" s="3">
        <v>685</v>
      </c>
      <c r="C521" s="3">
        <v>7</v>
      </c>
      <c r="D521" s="3">
        <v>7</v>
      </c>
      <c r="E521" s="3" t="s">
        <v>899</v>
      </c>
      <c r="F521" s="3" t="s">
        <v>900</v>
      </c>
      <c r="G521" s="3" t="s">
        <v>902</v>
      </c>
      <c r="K521">
        <v>25</v>
      </c>
    </row>
    <row r="522" spans="1:11" x14ac:dyDescent="0.25">
      <c r="A522" s="3" t="s">
        <v>678</v>
      </c>
      <c r="B522" s="3">
        <v>75</v>
      </c>
      <c r="C522" s="3">
        <v>2</v>
      </c>
      <c r="D522" s="3">
        <v>5</v>
      </c>
      <c r="E522" s="3" t="s">
        <v>899</v>
      </c>
      <c r="F522" s="3" t="s">
        <v>908</v>
      </c>
      <c r="G522" s="3" t="s">
        <v>911</v>
      </c>
      <c r="K522">
        <v>-29</v>
      </c>
    </row>
    <row r="523" spans="1:11" x14ac:dyDescent="0.25">
      <c r="A523" s="3" t="s">
        <v>356</v>
      </c>
      <c r="B523" s="3">
        <v>161</v>
      </c>
      <c r="C523" s="3">
        <v>-229</v>
      </c>
      <c r="D523" s="3">
        <v>8</v>
      </c>
      <c r="E523" s="3" t="s">
        <v>892</v>
      </c>
      <c r="F523" s="3" t="s">
        <v>912</v>
      </c>
      <c r="G523" s="3" t="s">
        <v>891</v>
      </c>
      <c r="K523">
        <v>69</v>
      </c>
    </row>
    <row r="524" spans="1:11" x14ac:dyDescent="0.25">
      <c r="A524" s="3" t="s">
        <v>518</v>
      </c>
      <c r="B524" s="3">
        <v>71</v>
      </c>
      <c r="C524" s="3">
        <v>19</v>
      </c>
      <c r="D524" s="3">
        <v>3</v>
      </c>
      <c r="E524" s="3" t="s">
        <v>899</v>
      </c>
      <c r="F524" s="3" t="s">
        <v>910</v>
      </c>
      <c r="G524" s="3" t="s">
        <v>891</v>
      </c>
      <c r="K524">
        <v>-59</v>
      </c>
    </row>
    <row r="525" spans="1:11" x14ac:dyDescent="0.25">
      <c r="A525" s="3" t="s">
        <v>226</v>
      </c>
      <c r="B525" s="3">
        <v>211</v>
      </c>
      <c r="C525" s="3">
        <v>-105</v>
      </c>
      <c r="D525" s="3">
        <v>2</v>
      </c>
      <c r="E525" s="3" t="s">
        <v>899</v>
      </c>
      <c r="F525" s="3" t="s">
        <v>901</v>
      </c>
      <c r="G525" s="3" t="s">
        <v>897</v>
      </c>
      <c r="K525">
        <v>1</v>
      </c>
    </row>
    <row r="526" spans="1:11" x14ac:dyDescent="0.25">
      <c r="A526" s="3" t="s">
        <v>580</v>
      </c>
      <c r="B526" s="3">
        <v>79</v>
      </c>
      <c r="C526" s="3">
        <v>5</v>
      </c>
      <c r="D526" s="3">
        <v>6</v>
      </c>
      <c r="E526" s="3" t="s">
        <v>899</v>
      </c>
      <c r="F526" s="3" t="s">
        <v>903</v>
      </c>
      <c r="G526" s="3" t="s">
        <v>911</v>
      </c>
      <c r="K526">
        <v>27</v>
      </c>
    </row>
    <row r="527" spans="1:11" x14ac:dyDescent="0.25">
      <c r="A527" s="3" t="s">
        <v>213</v>
      </c>
      <c r="B527" s="3">
        <v>32</v>
      </c>
      <c r="C527" s="3">
        <v>-22</v>
      </c>
      <c r="D527" s="3">
        <v>5</v>
      </c>
      <c r="E527" s="3" t="s">
        <v>899</v>
      </c>
      <c r="F527" s="3" t="s">
        <v>901</v>
      </c>
      <c r="G527" s="3" t="s">
        <v>902</v>
      </c>
      <c r="K527">
        <v>43</v>
      </c>
    </row>
    <row r="528" spans="1:11" x14ac:dyDescent="0.25">
      <c r="A528" s="3" t="s">
        <v>218</v>
      </c>
      <c r="B528" s="3">
        <v>161</v>
      </c>
      <c r="C528" s="3">
        <v>40</v>
      </c>
      <c r="D528" s="3">
        <v>3</v>
      </c>
      <c r="E528" s="3" t="s">
        <v>899</v>
      </c>
      <c r="F528" s="3" t="s">
        <v>907</v>
      </c>
      <c r="G528" s="3" t="s">
        <v>891</v>
      </c>
      <c r="K528">
        <v>14</v>
      </c>
    </row>
    <row r="529" spans="1:11" x14ac:dyDescent="0.25">
      <c r="A529" s="3" t="s">
        <v>260</v>
      </c>
      <c r="B529" s="3">
        <v>159</v>
      </c>
      <c r="C529" s="3">
        <v>4</v>
      </c>
      <c r="D529" s="3">
        <v>1</v>
      </c>
      <c r="E529" s="3" t="s">
        <v>899</v>
      </c>
      <c r="F529" s="3" t="s">
        <v>901</v>
      </c>
      <c r="G529" s="3" t="s">
        <v>891</v>
      </c>
      <c r="K529">
        <v>0</v>
      </c>
    </row>
    <row r="530" spans="1:11" x14ac:dyDescent="0.25">
      <c r="A530" s="3" t="s">
        <v>550</v>
      </c>
      <c r="B530" s="3">
        <v>210</v>
      </c>
      <c r="C530" s="3">
        <v>-50</v>
      </c>
      <c r="D530" s="3">
        <v>4</v>
      </c>
      <c r="E530" s="3" t="s">
        <v>899</v>
      </c>
      <c r="F530" s="3" t="s">
        <v>903</v>
      </c>
      <c r="G530" s="3" t="s">
        <v>897</v>
      </c>
      <c r="K530">
        <v>28</v>
      </c>
    </row>
    <row r="531" spans="1:11" x14ac:dyDescent="0.25">
      <c r="A531" s="3" t="s">
        <v>12</v>
      </c>
      <c r="B531" s="3">
        <v>79</v>
      </c>
      <c r="C531" s="3">
        <v>39</v>
      </c>
      <c r="D531" s="3">
        <v>2</v>
      </c>
      <c r="E531" s="3" t="s">
        <v>899</v>
      </c>
      <c r="F531" s="3" t="s">
        <v>913</v>
      </c>
      <c r="G531" s="3" t="s">
        <v>911</v>
      </c>
      <c r="K531">
        <v>6</v>
      </c>
    </row>
    <row r="532" spans="1:11" x14ac:dyDescent="0.25">
      <c r="A532" s="3" t="s">
        <v>381</v>
      </c>
      <c r="B532" s="3">
        <v>207</v>
      </c>
      <c r="C532" s="3">
        <v>153</v>
      </c>
      <c r="D532" s="3">
        <v>3</v>
      </c>
      <c r="E532" s="3" t="s">
        <v>899</v>
      </c>
      <c r="F532" s="3" t="s">
        <v>901</v>
      </c>
      <c r="G532" s="3" t="s">
        <v>897</v>
      </c>
      <c r="K532">
        <v>-18</v>
      </c>
    </row>
    <row r="533" spans="1:11" x14ac:dyDescent="0.25">
      <c r="A533" s="3" t="s">
        <v>726</v>
      </c>
      <c r="B533" s="3">
        <v>36</v>
      </c>
      <c r="C533" s="3">
        <v>0</v>
      </c>
      <c r="D533" s="3">
        <v>4</v>
      </c>
      <c r="E533" s="3" t="s">
        <v>899</v>
      </c>
      <c r="F533" s="3" t="s">
        <v>904</v>
      </c>
      <c r="G533" s="3" t="s">
        <v>891</v>
      </c>
      <c r="K533">
        <v>18</v>
      </c>
    </row>
    <row r="534" spans="1:11" x14ac:dyDescent="0.25">
      <c r="A534" s="3" t="s">
        <v>216</v>
      </c>
      <c r="B534" s="3">
        <v>206</v>
      </c>
      <c r="C534" s="3">
        <v>12</v>
      </c>
      <c r="D534" s="3">
        <v>1</v>
      </c>
      <c r="E534" s="3" t="s">
        <v>889</v>
      </c>
      <c r="F534" s="3" t="s">
        <v>896</v>
      </c>
      <c r="G534" s="3" t="s">
        <v>897</v>
      </c>
      <c r="K534">
        <v>24</v>
      </c>
    </row>
    <row r="535" spans="1:11" x14ac:dyDescent="0.25">
      <c r="A535" s="3" t="s">
        <v>290</v>
      </c>
      <c r="B535" s="3">
        <v>46</v>
      </c>
      <c r="C535" s="3">
        <v>0</v>
      </c>
      <c r="D535" s="3">
        <v>4</v>
      </c>
      <c r="E535" s="3" t="s">
        <v>899</v>
      </c>
      <c r="F535" s="3" t="s">
        <v>908</v>
      </c>
      <c r="G535" s="3" t="s">
        <v>891</v>
      </c>
      <c r="K535">
        <v>55</v>
      </c>
    </row>
    <row r="536" spans="1:11" x14ac:dyDescent="0.25">
      <c r="A536" s="3" t="s">
        <v>360</v>
      </c>
      <c r="B536" s="3">
        <v>156</v>
      </c>
      <c r="C536" s="3">
        <v>23</v>
      </c>
      <c r="D536" s="3">
        <v>3</v>
      </c>
      <c r="E536" s="3" t="s">
        <v>899</v>
      </c>
      <c r="F536" s="3" t="s">
        <v>907</v>
      </c>
      <c r="G536" s="3" t="s">
        <v>891</v>
      </c>
      <c r="K536">
        <v>-8</v>
      </c>
    </row>
    <row r="537" spans="1:11" x14ac:dyDescent="0.25">
      <c r="A537" s="3" t="s">
        <v>618</v>
      </c>
      <c r="B537" s="3">
        <v>154</v>
      </c>
      <c r="C537" s="3">
        <v>54</v>
      </c>
      <c r="D537" s="3">
        <v>3</v>
      </c>
      <c r="E537" s="3" t="s">
        <v>899</v>
      </c>
      <c r="F537" s="3" t="s">
        <v>903</v>
      </c>
      <c r="G537" s="3" t="s">
        <v>891</v>
      </c>
      <c r="K537">
        <v>-8</v>
      </c>
    </row>
    <row r="538" spans="1:11" x14ac:dyDescent="0.25">
      <c r="A538" s="3" t="s">
        <v>821</v>
      </c>
      <c r="B538" s="3">
        <v>36</v>
      </c>
      <c r="C538" s="3">
        <v>15</v>
      </c>
      <c r="D538" s="3">
        <v>3</v>
      </c>
      <c r="E538" s="3" t="s">
        <v>899</v>
      </c>
      <c r="F538" s="3" t="s">
        <v>907</v>
      </c>
      <c r="G538" s="3" t="s">
        <v>902</v>
      </c>
      <c r="K538">
        <v>-56</v>
      </c>
    </row>
    <row r="539" spans="1:11" x14ac:dyDescent="0.25">
      <c r="A539" s="3" t="s">
        <v>557</v>
      </c>
      <c r="B539" s="3">
        <v>206</v>
      </c>
      <c r="C539" s="3">
        <v>51</v>
      </c>
      <c r="D539" s="3">
        <v>4</v>
      </c>
      <c r="E539" s="3" t="s">
        <v>899</v>
      </c>
      <c r="F539" s="3" t="s">
        <v>903</v>
      </c>
      <c r="G539" s="3" t="s">
        <v>897</v>
      </c>
      <c r="K539">
        <v>6</v>
      </c>
    </row>
    <row r="540" spans="1:11" x14ac:dyDescent="0.25">
      <c r="A540" s="3" t="s">
        <v>561</v>
      </c>
      <c r="B540" s="3">
        <v>200</v>
      </c>
      <c r="C540" s="3">
        <v>7</v>
      </c>
      <c r="D540" s="3">
        <v>4</v>
      </c>
      <c r="E540" s="3" t="s">
        <v>889</v>
      </c>
      <c r="F540" s="3" t="s">
        <v>890</v>
      </c>
      <c r="G540" s="3" t="s">
        <v>897</v>
      </c>
      <c r="K540">
        <v>1</v>
      </c>
    </row>
    <row r="541" spans="1:11" x14ac:dyDescent="0.25">
      <c r="A541" s="3" t="s">
        <v>557</v>
      </c>
      <c r="B541" s="3">
        <v>199</v>
      </c>
      <c r="C541" s="3">
        <v>-1</v>
      </c>
      <c r="D541" s="3">
        <v>1</v>
      </c>
      <c r="E541" s="3" t="s">
        <v>899</v>
      </c>
      <c r="F541" s="3" t="s">
        <v>901</v>
      </c>
      <c r="G541" s="3" t="s">
        <v>897</v>
      </c>
      <c r="K541">
        <v>11</v>
      </c>
    </row>
    <row r="542" spans="1:11" x14ac:dyDescent="0.25">
      <c r="A542" s="3" t="s">
        <v>214</v>
      </c>
      <c r="B542" s="3">
        <v>154</v>
      </c>
      <c r="C542" s="3">
        <v>22</v>
      </c>
      <c r="D542" s="3">
        <v>7</v>
      </c>
      <c r="E542" s="3" t="s">
        <v>899</v>
      </c>
      <c r="F542" s="3" t="s">
        <v>910</v>
      </c>
      <c r="G542" s="3" t="s">
        <v>891</v>
      </c>
      <c r="K542">
        <v>-3</v>
      </c>
    </row>
    <row r="543" spans="1:11" x14ac:dyDescent="0.25">
      <c r="A543" s="3" t="s">
        <v>622</v>
      </c>
      <c r="B543" s="3">
        <v>152</v>
      </c>
      <c r="C543" s="3">
        <v>23</v>
      </c>
      <c r="D543" s="3">
        <v>3</v>
      </c>
      <c r="E543" s="3" t="s">
        <v>892</v>
      </c>
      <c r="F543" s="3" t="s">
        <v>912</v>
      </c>
      <c r="G543" s="3" t="s">
        <v>891</v>
      </c>
      <c r="K543">
        <v>28</v>
      </c>
    </row>
    <row r="544" spans="1:11" x14ac:dyDescent="0.25">
      <c r="A544" s="3" t="s">
        <v>624</v>
      </c>
      <c r="B544" s="3">
        <v>152</v>
      </c>
      <c r="C544" s="3">
        <v>50</v>
      </c>
      <c r="D544" s="3">
        <v>6</v>
      </c>
      <c r="E544" s="3" t="s">
        <v>899</v>
      </c>
      <c r="F544" s="3" t="s">
        <v>907</v>
      </c>
      <c r="G544" s="3" t="s">
        <v>891</v>
      </c>
      <c r="K544">
        <v>-50</v>
      </c>
    </row>
    <row r="545" spans="1:11" x14ac:dyDescent="0.25">
      <c r="A545" s="3" t="s">
        <v>416</v>
      </c>
      <c r="B545" s="3">
        <v>122</v>
      </c>
      <c r="C545" s="3">
        <v>-21</v>
      </c>
      <c r="D545" s="3">
        <v>3</v>
      </c>
      <c r="E545" s="3" t="s">
        <v>892</v>
      </c>
      <c r="F545" s="3" t="s">
        <v>912</v>
      </c>
      <c r="G545" s="3" t="s">
        <v>902</v>
      </c>
      <c r="K545">
        <v>1</v>
      </c>
    </row>
    <row r="546" spans="1:11" x14ac:dyDescent="0.25">
      <c r="A546" s="3" t="s">
        <v>421</v>
      </c>
      <c r="B546" s="3">
        <v>149</v>
      </c>
      <c r="C546" s="3">
        <v>48</v>
      </c>
      <c r="D546" s="3">
        <v>6</v>
      </c>
      <c r="E546" s="3" t="s">
        <v>899</v>
      </c>
      <c r="F546" s="3" t="s">
        <v>907</v>
      </c>
      <c r="G546" s="3" t="s">
        <v>891</v>
      </c>
      <c r="K546">
        <v>38</v>
      </c>
    </row>
    <row r="547" spans="1:11" x14ac:dyDescent="0.25">
      <c r="A547" s="3" t="s">
        <v>608</v>
      </c>
      <c r="B547" s="3">
        <v>149</v>
      </c>
      <c r="C547" s="3">
        <v>-87</v>
      </c>
      <c r="D547" s="3">
        <v>4</v>
      </c>
      <c r="E547" s="3" t="s">
        <v>899</v>
      </c>
      <c r="F547" s="3" t="s">
        <v>901</v>
      </c>
      <c r="G547" s="3" t="s">
        <v>891</v>
      </c>
      <c r="K547">
        <v>-23</v>
      </c>
    </row>
    <row r="548" spans="1:11" x14ac:dyDescent="0.25">
      <c r="A548" s="3" t="s">
        <v>562</v>
      </c>
      <c r="B548" s="3">
        <v>197</v>
      </c>
      <c r="C548" s="3">
        <v>20</v>
      </c>
      <c r="D548" s="3">
        <v>4</v>
      </c>
      <c r="E548" s="3" t="s">
        <v>899</v>
      </c>
      <c r="F548" s="3" t="s">
        <v>904</v>
      </c>
      <c r="G548" s="3" t="s">
        <v>897</v>
      </c>
      <c r="K548">
        <v>14</v>
      </c>
    </row>
    <row r="549" spans="1:11" x14ac:dyDescent="0.25">
      <c r="A549" s="3" t="s">
        <v>755</v>
      </c>
      <c r="B549" s="3">
        <v>76</v>
      </c>
      <c r="C549" s="3">
        <v>-54</v>
      </c>
      <c r="D549" s="3">
        <v>3</v>
      </c>
      <c r="E549" s="3" t="s">
        <v>889</v>
      </c>
      <c r="F549" s="3" t="s">
        <v>890</v>
      </c>
      <c r="G549" s="3" t="s">
        <v>891</v>
      </c>
      <c r="K549">
        <v>-49</v>
      </c>
    </row>
    <row r="550" spans="1:11" x14ac:dyDescent="0.25">
      <c r="A550" s="3" t="s">
        <v>375</v>
      </c>
      <c r="B550" s="3">
        <v>221</v>
      </c>
      <c r="C550" s="3">
        <v>-15</v>
      </c>
      <c r="D550" s="3">
        <v>2</v>
      </c>
      <c r="E550" s="3" t="s">
        <v>889</v>
      </c>
      <c r="F550" s="3" t="s">
        <v>890</v>
      </c>
      <c r="G550" s="3" t="s">
        <v>891</v>
      </c>
      <c r="K550">
        <v>-11</v>
      </c>
    </row>
    <row r="551" spans="1:11" x14ac:dyDescent="0.25">
      <c r="A551" s="3" t="s">
        <v>397</v>
      </c>
      <c r="B551" s="3">
        <v>79</v>
      </c>
      <c r="C551" s="3">
        <v>32</v>
      </c>
      <c r="D551" s="3">
        <v>3</v>
      </c>
      <c r="E551" s="3" t="s">
        <v>899</v>
      </c>
      <c r="F551" s="3" t="s">
        <v>901</v>
      </c>
      <c r="G551" s="3" t="s">
        <v>911</v>
      </c>
      <c r="K551">
        <v>26</v>
      </c>
    </row>
    <row r="552" spans="1:11" x14ac:dyDescent="0.25">
      <c r="A552" s="3" t="s">
        <v>673</v>
      </c>
      <c r="B552" s="3">
        <v>45</v>
      </c>
      <c r="C552" s="3">
        <v>12</v>
      </c>
      <c r="D552" s="3">
        <v>7</v>
      </c>
      <c r="E552" s="3" t="s">
        <v>899</v>
      </c>
      <c r="F552" s="3" t="s">
        <v>903</v>
      </c>
      <c r="G552" s="3" t="s">
        <v>902</v>
      </c>
      <c r="K552">
        <v>37</v>
      </c>
    </row>
    <row r="553" spans="1:11" x14ac:dyDescent="0.25">
      <c r="A553" s="3" t="s">
        <v>644</v>
      </c>
      <c r="B553" s="3">
        <v>149</v>
      </c>
      <c r="C553" s="3">
        <v>-1</v>
      </c>
      <c r="D553" s="3">
        <v>1</v>
      </c>
      <c r="E553" s="3" t="s">
        <v>899</v>
      </c>
      <c r="F553" s="3" t="s">
        <v>901</v>
      </c>
      <c r="G553" s="3" t="s">
        <v>891</v>
      </c>
      <c r="K553">
        <v>41</v>
      </c>
    </row>
    <row r="554" spans="1:11" x14ac:dyDescent="0.25">
      <c r="A554" s="3" t="s">
        <v>518</v>
      </c>
      <c r="B554" s="3">
        <v>80</v>
      </c>
      <c r="C554" s="3">
        <v>22</v>
      </c>
      <c r="D554" s="3">
        <v>3</v>
      </c>
      <c r="E554" s="3" t="s">
        <v>899</v>
      </c>
      <c r="F554" s="3" t="s">
        <v>907</v>
      </c>
      <c r="G554" s="3" t="s">
        <v>911</v>
      </c>
      <c r="K554">
        <v>15</v>
      </c>
    </row>
    <row r="555" spans="1:11" x14ac:dyDescent="0.25">
      <c r="A555" s="3" t="s">
        <v>510</v>
      </c>
      <c r="B555" s="3">
        <v>195</v>
      </c>
      <c r="C555" s="3">
        <v>12</v>
      </c>
      <c r="D555" s="3">
        <v>9</v>
      </c>
      <c r="E555" s="3" t="s">
        <v>899</v>
      </c>
      <c r="F555" s="3" t="s">
        <v>913</v>
      </c>
      <c r="G555" s="3" t="s">
        <v>897</v>
      </c>
      <c r="K555">
        <v>-14</v>
      </c>
    </row>
    <row r="556" spans="1:11" x14ac:dyDescent="0.25">
      <c r="A556" s="3" t="s">
        <v>488</v>
      </c>
      <c r="B556" s="3">
        <v>19</v>
      </c>
      <c r="C556" s="3">
        <v>0</v>
      </c>
      <c r="D556" s="3">
        <v>3</v>
      </c>
      <c r="E556" s="3" t="s">
        <v>899</v>
      </c>
      <c r="F556" s="3" t="s">
        <v>905</v>
      </c>
      <c r="G556" s="3" t="s">
        <v>902</v>
      </c>
      <c r="K556">
        <v>21</v>
      </c>
    </row>
    <row r="557" spans="1:11" x14ac:dyDescent="0.25">
      <c r="A557" s="3" t="s">
        <v>177</v>
      </c>
      <c r="B557" s="3">
        <v>81</v>
      </c>
      <c r="C557" s="3">
        <v>41</v>
      </c>
      <c r="D557" s="3">
        <v>3</v>
      </c>
      <c r="E557" s="3" t="s">
        <v>899</v>
      </c>
      <c r="F557" s="3" t="s">
        <v>907</v>
      </c>
      <c r="G557" s="3" t="s">
        <v>911</v>
      </c>
      <c r="K557">
        <v>-11</v>
      </c>
    </row>
    <row r="558" spans="1:11" x14ac:dyDescent="0.25">
      <c r="A558" s="3" t="s">
        <v>743</v>
      </c>
      <c r="B558" s="3">
        <v>83</v>
      </c>
      <c r="C558" s="3">
        <v>34</v>
      </c>
      <c r="D558" s="3">
        <v>5</v>
      </c>
      <c r="E558" s="3" t="s">
        <v>899</v>
      </c>
      <c r="F558" s="3" t="s">
        <v>913</v>
      </c>
      <c r="G558" s="3" t="s">
        <v>911</v>
      </c>
      <c r="K558">
        <v>0</v>
      </c>
    </row>
    <row r="559" spans="1:11" x14ac:dyDescent="0.25">
      <c r="A559" s="3" t="s">
        <v>627</v>
      </c>
      <c r="B559" s="3">
        <v>149</v>
      </c>
      <c r="C559" s="3">
        <v>17</v>
      </c>
      <c r="D559" s="3">
        <v>4</v>
      </c>
      <c r="E559" s="3" t="s">
        <v>892</v>
      </c>
      <c r="F559" s="3" t="s">
        <v>912</v>
      </c>
      <c r="G559" s="3" t="s">
        <v>891</v>
      </c>
      <c r="K559">
        <v>12</v>
      </c>
    </row>
    <row r="560" spans="1:11" x14ac:dyDescent="0.25">
      <c r="A560" s="3" t="s">
        <v>566</v>
      </c>
      <c r="B560" s="3">
        <v>193</v>
      </c>
      <c r="C560" s="3">
        <v>46</v>
      </c>
      <c r="D560" s="3">
        <v>1</v>
      </c>
      <c r="E560" s="3" t="s">
        <v>889</v>
      </c>
      <c r="F560" s="3" t="s">
        <v>896</v>
      </c>
      <c r="G560" s="3" t="s">
        <v>897</v>
      </c>
      <c r="K560">
        <v>13</v>
      </c>
    </row>
    <row r="561" spans="1:11" x14ac:dyDescent="0.25">
      <c r="A561" s="3" t="s">
        <v>138</v>
      </c>
      <c r="B561" s="3">
        <v>85</v>
      </c>
      <c r="C561" s="3">
        <v>24</v>
      </c>
      <c r="D561" s="3">
        <v>10</v>
      </c>
      <c r="E561" s="3" t="s">
        <v>899</v>
      </c>
      <c r="F561" s="3" t="s">
        <v>903</v>
      </c>
      <c r="G561" s="3" t="s">
        <v>911</v>
      </c>
      <c r="K561">
        <v>5</v>
      </c>
    </row>
    <row r="562" spans="1:11" x14ac:dyDescent="0.25">
      <c r="A562" s="3" t="s">
        <v>644</v>
      </c>
      <c r="B562" s="3">
        <v>44</v>
      </c>
      <c r="C562" s="3">
        <v>-17</v>
      </c>
      <c r="D562" s="3">
        <v>5</v>
      </c>
      <c r="E562" s="3" t="s">
        <v>899</v>
      </c>
      <c r="F562" s="3" t="s">
        <v>901</v>
      </c>
      <c r="G562" s="3" t="s">
        <v>902</v>
      </c>
      <c r="K562">
        <v>25</v>
      </c>
    </row>
    <row r="563" spans="1:11" x14ac:dyDescent="0.25">
      <c r="A563" s="3" t="s">
        <v>573</v>
      </c>
      <c r="B563" s="3">
        <v>149</v>
      </c>
      <c r="C563" s="3">
        <v>-40</v>
      </c>
      <c r="D563" s="3">
        <v>2</v>
      </c>
      <c r="E563" s="3" t="s">
        <v>889</v>
      </c>
      <c r="F563" s="3" t="s">
        <v>898</v>
      </c>
      <c r="G563" s="3" t="s">
        <v>891</v>
      </c>
      <c r="K563">
        <v>10</v>
      </c>
    </row>
    <row r="564" spans="1:11" x14ac:dyDescent="0.25">
      <c r="A564" s="3" t="s">
        <v>275</v>
      </c>
      <c r="B564" s="3">
        <v>26</v>
      </c>
      <c r="C564" s="3">
        <v>0</v>
      </c>
      <c r="D564" s="3">
        <v>2</v>
      </c>
      <c r="E564" s="3" t="s">
        <v>899</v>
      </c>
      <c r="F564" s="3" t="s">
        <v>904</v>
      </c>
      <c r="G564" s="3" t="s">
        <v>891</v>
      </c>
      <c r="K564">
        <v>-21</v>
      </c>
    </row>
    <row r="565" spans="1:11" x14ac:dyDescent="0.25">
      <c r="A565" s="3" t="s">
        <v>519</v>
      </c>
      <c r="B565" s="3">
        <v>86</v>
      </c>
      <c r="C565" s="3">
        <v>0</v>
      </c>
      <c r="D565" s="3">
        <v>4</v>
      </c>
      <c r="E565" s="3" t="s">
        <v>899</v>
      </c>
      <c r="F565" s="3" t="s">
        <v>910</v>
      </c>
      <c r="G565" s="3" t="s">
        <v>911</v>
      </c>
      <c r="K565">
        <v>-26</v>
      </c>
    </row>
    <row r="566" spans="1:11" x14ac:dyDescent="0.25">
      <c r="A566" s="3" t="s">
        <v>740</v>
      </c>
      <c r="B566" s="3">
        <v>86</v>
      </c>
      <c r="C566" s="3">
        <v>22</v>
      </c>
      <c r="D566" s="3">
        <v>2</v>
      </c>
      <c r="E566" s="3" t="s">
        <v>899</v>
      </c>
      <c r="F566" s="3" t="s">
        <v>901</v>
      </c>
      <c r="G566" s="3" t="s">
        <v>911</v>
      </c>
      <c r="K566">
        <v>46</v>
      </c>
    </row>
    <row r="567" spans="1:11" x14ac:dyDescent="0.25">
      <c r="A567" s="3" t="s">
        <v>70</v>
      </c>
      <c r="B567" s="3">
        <v>79</v>
      </c>
      <c r="C567" s="3">
        <v>16</v>
      </c>
      <c r="D567" s="3">
        <v>3</v>
      </c>
      <c r="E567" s="3" t="s">
        <v>899</v>
      </c>
      <c r="F567" s="3" t="s">
        <v>910</v>
      </c>
      <c r="G567" s="3" t="s">
        <v>891</v>
      </c>
      <c r="K567">
        <v>17</v>
      </c>
    </row>
    <row r="568" spans="1:11" x14ac:dyDescent="0.25">
      <c r="A568" s="3" t="s">
        <v>567</v>
      </c>
      <c r="B568" s="3">
        <v>193</v>
      </c>
      <c r="C568" s="3">
        <v>-275</v>
      </c>
      <c r="D568" s="3">
        <v>3</v>
      </c>
      <c r="E568" s="3" t="s">
        <v>889</v>
      </c>
      <c r="F568" s="3" t="s">
        <v>898</v>
      </c>
      <c r="G568" s="3" t="s">
        <v>897</v>
      </c>
      <c r="K568">
        <v>13</v>
      </c>
    </row>
    <row r="569" spans="1:11" x14ac:dyDescent="0.25">
      <c r="A569" s="3" t="s">
        <v>339</v>
      </c>
      <c r="B569" s="3">
        <v>148</v>
      </c>
      <c r="C569" s="3">
        <v>0</v>
      </c>
      <c r="D569" s="3">
        <v>3</v>
      </c>
      <c r="E569" s="3" t="s">
        <v>899</v>
      </c>
      <c r="F569" s="3" t="s">
        <v>901</v>
      </c>
      <c r="G569" s="3" t="s">
        <v>891</v>
      </c>
      <c r="K569">
        <v>12</v>
      </c>
    </row>
    <row r="570" spans="1:11" x14ac:dyDescent="0.25">
      <c r="A570" s="3" t="s">
        <v>202</v>
      </c>
      <c r="B570" s="3">
        <v>70</v>
      </c>
      <c r="C570" s="3">
        <v>-14</v>
      </c>
      <c r="D570" s="3">
        <v>2</v>
      </c>
      <c r="E570" s="3" t="s">
        <v>892</v>
      </c>
      <c r="F570" s="3" t="s">
        <v>912</v>
      </c>
      <c r="G570" s="3" t="s">
        <v>902</v>
      </c>
      <c r="K570">
        <v>10</v>
      </c>
    </row>
    <row r="571" spans="1:11" x14ac:dyDescent="0.25">
      <c r="A571" s="3" t="s">
        <v>629</v>
      </c>
      <c r="B571" s="3">
        <v>148</v>
      </c>
      <c r="C571" s="3">
        <v>59</v>
      </c>
      <c r="D571" s="3">
        <v>3</v>
      </c>
      <c r="E571" s="3" t="s">
        <v>899</v>
      </c>
      <c r="F571" s="3" t="s">
        <v>903</v>
      </c>
      <c r="G571" s="3" t="s">
        <v>891</v>
      </c>
      <c r="K571">
        <v>3</v>
      </c>
    </row>
    <row r="572" spans="1:11" x14ac:dyDescent="0.25">
      <c r="A572" s="3" t="s">
        <v>93</v>
      </c>
      <c r="B572" s="3">
        <v>190</v>
      </c>
      <c r="C572" s="3">
        <v>19</v>
      </c>
      <c r="D572" s="3">
        <v>9</v>
      </c>
      <c r="E572" s="3" t="s">
        <v>892</v>
      </c>
      <c r="F572" s="3" t="s">
        <v>912</v>
      </c>
      <c r="G572" s="3" t="s">
        <v>897</v>
      </c>
      <c r="K572">
        <v>-8</v>
      </c>
    </row>
    <row r="573" spans="1:11" x14ac:dyDescent="0.25">
      <c r="A573" s="3" t="s">
        <v>662</v>
      </c>
      <c r="B573" s="3">
        <v>52</v>
      </c>
      <c r="C573" s="3">
        <v>14</v>
      </c>
      <c r="D573" s="3">
        <v>2</v>
      </c>
      <c r="E573" s="3" t="s">
        <v>899</v>
      </c>
      <c r="F573" s="3" t="s">
        <v>907</v>
      </c>
      <c r="G573" s="3" t="s">
        <v>891</v>
      </c>
      <c r="K573">
        <v>-166</v>
      </c>
    </row>
    <row r="574" spans="1:11" x14ac:dyDescent="0.25">
      <c r="A574" s="3" t="s">
        <v>603</v>
      </c>
      <c r="B574" s="3">
        <v>147</v>
      </c>
      <c r="C574" s="3">
        <v>44</v>
      </c>
      <c r="D574" s="3">
        <v>3</v>
      </c>
      <c r="E574" s="3" t="s">
        <v>899</v>
      </c>
      <c r="F574" s="3" t="s">
        <v>901</v>
      </c>
      <c r="G574" s="3" t="s">
        <v>891</v>
      </c>
      <c r="K574">
        <v>0</v>
      </c>
    </row>
    <row r="575" spans="1:11" x14ac:dyDescent="0.25">
      <c r="A575" s="3" t="s">
        <v>509</v>
      </c>
      <c r="B575" s="3">
        <v>190</v>
      </c>
      <c r="C575" s="3">
        <v>68</v>
      </c>
      <c r="D575" s="3">
        <v>8</v>
      </c>
      <c r="E575" s="3" t="s">
        <v>899</v>
      </c>
      <c r="F575" s="3" t="s">
        <v>910</v>
      </c>
      <c r="G575" s="3" t="s">
        <v>897</v>
      </c>
      <c r="K575">
        <v>89</v>
      </c>
    </row>
    <row r="576" spans="1:11" x14ac:dyDescent="0.25">
      <c r="A576" s="3" t="s">
        <v>160</v>
      </c>
      <c r="B576" s="3">
        <v>80</v>
      </c>
      <c r="C576" s="3">
        <v>-56</v>
      </c>
      <c r="D576" s="3">
        <v>4</v>
      </c>
      <c r="E576" s="3" t="s">
        <v>889</v>
      </c>
      <c r="F576" s="3" t="s">
        <v>890</v>
      </c>
      <c r="G576" s="3" t="s">
        <v>902</v>
      </c>
      <c r="K576">
        <v>17</v>
      </c>
    </row>
    <row r="577" spans="1:11" x14ac:dyDescent="0.25">
      <c r="A577" s="3" t="s">
        <v>221</v>
      </c>
      <c r="B577" s="3">
        <v>147</v>
      </c>
      <c r="C577" s="3">
        <v>48</v>
      </c>
      <c r="D577" s="3">
        <v>3</v>
      </c>
      <c r="E577" s="3" t="s">
        <v>899</v>
      </c>
      <c r="F577" s="3" t="s">
        <v>901</v>
      </c>
      <c r="G577" s="3" t="s">
        <v>891</v>
      </c>
      <c r="K577">
        <v>-28</v>
      </c>
    </row>
    <row r="578" spans="1:11" x14ac:dyDescent="0.25">
      <c r="A578" s="3" t="s">
        <v>162</v>
      </c>
      <c r="B578" s="3">
        <v>66</v>
      </c>
      <c r="C578" s="3">
        <v>12</v>
      </c>
      <c r="D578" s="3">
        <v>3</v>
      </c>
      <c r="E578" s="3" t="s">
        <v>899</v>
      </c>
      <c r="F578" s="3" t="s">
        <v>907</v>
      </c>
      <c r="G578" s="3" t="s">
        <v>891</v>
      </c>
      <c r="K578">
        <v>-94</v>
      </c>
    </row>
    <row r="579" spans="1:11" x14ac:dyDescent="0.25">
      <c r="A579" s="3" t="s">
        <v>736</v>
      </c>
      <c r="B579" s="3">
        <v>86</v>
      </c>
      <c r="C579" s="3">
        <v>8</v>
      </c>
      <c r="D579" s="3">
        <v>2</v>
      </c>
      <c r="E579" s="3" t="s">
        <v>899</v>
      </c>
      <c r="F579" s="3" t="s">
        <v>901</v>
      </c>
      <c r="G579" s="3" t="s">
        <v>911</v>
      </c>
      <c r="K579">
        <v>-12</v>
      </c>
    </row>
    <row r="580" spans="1:11" x14ac:dyDescent="0.25">
      <c r="A580" s="3" t="s">
        <v>360</v>
      </c>
      <c r="B580" s="3">
        <v>88</v>
      </c>
      <c r="C580" s="3">
        <v>19</v>
      </c>
      <c r="D580" s="3">
        <v>2</v>
      </c>
      <c r="E580" s="3" t="s">
        <v>899</v>
      </c>
      <c r="F580" s="3" t="s">
        <v>913</v>
      </c>
      <c r="G580" s="3" t="s">
        <v>911</v>
      </c>
      <c r="K580">
        <v>17</v>
      </c>
    </row>
    <row r="581" spans="1:11" x14ac:dyDescent="0.25">
      <c r="A581" s="3" t="s">
        <v>177</v>
      </c>
      <c r="B581" s="3">
        <v>188</v>
      </c>
      <c r="C581" s="3">
        <v>-193</v>
      </c>
      <c r="D581" s="3">
        <v>2</v>
      </c>
      <c r="E581" s="3" t="s">
        <v>889</v>
      </c>
      <c r="F581" s="3" t="s">
        <v>890</v>
      </c>
      <c r="G581" s="3" t="s">
        <v>897</v>
      </c>
      <c r="K581">
        <v>24</v>
      </c>
    </row>
    <row r="582" spans="1:11" x14ac:dyDescent="0.25">
      <c r="A582" s="3" t="s">
        <v>286</v>
      </c>
      <c r="B582" s="3">
        <v>89</v>
      </c>
      <c r="C582" s="3">
        <v>29</v>
      </c>
      <c r="D582" s="3">
        <v>2</v>
      </c>
      <c r="E582" s="3" t="s">
        <v>899</v>
      </c>
      <c r="F582" s="3" t="s">
        <v>907</v>
      </c>
      <c r="G582" s="3" t="s">
        <v>902</v>
      </c>
      <c r="K582">
        <v>14</v>
      </c>
    </row>
    <row r="583" spans="1:11" x14ac:dyDescent="0.25">
      <c r="A583" s="3" t="s">
        <v>639</v>
      </c>
      <c r="B583" s="3">
        <v>146</v>
      </c>
      <c r="C583" s="3">
        <v>19</v>
      </c>
      <c r="D583" s="3">
        <v>5</v>
      </c>
      <c r="E583" s="3" t="s">
        <v>899</v>
      </c>
      <c r="F583" s="3" t="s">
        <v>907</v>
      </c>
      <c r="G583" s="3" t="s">
        <v>891</v>
      </c>
      <c r="K583">
        <v>17</v>
      </c>
    </row>
    <row r="584" spans="1:11" x14ac:dyDescent="0.25">
      <c r="A584" s="3" t="s">
        <v>267</v>
      </c>
      <c r="B584" s="3">
        <v>143</v>
      </c>
      <c r="C584" s="3">
        <v>32</v>
      </c>
      <c r="D584" s="3">
        <v>1</v>
      </c>
      <c r="E584" s="3" t="s">
        <v>892</v>
      </c>
      <c r="F584" s="3" t="s">
        <v>895</v>
      </c>
      <c r="G584" s="3" t="s">
        <v>891</v>
      </c>
      <c r="K584">
        <v>22</v>
      </c>
    </row>
    <row r="585" spans="1:11" x14ac:dyDescent="0.25">
      <c r="A585" s="3" t="s">
        <v>273</v>
      </c>
      <c r="B585" s="3">
        <v>25</v>
      </c>
      <c r="C585" s="3">
        <v>-1</v>
      </c>
      <c r="D585" s="3">
        <v>4</v>
      </c>
      <c r="E585" s="3" t="s">
        <v>899</v>
      </c>
      <c r="F585" s="3" t="s">
        <v>904</v>
      </c>
      <c r="G585" s="3" t="s">
        <v>891</v>
      </c>
      <c r="K585">
        <v>27</v>
      </c>
    </row>
    <row r="586" spans="1:11" x14ac:dyDescent="0.25">
      <c r="A586" s="3" t="s">
        <v>580</v>
      </c>
      <c r="B586" s="3">
        <v>30</v>
      </c>
      <c r="C586" s="3">
        <v>12</v>
      </c>
      <c r="D586" s="3">
        <v>3</v>
      </c>
      <c r="E586" s="3" t="s">
        <v>899</v>
      </c>
      <c r="F586" s="3" t="s">
        <v>905</v>
      </c>
      <c r="G586" s="3" t="s">
        <v>902</v>
      </c>
      <c r="K586">
        <v>-17</v>
      </c>
    </row>
    <row r="587" spans="1:11" x14ac:dyDescent="0.25">
      <c r="A587" s="3" t="s">
        <v>364</v>
      </c>
      <c r="B587" s="3">
        <v>140</v>
      </c>
      <c r="C587" s="3">
        <v>-58</v>
      </c>
      <c r="D587" s="3">
        <v>4</v>
      </c>
      <c r="E587" s="3" t="s">
        <v>892</v>
      </c>
      <c r="F587" s="3" t="s">
        <v>912</v>
      </c>
      <c r="G587" s="3" t="s">
        <v>891</v>
      </c>
      <c r="K587">
        <v>44</v>
      </c>
    </row>
    <row r="588" spans="1:11" x14ac:dyDescent="0.25">
      <c r="A588" s="3" t="s">
        <v>265</v>
      </c>
      <c r="B588" s="3">
        <v>83</v>
      </c>
      <c r="C588" s="3">
        <v>-48</v>
      </c>
      <c r="D588" s="3">
        <v>1</v>
      </c>
      <c r="E588" s="3" t="s">
        <v>892</v>
      </c>
      <c r="F588" s="3" t="s">
        <v>895</v>
      </c>
      <c r="G588" s="3" t="s">
        <v>902</v>
      </c>
      <c r="K588">
        <v>-65</v>
      </c>
    </row>
    <row r="589" spans="1:11" x14ac:dyDescent="0.25">
      <c r="A589" s="3" t="s">
        <v>235</v>
      </c>
      <c r="B589" s="3">
        <v>140</v>
      </c>
      <c r="C589" s="3">
        <v>6</v>
      </c>
      <c r="D589" s="3">
        <v>5</v>
      </c>
      <c r="E589" s="3" t="s">
        <v>899</v>
      </c>
      <c r="F589" s="3" t="s">
        <v>901</v>
      </c>
      <c r="G589" s="3" t="s">
        <v>891</v>
      </c>
      <c r="K589">
        <v>5</v>
      </c>
    </row>
    <row r="590" spans="1:11" x14ac:dyDescent="0.25">
      <c r="A590" s="3" t="s">
        <v>726</v>
      </c>
      <c r="B590" s="3">
        <v>28</v>
      </c>
      <c r="C590" s="3">
        <v>14</v>
      </c>
      <c r="D590" s="3">
        <v>4</v>
      </c>
      <c r="E590" s="3" t="s">
        <v>899</v>
      </c>
      <c r="F590" s="3" t="s">
        <v>903</v>
      </c>
      <c r="G590" s="3" t="s">
        <v>891</v>
      </c>
      <c r="K590">
        <v>27</v>
      </c>
    </row>
    <row r="591" spans="1:11" x14ac:dyDescent="0.25">
      <c r="A591" s="3" t="s">
        <v>649</v>
      </c>
      <c r="B591" s="3">
        <v>139</v>
      </c>
      <c r="C591" s="3">
        <v>14</v>
      </c>
      <c r="D591" s="3">
        <v>3</v>
      </c>
      <c r="E591" s="3" t="s">
        <v>899</v>
      </c>
      <c r="F591" s="3" t="s">
        <v>907</v>
      </c>
      <c r="G591" s="3" t="s">
        <v>891</v>
      </c>
      <c r="K591">
        <v>21</v>
      </c>
    </row>
    <row r="592" spans="1:11" x14ac:dyDescent="0.25">
      <c r="A592" s="3" t="s">
        <v>52</v>
      </c>
      <c r="B592" s="3">
        <v>30</v>
      </c>
      <c r="C592" s="3">
        <v>14</v>
      </c>
      <c r="D592" s="3">
        <v>3</v>
      </c>
      <c r="E592" s="3" t="s">
        <v>899</v>
      </c>
      <c r="F592" s="3" t="s">
        <v>903</v>
      </c>
      <c r="G592" s="3" t="s">
        <v>902</v>
      </c>
      <c r="K592">
        <v>4</v>
      </c>
    </row>
    <row r="593" spans="1:11" x14ac:dyDescent="0.25">
      <c r="A593" s="3" t="s">
        <v>506</v>
      </c>
      <c r="B593" s="3">
        <v>89</v>
      </c>
      <c r="C593" s="3">
        <v>36</v>
      </c>
      <c r="D593" s="3">
        <v>3</v>
      </c>
      <c r="E593" s="3" t="s">
        <v>899</v>
      </c>
      <c r="F593" s="3" t="s">
        <v>913</v>
      </c>
      <c r="G593" s="3" t="s">
        <v>902</v>
      </c>
      <c r="K593">
        <v>-4</v>
      </c>
    </row>
    <row r="594" spans="1:11" x14ac:dyDescent="0.25">
      <c r="A594" s="3" t="s">
        <v>183</v>
      </c>
      <c r="B594" s="3">
        <v>187</v>
      </c>
      <c r="C594" s="3">
        <v>30</v>
      </c>
      <c r="D594" s="3">
        <v>4</v>
      </c>
      <c r="E594" s="3" t="s">
        <v>889</v>
      </c>
      <c r="F594" s="3" t="s">
        <v>909</v>
      </c>
      <c r="G594" s="3" t="s">
        <v>897</v>
      </c>
      <c r="K594">
        <v>-119</v>
      </c>
    </row>
    <row r="595" spans="1:11" x14ac:dyDescent="0.25">
      <c r="A595" s="3" t="s">
        <v>360</v>
      </c>
      <c r="B595" s="3">
        <v>139</v>
      </c>
      <c r="C595" s="3">
        <v>21</v>
      </c>
      <c r="D595" s="3">
        <v>3</v>
      </c>
      <c r="E595" s="3" t="s">
        <v>889</v>
      </c>
      <c r="F595" s="3" t="s">
        <v>909</v>
      </c>
      <c r="G595" s="3" t="s">
        <v>891</v>
      </c>
      <c r="K595">
        <v>51</v>
      </c>
    </row>
    <row r="596" spans="1:11" x14ac:dyDescent="0.25">
      <c r="A596" s="3" t="s">
        <v>530</v>
      </c>
      <c r="B596" s="3">
        <v>437</v>
      </c>
      <c r="C596" s="3">
        <v>-14</v>
      </c>
      <c r="D596" s="3">
        <v>2</v>
      </c>
      <c r="E596" s="3" t="s">
        <v>899</v>
      </c>
      <c r="F596" s="3" t="s">
        <v>901</v>
      </c>
      <c r="G596" s="3" t="s">
        <v>902</v>
      </c>
      <c r="K596">
        <v>18</v>
      </c>
    </row>
    <row r="597" spans="1:11" x14ac:dyDescent="0.25">
      <c r="A597" s="3" t="s">
        <v>118</v>
      </c>
      <c r="B597" s="3">
        <v>138</v>
      </c>
      <c r="C597" s="3">
        <v>-3</v>
      </c>
      <c r="D597" s="3">
        <v>5</v>
      </c>
      <c r="E597" s="3" t="s">
        <v>899</v>
      </c>
      <c r="F597" s="3" t="s">
        <v>901</v>
      </c>
      <c r="G597" s="3" t="s">
        <v>891</v>
      </c>
      <c r="K597">
        <v>0</v>
      </c>
    </row>
    <row r="598" spans="1:11" x14ac:dyDescent="0.25">
      <c r="A598" s="3" t="s">
        <v>378</v>
      </c>
      <c r="B598" s="3">
        <v>85</v>
      </c>
      <c r="C598" s="3">
        <v>13</v>
      </c>
      <c r="D598" s="3">
        <v>2</v>
      </c>
      <c r="E598" s="3" t="s">
        <v>899</v>
      </c>
      <c r="F598" s="3" t="s">
        <v>913</v>
      </c>
      <c r="G598" s="3" t="s">
        <v>902</v>
      </c>
      <c r="K598">
        <v>16</v>
      </c>
    </row>
    <row r="599" spans="1:11" x14ac:dyDescent="0.25">
      <c r="A599" s="3" t="s">
        <v>310</v>
      </c>
      <c r="B599" s="3">
        <v>83</v>
      </c>
      <c r="C599" s="3">
        <v>12</v>
      </c>
      <c r="D599" s="3">
        <v>3</v>
      </c>
      <c r="E599" s="3" t="s">
        <v>899</v>
      </c>
      <c r="F599" s="3" t="s">
        <v>907</v>
      </c>
      <c r="G599" s="3" t="s">
        <v>902</v>
      </c>
      <c r="K599">
        <v>8</v>
      </c>
    </row>
    <row r="600" spans="1:11" x14ac:dyDescent="0.25">
      <c r="A600" s="3" t="s">
        <v>418</v>
      </c>
      <c r="B600" s="3">
        <v>91</v>
      </c>
      <c r="C600" s="3">
        <v>22</v>
      </c>
      <c r="D600" s="3">
        <v>2</v>
      </c>
      <c r="E600" s="3" t="s">
        <v>899</v>
      </c>
      <c r="F600" s="3" t="s">
        <v>907</v>
      </c>
      <c r="G600" s="3" t="s">
        <v>902</v>
      </c>
      <c r="K600">
        <v>36</v>
      </c>
    </row>
    <row r="601" spans="1:11" x14ac:dyDescent="0.25">
      <c r="A601" s="3" t="s">
        <v>277</v>
      </c>
      <c r="B601" s="3">
        <v>137</v>
      </c>
      <c r="C601" s="3">
        <v>5</v>
      </c>
      <c r="D601" s="3">
        <v>5</v>
      </c>
      <c r="E601" s="3" t="s">
        <v>899</v>
      </c>
      <c r="F601" s="3" t="s">
        <v>913</v>
      </c>
      <c r="G601" s="3" t="s">
        <v>891</v>
      </c>
      <c r="K601">
        <v>4</v>
      </c>
    </row>
    <row r="602" spans="1:11" x14ac:dyDescent="0.25">
      <c r="A602" s="3" t="s">
        <v>815</v>
      </c>
      <c r="B602" s="3">
        <v>33</v>
      </c>
      <c r="C602" s="3">
        <v>-12</v>
      </c>
      <c r="D602" s="3">
        <v>7</v>
      </c>
      <c r="E602" s="3" t="s">
        <v>899</v>
      </c>
      <c r="F602" s="3" t="s">
        <v>901</v>
      </c>
      <c r="G602" s="3" t="s">
        <v>902</v>
      </c>
      <c r="K602">
        <v>-1</v>
      </c>
    </row>
    <row r="603" spans="1:11" x14ac:dyDescent="0.25">
      <c r="A603" s="3" t="s">
        <v>73</v>
      </c>
      <c r="B603" s="3">
        <v>134</v>
      </c>
      <c r="C603" s="3">
        <v>-34</v>
      </c>
      <c r="D603" s="3">
        <v>2</v>
      </c>
      <c r="E603" s="3" t="s">
        <v>892</v>
      </c>
      <c r="F603" s="3" t="s">
        <v>893</v>
      </c>
      <c r="G603" s="3" t="s">
        <v>891</v>
      </c>
      <c r="K603">
        <v>-3</v>
      </c>
    </row>
    <row r="604" spans="1:11" x14ac:dyDescent="0.25">
      <c r="A604" s="3" t="s">
        <v>655</v>
      </c>
      <c r="B604" s="3">
        <v>134</v>
      </c>
      <c r="C604" s="3">
        <v>42</v>
      </c>
      <c r="D604" s="3">
        <v>2</v>
      </c>
      <c r="E604" s="3" t="s">
        <v>892</v>
      </c>
      <c r="F604" s="3" t="s">
        <v>893</v>
      </c>
      <c r="G604" s="3" t="s">
        <v>891</v>
      </c>
      <c r="K604">
        <v>28</v>
      </c>
    </row>
    <row r="605" spans="1:11" x14ac:dyDescent="0.25">
      <c r="A605" s="3" t="s">
        <v>657</v>
      </c>
      <c r="B605" s="3">
        <v>133</v>
      </c>
      <c r="C605" s="3">
        <v>-56</v>
      </c>
      <c r="D605" s="3">
        <v>2</v>
      </c>
      <c r="E605" s="3" t="s">
        <v>892</v>
      </c>
      <c r="F605" s="3" t="s">
        <v>893</v>
      </c>
      <c r="G605" s="3" t="s">
        <v>891</v>
      </c>
      <c r="K605">
        <v>-19</v>
      </c>
    </row>
    <row r="606" spans="1:11" x14ac:dyDescent="0.25">
      <c r="A606" s="3" t="s">
        <v>332</v>
      </c>
      <c r="B606" s="3">
        <v>93</v>
      </c>
      <c r="C606" s="3">
        <v>-84</v>
      </c>
      <c r="D606" s="3">
        <v>3</v>
      </c>
      <c r="E606" s="3" t="s">
        <v>899</v>
      </c>
      <c r="F606" s="3" t="s">
        <v>901</v>
      </c>
      <c r="G606" s="3" t="s">
        <v>902</v>
      </c>
      <c r="K606">
        <v>29</v>
      </c>
    </row>
    <row r="607" spans="1:11" x14ac:dyDescent="0.25">
      <c r="A607" s="3" t="s">
        <v>446</v>
      </c>
      <c r="B607" s="3">
        <v>86</v>
      </c>
      <c r="C607" s="3">
        <v>-21</v>
      </c>
      <c r="D607" s="3">
        <v>1</v>
      </c>
      <c r="E607" s="3" t="s">
        <v>889</v>
      </c>
      <c r="F607" s="3" t="s">
        <v>890</v>
      </c>
      <c r="G607" s="3" t="s">
        <v>902</v>
      </c>
      <c r="K607">
        <v>4</v>
      </c>
    </row>
    <row r="608" spans="1:11" x14ac:dyDescent="0.25">
      <c r="A608" s="3" t="s">
        <v>282</v>
      </c>
      <c r="B608" s="3">
        <v>132</v>
      </c>
      <c r="C608" s="3">
        <v>54</v>
      </c>
      <c r="D608" s="3">
        <v>5</v>
      </c>
      <c r="E608" s="3" t="s">
        <v>899</v>
      </c>
      <c r="F608" s="3" t="s">
        <v>907</v>
      </c>
      <c r="G608" s="3" t="s">
        <v>891</v>
      </c>
      <c r="K608">
        <v>12</v>
      </c>
    </row>
    <row r="609" spans="1:11" x14ac:dyDescent="0.25">
      <c r="A609" s="3" t="s">
        <v>121</v>
      </c>
      <c r="B609" s="3">
        <v>132</v>
      </c>
      <c r="C609" s="3">
        <v>-10</v>
      </c>
      <c r="D609" s="3">
        <v>3</v>
      </c>
      <c r="E609" s="3" t="s">
        <v>899</v>
      </c>
      <c r="F609" s="3" t="s">
        <v>901</v>
      </c>
      <c r="G609" s="3" t="s">
        <v>891</v>
      </c>
      <c r="K609">
        <v>5</v>
      </c>
    </row>
    <row r="610" spans="1:11" x14ac:dyDescent="0.25">
      <c r="A610" s="3" t="s">
        <v>317</v>
      </c>
      <c r="B610" s="3">
        <v>132</v>
      </c>
      <c r="C610" s="3">
        <v>-79</v>
      </c>
      <c r="D610" s="3">
        <v>5</v>
      </c>
      <c r="E610" s="3" t="s">
        <v>892</v>
      </c>
      <c r="F610" s="3" t="s">
        <v>912</v>
      </c>
      <c r="G610" s="3" t="s">
        <v>891</v>
      </c>
      <c r="K610">
        <v>5</v>
      </c>
    </row>
    <row r="611" spans="1:11" x14ac:dyDescent="0.25">
      <c r="A611" s="3" t="s">
        <v>271</v>
      </c>
      <c r="B611" s="3">
        <v>93</v>
      </c>
      <c r="C611" s="3">
        <v>-65</v>
      </c>
      <c r="D611" s="3">
        <v>4</v>
      </c>
      <c r="E611" s="3" t="s">
        <v>899</v>
      </c>
      <c r="F611" s="3" t="s">
        <v>907</v>
      </c>
      <c r="G611" s="3" t="s">
        <v>902</v>
      </c>
      <c r="K611">
        <v>4</v>
      </c>
    </row>
    <row r="612" spans="1:11" x14ac:dyDescent="0.25">
      <c r="A612" s="3" t="s">
        <v>725</v>
      </c>
      <c r="B612" s="3">
        <v>95</v>
      </c>
      <c r="C612" s="3">
        <v>5</v>
      </c>
      <c r="D612" s="3">
        <v>2</v>
      </c>
      <c r="E612" s="3" t="s">
        <v>899</v>
      </c>
      <c r="F612" s="3" t="s">
        <v>907</v>
      </c>
      <c r="G612" s="3" t="s">
        <v>902</v>
      </c>
      <c r="K612">
        <v>-19</v>
      </c>
    </row>
    <row r="613" spans="1:11" x14ac:dyDescent="0.25">
      <c r="A613" s="3" t="s">
        <v>315</v>
      </c>
      <c r="B613" s="3">
        <v>97</v>
      </c>
      <c r="C613" s="3">
        <v>12</v>
      </c>
      <c r="D613" s="3">
        <v>2</v>
      </c>
      <c r="E613" s="3" t="s">
        <v>899</v>
      </c>
      <c r="F613" s="3" t="s">
        <v>903</v>
      </c>
      <c r="G613" s="3" t="s">
        <v>902</v>
      </c>
      <c r="K613">
        <v>32</v>
      </c>
    </row>
    <row r="614" spans="1:11" x14ac:dyDescent="0.25">
      <c r="A614" s="3" t="s">
        <v>659</v>
      </c>
      <c r="B614" s="3">
        <v>131</v>
      </c>
      <c r="C614" s="3">
        <v>-154</v>
      </c>
      <c r="D614" s="3">
        <v>8</v>
      </c>
      <c r="E614" s="3" t="s">
        <v>892</v>
      </c>
      <c r="F614" s="3" t="s">
        <v>912</v>
      </c>
      <c r="G614" s="3" t="s">
        <v>891</v>
      </c>
      <c r="K614">
        <v>35</v>
      </c>
    </row>
    <row r="615" spans="1:11" x14ac:dyDescent="0.25">
      <c r="A615" s="3" t="s">
        <v>333</v>
      </c>
      <c r="B615" s="3">
        <v>97</v>
      </c>
      <c r="C615" s="3">
        <v>29</v>
      </c>
      <c r="D615" s="3">
        <v>2</v>
      </c>
      <c r="E615" s="3" t="s">
        <v>899</v>
      </c>
      <c r="F615" s="3" t="s">
        <v>903</v>
      </c>
      <c r="G615" s="3" t="s">
        <v>902</v>
      </c>
      <c r="K615">
        <v>6</v>
      </c>
    </row>
    <row r="616" spans="1:11" x14ac:dyDescent="0.25">
      <c r="A616" s="3" t="s">
        <v>52</v>
      </c>
      <c r="B616" s="3">
        <v>128</v>
      </c>
      <c r="C616" s="3">
        <v>4</v>
      </c>
      <c r="D616" s="3">
        <v>3</v>
      </c>
      <c r="E616" s="3" t="s">
        <v>899</v>
      </c>
      <c r="F616" s="3" t="s">
        <v>901</v>
      </c>
      <c r="G616" s="3" t="s">
        <v>891</v>
      </c>
      <c r="K616">
        <v>18</v>
      </c>
    </row>
    <row r="617" spans="1:11" x14ac:dyDescent="0.25">
      <c r="A617" s="3" t="s">
        <v>539</v>
      </c>
      <c r="B617" s="3">
        <v>186</v>
      </c>
      <c r="C617" s="3">
        <v>241</v>
      </c>
      <c r="D617" s="3">
        <v>9</v>
      </c>
      <c r="E617" s="3" t="s">
        <v>899</v>
      </c>
      <c r="F617" s="3" t="s">
        <v>913</v>
      </c>
      <c r="G617" s="3" t="s">
        <v>897</v>
      </c>
      <c r="K617">
        <v>-39</v>
      </c>
    </row>
    <row r="618" spans="1:11" x14ac:dyDescent="0.25">
      <c r="A618" s="3" t="s">
        <v>70</v>
      </c>
      <c r="B618" s="3">
        <v>128</v>
      </c>
      <c r="C618" s="3">
        <v>47</v>
      </c>
      <c r="D618" s="3">
        <v>4</v>
      </c>
      <c r="E618" s="3" t="s">
        <v>899</v>
      </c>
      <c r="F618" s="3" t="s">
        <v>903</v>
      </c>
      <c r="G618" s="3" t="s">
        <v>891</v>
      </c>
      <c r="K618">
        <v>6</v>
      </c>
    </row>
    <row r="619" spans="1:11" x14ac:dyDescent="0.25">
      <c r="A619" s="3" t="s">
        <v>277</v>
      </c>
      <c r="B619" s="3">
        <v>185</v>
      </c>
      <c r="C619" s="3">
        <v>48</v>
      </c>
      <c r="D619" s="3">
        <v>4</v>
      </c>
      <c r="E619" s="3" t="s">
        <v>899</v>
      </c>
      <c r="F619" s="3" t="s">
        <v>907</v>
      </c>
      <c r="G619" s="3" t="s">
        <v>897</v>
      </c>
      <c r="K619">
        <v>6</v>
      </c>
    </row>
    <row r="620" spans="1:11" x14ac:dyDescent="0.25">
      <c r="A620" s="3" t="s">
        <v>840</v>
      </c>
      <c r="B620" s="3">
        <v>29</v>
      </c>
      <c r="C620" s="3">
        <v>10</v>
      </c>
      <c r="D620" s="3">
        <v>2</v>
      </c>
      <c r="E620" s="3" t="s">
        <v>899</v>
      </c>
      <c r="F620" s="3" t="s">
        <v>907</v>
      </c>
      <c r="G620" s="3" t="s">
        <v>891</v>
      </c>
      <c r="K620">
        <v>27</v>
      </c>
    </row>
    <row r="621" spans="1:11" x14ac:dyDescent="0.25">
      <c r="A621" s="3" t="s">
        <v>635</v>
      </c>
      <c r="B621" s="3">
        <v>127</v>
      </c>
      <c r="C621" s="3">
        <v>29</v>
      </c>
      <c r="D621" s="3">
        <v>3</v>
      </c>
      <c r="E621" s="3" t="s">
        <v>892</v>
      </c>
      <c r="F621" s="3" t="s">
        <v>912</v>
      </c>
      <c r="G621" s="3" t="s">
        <v>891</v>
      </c>
      <c r="K621">
        <v>41</v>
      </c>
    </row>
    <row r="622" spans="1:11" x14ac:dyDescent="0.25">
      <c r="A622" s="3" t="s">
        <v>682</v>
      </c>
      <c r="B622" s="3">
        <v>97</v>
      </c>
      <c r="C622" s="3">
        <v>36</v>
      </c>
      <c r="D622" s="3">
        <v>7</v>
      </c>
      <c r="E622" s="3" t="s">
        <v>899</v>
      </c>
      <c r="F622" s="3" t="s">
        <v>903</v>
      </c>
      <c r="G622" s="3" t="s">
        <v>902</v>
      </c>
      <c r="K622">
        <v>33</v>
      </c>
    </row>
    <row r="623" spans="1:11" x14ac:dyDescent="0.25">
      <c r="A623" s="3" t="s">
        <v>670</v>
      </c>
      <c r="B623" s="3">
        <v>125</v>
      </c>
      <c r="C623" s="3">
        <v>0</v>
      </c>
      <c r="D623" s="3">
        <v>3</v>
      </c>
      <c r="E623" s="3" t="s">
        <v>889</v>
      </c>
      <c r="F623" s="3" t="s">
        <v>909</v>
      </c>
      <c r="G623" s="3" t="s">
        <v>891</v>
      </c>
      <c r="K623">
        <v>8</v>
      </c>
    </row>
    <row r="624" spans="1:11" x14ac:dyDescent="0.25">
      <c r="A624" s="3" t="s">
        <v>858</v>
      </c>
      <c r="B624" s="3">
        <v>299</v>
      </c>
      <c r="C624" s="3">
        <v>-8</v>
      </c>
      <c r="D624" s="3">
        <v>2</v>
      </c>
      <c r="E624" s="3" t="s">
        <v>899</v>
      </c>
      <c r="F624" s="3" t="s">
        <v>901</v>
      </c>
      <c r="G624" s="3" t="s">
        <v>891</v>
      </c>
      <c r="K624">
        <v>59</v>
      </c>
    </row>
    <row r="625" spans="1:11" x14ac:dyDescent="0.25">
      <c r="A625" s="3" t="s">
        <v>671</v>
      </c>
      <c r="B625" s="3">
        <v>124</v>
      </c>
      <c r="C625" s="3">
        <v>54</v>
      </c>
      <c r="D625" s="3">
        <v>5</v>
      </c>
      <c r="E625" s="3" t="s">
        <v>899</v>
      </c>
      <c r="F625" s="3" t="s">
        <v>910</v>
      </c>
      <c r="G625" s="3" t="s">
        <v>891</v>
      </c>
      <c r="K625">
        <v>38</v>
      </c>
    </row>
    <row r="626" spans="1:11" x14ac:dyDescent="0.25">
      <c r="A626" s="3" t="s">
        <v>118</v>
      </c>
      <c r="B626" s="3">
        <v>90</v>
      </c>
      <c r="C626" s="3">
        <v>17</v>
      </c>
      <c r="D626" s="3">
        <v>3</v>
      </c>
      <c r="E626" s="3" t="s">
        <v>899</v>
      </c>
      <c r="F626" s="3" t="s">
        <v>913</v>
      </c>
      <c r="G626" s="3" t="s">
        <v>891</v>
      </c>
      <c r="K626">
        <v>6</v>
      </c>
    </row>
    <row r="627" spans="1:11" x14ac:dyDescent="0.25">
      <c r="A627" s="3" t="s">
        <v>114</v>
      </c>
      <c r="B627" s="3">
        <v>122</v>
      </c>
      <c r="C627" s="3">
        <v>11</v>
      </c>
      <c r="D627" s="3">
        <v>4</v>
      </c>
      <c r="E627" s="3" t="s">
        <v>899</v>
      </c>
      <c r="F627" s="3" t="s">
        <v>903</v>
      </c>
      <c r="G627" s="3" t="s">
        <v>891</v>
      </c>
      <c r="K627">
        <v>-11</v>
      </c>
    </row>
    <row r="628" spans="1:11" x14ac:dyDescent="0.25">
      <c r="A628" s="3" t="s">
        <v>673</v>
      </c>
      <c r="B628" s="3">
        <v>122</v>
      </c>
      <c r="C628" s="3">
        <v>-66</v>
      </c>
      <c r="D628" s="3">
        <v>9</v>
      </c>
      <c r="E628" s="3" t="s">
        <v>889</v>
      </c>
      <c r="F628" s="3" t="s">
        <v>909</v>
      </c>
      <c r="G628" s="3" t="s">
        <v>891</v>
      </c>
      <c r="K628">
        <v>-252</v>
      </c>
    </row>
    <row r="629" spans="1:11" x14ac:dyDescent="0.25">
      <c r="A629" s="3" t="s">
        <v>577</v>
      </c>
      <c r="B629" s="3">
        <v>90</v>
      </c>
      <c r="C629" s="3">
        <v>30</v>
      </c>
      <c r="D629" s="3">
        <v>2</v>
      </c>
      <c r="E629" s="3" t="s">
        <v>892</v>
      </c>
      <c r="F629" s="3" t="s">
        <v>893</v>
      </c>
      <c r="G629" s="3" t="s">
        <v>902</v>
      </c>
      <c r="K629">
        <v>35</v>
      </c>
    </row>
    <row r="630" spans="1:11" x14ac:dyDescent="0.25">
      <c r="A630" s="3" t="s">
        <v>241</v>
      </c>
      <c r="B630" s="3">
        <v>182</v>
      </c>
      <c r="C630" s="3">
        <v>-11</v>
      </c>
      <c r="D630" s="3">
        <v>3</v>
      </c>
      <c r="E630" s="3" t="s">
        <v>892</v>
      </c>
      <c r="F630" s="3" t="s">
        <v>895</v>
      </c>
      <c r="G630" s="3" t="s">
        <v>897</v>
      </c>
      <c r="K630">
        <v>7</v>
      </c>
    </row>
    <row r="631" spans="1:11" x14ac:dyDescent="0.25">
      <c r="A631" s="3" t="s">
        <v>677</v>
      </c>
      <c r="B631" s="3">
        <v>122</v>
      </c>
      <c r="C631" s="3">
        <v>59</v>
      </c>
      <c r="D631" s="3">
        <v>7</v>
      </c>
      <c r="E631" s="3" t="s">
        <v>892</v>
      </c>
      <c r="F631" s="3" t="s">
        <v>912</v>
      </c>
      <c r="G631" s="3" t="s">
        <v>891</v>
      </c>
      <c r="K631">
        <v>12</v>
      </c>
    </row>
    <row r="632" spans="1:11" x14ac:dyDescent="0.25">
      <c r="A632" s="3" t="s">
        <v>680</v>
      </c>
      <c r="B632" s="3">
        <v>121</v>
      </c>
      <c r="C632" s="3">
        <v>19</v>
      </c>
      <c r="D632" s="3">
        <v>4</v>
      </c>
      <c r="E632" s="3" t="s">
        <v>899</v>
      </c>
      <c r="F632" s="3" t="s">
        <v>907</v>
      </c>
      <c r="G632" s="3" t="s">
        <v>891</v>
      </c>
      <c r="K632">
        <v>6</v>
      </c>
    </row>
    <row r="633" spans="1:11" x14ac:dyDescent="0.25">
      <c r="A633" s="3" t="s">
        <v>352</v>
      </c>
      <c r="B633" s="3">
        <v>120</v>
      </c>
      <c r="C633" s="3">
        <v>1</v>
      </c>
      <c r="D633" s="3">
        <v>1</v>
      </c>
      <c r="E633" s="3" t="s">
        <v>892</v>
      </c>
      <c r="F633" s="3" t="s">
        <v>893</v>
      </c>
      <c r="G633" s="3" t="s">
        <v>891</v>
      </c>
      <c r="K633">
        <v>-3</v>
      </c>
    </row>
    <row r="634" spans="1:11" x14ac:dyDescent="0.25">
      <c r="A634" s="3" t="s">
        <v>286</v>
      </c>
      <c r="B634" s="3">
        <v>120</v>
      </c>
      <c r="C634" s="3">
        <v>23</v>
      </c>
      <c r="D634" s="3">
        <v>5</v>
      </c>
      <c r="E634" s="3" t="s">
        <v>899</v>
      </c>
      <c r="F634" s="3" t="s">
        <v>907</v>
      </c>
      <c r="G634" s="3" t="s">
        <v>891</v>
      </c>
      <c r="K634">
        <v>5</v>
      </c>
    </row>
    <row r="635" spans="1:11" x14ac:dyDescent="0.25">
      <c r="A635" s="3" t="s">
        <v>18</v>
      </c>
      <c r="B635" s="3">
        <v>34</v>
      </c>
      <c r="C635" s="3">
        <v>-11</v>
      </c>
      <c r="D635" s="3">
        <v>5</v>
      </c>
      <c r="E635" s="3" t="s">
        <v>899</v>
      </c>
      <c r="F635" s="3" t="s">
        <v>910</v>
      </c>
      <c r="G635" s="3" t="s">
        <v>891</v>
      </c>
      <c r="K635">
        <v>8</v>
      </c>
    </row>
    <row r="636" spans="1:11" x14ac:dyDescent="0.25">
      <c r="A636" s="3" t="s">
        <v>200</v>
      </c>
      <c r="B636" s="3">
        <v>117</v>
      </c>
      <c r="C636" s="3">
        <v>17</v>
      </c>
      <c r="D636" s="3">
        <v>6</v>
      </c>
      <c r="E636" s="3" t="s">
        <v>899</v>
      </c>
      <c r="F636" s="3" t="s">
        <v>904</v>
      </c>
      <c r="G636" s="3" t="s">
        <v>891</v>
      </c>
      <c r="K636">
        <v>-27</v>
      </c>
    </row>
    <row r="637" spans="1:11" x14ac:dyDescent="0.25">
      <c r="A637" s="3" t="s">
        <v>254</v>
      </c>
      <c r="B637" s="3">
        <v>38</v>
      </c>
      <c r="C637" s="3">
        <v>9</v>
      </c>
      <c r="D637" s="3">
        <v>2</v>
      </c>
      <c r="E637" s="3" t="s">
        <v>899</v>
      </c>
      <c r="F637" s="3" t="s">
        <v>907</v>
      </c>
      <c r="G637" s="3" t="s">
        <v>891</v>
      </c>
      <c r="K637">
        <v>36</v>
      </c>
    </row>
    <row r="638" spans="1:11" x14ac:dyDescent="0.25">
      <c r="A638" s="3" t="s">
        <v>239</v>
      </c>
      <c r="B638" s="3">
        <v>117</v>
      </c>
      <c r="C638" s="3">
        <v>-6</v>
      </c>
      <c r="D638" s="3">
        <v>3</v>
      </c>
      <c r="E638" s="3" t="s">
        <v>889</v>
      </c>
      <c r="F638" s="3" t="s">
        <v>898</v>
      </c>
      <c r="G638" s="3" t="s">
        <v>891</v>
      </c>
      <c r="K638">
        <v>15</v>
      </c>
    </row>
    <row r="639" spans="1:11" x14ac:dyDescent="0.25">
      <c r="A639" s="3" t="s">
        <v>581</v>
      </c>
      <c r="B639" s="3">
        <v>180</v>
      </c>
      <c r="C639" s="3">
        <v>54</v>
      </c>
      <c r="D639" s="3">
        <v>4</v>
      </c>
      <c r="E639" s="3" t="s">
        <v>899</v>
      </c>
      <c r="F639" s="3" t="s">
        <v>910</v>
      </c>
      <c r="G639" s="3" t="s">
        <v>897</v>
      </c>
      <c r="K639">
        <v>1</v>
      </c>
    </row>
    <row r="640" spans="1:11" x14ac:dyDescent="0.25">
      <c r="A640" s="3" t="s">
        <v>387</v>
      </c>
      <c r="B640" s="3">
        <v>99</v>
      </c>
      <c r="C640" s="3">
        <v>-5</v>
      </c>
      <c r="D640" s="3">
        <v>1</v>
      </c>
      <c r="E640" s="3" t="s">
        <v>899</v>
      </c>
      <c r="F640" s="3" t="s">
        <v>901</v>
      </c>
      <c r="G640" s="3" t="s">
        <v>902</v>
      </c>
      <c r="K640">
        <v>-39</v>
      </c>
    </row>
    <row r="641" spans="1:11" x14ac:dyDescent="0.25">
      <c r="A641" s="3" t="s">
        <v>260</v>
      </c>
      <c r="B641" s="3">
        <v>172</v>
      </c>
      <c r="C641" s="3">
        <v>-103</v>
      </c>
      <c r="D641" s="3">
        <v>3</v>
      </c>
      <c r="E641" s="3" t="s">
        <v>892</v>
      </c>
      <c r="F641" s="3" t="s">
        <v>893</v>
      </c>
      <c r="G641" s="3" t="s">
        <v>894</v>
      </c>
      <c r="K641">
        <v>39</v>
      </c>
    </row>
    <row r="642" spans="1:11" x14ac:dyDescent="0.25">
      <c r="A642" s="3" t="s">
        <v>136</v>
      </c>
      <c r="B642" s="3">
        <v>116</v>
      </c>
      <c r="C642" s="3">
        <v>16</v>
      </c>
      <c r="D642" s="3">
        <v>4</v>
      </c>
      <c r="E642" s="3" t="s">
        <v>899</v>
      </c>
      <c r="F642" s="3" t="s">
        <v>907</v>
      </c>
      <c r="G642" s="3" t="s">
        <v>891</v>
      </c>
      <c r="K642">
        <v>18</v>
      </c>
    </row>
    <row r="643" spans="1:11" x14ac:dyDescent="0.25">
      <c r="A643" s="3" t="s">
        <v>239</v>
      </c>
      <c r="B643" s="3">
        <v>116</v>
      </c>
      <c r="C643" s="3">
        <v>-4</v>
      </c>
      <c r="D643" s="3">
        <v>1</v>
      </c>
      <c r="E643" s="3" t="s">
        <v>899</v>
      </c>
      <c r="F643" s="3" t="s">
        <v>901</v>
      </c>
      <c r="G643" s="3" t="s">
        <v>891</v>
      </c>
      <c r="K643">
        <v>41</v>
      </c>
    </row>
    <row r="644" spans="1:11" x14ac:dyDescent="0.25">
      <c r="A644" s="3" t="s">
        <v>592</v>
      </c>
      <c r="B644" s="3">
        <v>171</v>
      </c>
      <c r="C644" s="3">
        <v>68</v>
      </c>
      <c r="D644" s="3">
        <v>7</v>
      </c>
      <c r="E644" s="3" t="s">
        <v>899</v>
      </c>
      <c r="F644" s="3" t="s">
        <v>907</v>
      </c>
      <c r="G644" s="3" t="s">
        <v>894</v>
      </c>
      <c r="K644">
        <v>37</v>
      </c>
    </row>
    <row r="645" spans="1:11" x14ac:dyDescent="0.25">
      <c r="A645" s="3" t="s">
        <v>392</v>
      </c>
      <c r="B645" s="3">
        <v>46</v>
      </c>
      <c r="C645" s="3">
        <v>14</v>
      </c>
      <c r="D645" s="3">
        <v>5</v>
      </c>
      <c r="E645" s="3" t="s">
        <v>899</v>
      </c>
      <c r="F645" s="3" t="s">
        <v>905</v>
      </c>
      <c r="G645" s="3" t="s">
        <v>891</v>
      </c>
      <c r="K645">
        <v>14</v>
      </c>
    </row>
    <row r="646" spans="1:11" x14ac:dyDescent="0.25">
      <c r="A646" s="3" t="s">
        <v>154</v>
      </c>
      <c r="B646" s="3">
        <v>115</v>
      </c>
      <c r="C646" s="3">
        <v>-39</v>
      </c>
      <c r="D646" s="3">
        <v>3</v>
      </c>
      <c r="E646" s="3" t="s">
        <v>899</v>
      </c>
      <c r="F646" s="3" t="s">
        <v>900</v>
      </c>
      <c r="G646" s="3" t="s">
        <v>891</v>
      </c>
      <c r="K646">
        <v>-17</v>
      </c>
    </row>
    <row r="647" spans="1:11" x14ac:dyDescent="0.25">
      <c r="A647" s="3" t="s">
        <v>716</v>
      </c>
      <c r="B647" s="3">
        <v>100</v>
      </c>
      <c r="C647" s="3">
        <v>7</v>
      </c>
      <c r="D647" s="3">
        <v>2</v>
      </c>
      <c r="E647" s="3" t="s">
        <v>899</v>
      </c>
      <c r="F647" s="3" t="s">
        <v>910</v>
      </c>
      <c r="G647" s="3" t="s">
        <v>902</v>
      </c>
      <c r="K647">
        <v>7</v>
      </c>
    </row>
    <row r="648" spans="1:11" x14ac:dyDescent="0.25">
      <c r="A648" s="3" t="s">
        <v>9</v>
      </c>
      <c r="B648" s="3">
        <v>44</v>
      </c>
      <c r="C648" s="3">
        <v>8</v>
      </c>
      <c r="D648" s="3">
        <v>2</v>
      </c>
      <c r="E648" s="3" t="s">
        <v>899</v>
      </c>
      <c r="F648" s="3" t="s">
        <v>907</v>
      </c>
      <c r="G648" s="3" t="s">
        <v>891</v>
      </c>
      <c r="K648">
        <v>24</v>
      </c>
    </row>
    <row r="649" spans="1:11" x14ac:dyDescent="0.25">
      <c r="A649" s="3" t="s">
        <v>652</v>
      </c>
      <c r="B649" s="3">
        <v>139</v>
      </c>
      <c r="C649" s="3">
        <v>14</v>
      </c>
      <c r="D649" s="3">
        <v>3</v>
      </c>
      <c r="E649" s="3" t="s">
        <v>899</v>
      </c>
      <c r="F649" s="3" t="s">
        <v>904</v>
      </c>
      <c r="G649" s="3" t="s">
        <v>891</v>
      </c>
      <c r="K649">
        <v>-41</v>
      </c>
    </row>
    <row r="650" spans="1:11" x14ac:dyDescent="0.25">
      <c r="A650" s="3" t="s">
        <v>591</v>
      </c>
      <c r="B650" s="3">
        <v>171</v>
      </c>
      <c r="C650" s="3">
        <v>-140</v>
      </c>
      <c r="D650" s="3">
        <v>2</v>
      </c>
      <c r="E650" s="3" t="s">
        <v>892</v>
      </c>
      <c r="F650" s="3" t="s">
        <v>895</v>
      </c>
      <c r="G650" s="3" t="s">
        <v>894</v>
      </c>
      <c r="K650">
        <v>-17</v>
      </c>
    </row>
    <row r="651" spans="1:11" x14ac:dyDescent="0.25">
      <c r="A651" s="3" t="s">
        <v>714</v>
      </c>
      <c r="B651" s="3">
        <v>100</v>
      </c>
      <c r="C651" s="3">
        <v>12</v>
      </c>
      <c r="D651" s="3">
        <v>2</v>
      </c>
      <c r="E651" s="3" t="s">
        <v>899</v>
      </c>
      <c r="F651" s="3" t="s">
        <v>910</v>
      </c>
      <c r="G651" s="3" t="s">
        <v>902</v>
      </c>
      <c r="K651">
        <v>5</v>
      </c>
    </row>
    <row r="652" spans="1:11" x14ac:dyDescent="0.25">
      <c r="A652" s="3" t="s">
        <v>235</v>
      </c>
      <c r="B652" s="3">
        <v>115</v>
      </c>
      <c r="C652" s="3">
        <v>25</v>
      </c>
      <c r="D652" s="3">
        <v>6</v>
      </c>
      <c r="E652" s="3" t="s">
        <v>899</v>
      </c>
      <c r="F652" s="3" t="s">
        <v>907</v>
      </c>
      <c r="G652" s="3" t="s">
        <v>891</v>
      </c>
      <c r="K652">
        <v>47</v>
      </c>
    </row>
    <row r="653" spans="1:11" x14ac:dyDescent="0.25">
      <c r="A653" s="3" t="s">
        <v>239</v>
      </c>
      <c r="B653" s="3">
        <v>168</v>
      </c>
      <c r="C653" s="3">
        <v>-9</v>
      </c>
      <c r="D653" s="3">
        <v>3</v>
      </c>
      <c r="E653" s="3" t="s">
        <v>899</v>
      </c>
      <c r="F653" s="3" t="s">
        <v>901</v>
      </c>
      <c r="G653" s="3" t="s">
        <v>891</v>
      </c>
      <c r="K653">
        <v>3</v>
      </c>
    </row>
    <row r="654" spans="1:11" x14ac:dyDescent="0.25">
      <c r="A654" s="3" t="s">
        <v>692</v>
      </c>
      <c r="B654" s="3">
        <v>115</v>
      </c>
      <c r="C654" s="3">
        <v>47</v>
      </c>
      <c r="D654" s="3">
        <v>2</v>
      </c>
      <c r="E654" s="3" t="s">
        <v>889</v>
      </c>
      <c r="F654" s="3" t="s">
        <v>909</v>
      </c>
      <c r="G654" s="3" t="s">
        <v>891</v>
      </c>
      <c r="K654">
        <v>-24</v>
      </c>
    </row>
    <row r="655" spans="1:11" x14ac:dyDescent="0.25">
      <c r="A655" s="3" t="s">
        <v>34</v>
      </c>
      <c r="B655" s="3">
        <v>168</v>
      </c>
      <c r="C655" s="3">
        <v>-111</v>
      </c>
      <c r="D655" s="3">
        <v>2</v>
      </c>
      <c r="E655" s="3" t="s">
        <v>889</v>
      </c>
      <c r="F655" s="3" t="s">
        <v>898</v>
      </c>
      <c r="G655" s="3" t="s">
        <v>894</v>
      </c>
      <c r="K655">
        <v>-51</v>
      </c>
    </row>
    <row r="656" spans="1:11" x14ac:dyDescent="0.25">
      <c r="A656" s="3" t="s">
        <v>834</v>
      </c>
      <c r="B656" s="3">
        <v>31</v>
      </c>
      <c r="C656" s="3">
        <v>-7</v>
      </c>
      <c r="D656" s="3">
        <v>5</v>
      </c>
      <c r="E656" s="3" t="s">
        <v>899</v>
      </c>
      <c r="F656" s="3" t="s">
        <v>905</v>
      </c>
      <c r="G656" s="3" t="s">
        <v>902</v>
      </c>
      <c r="K656">
        <v>11</v>
      </c>
    </row>
    <row r="657" spans="1:11" x14ac:dyDescent="0.25">
      <c r="A657" s="3" t="s">
        <v>70</v>
      </c>
      <c r="B657" s="3">
        <v>114</v>
      </c>
      <c r="C657" s="3">
        <v>41</v>
      </c>
      <c r="D657" s="3">
        <v>6</v>
      </c>
      <c r="E657" s="3" t="s">
        <v>892</v>
      </c>
      <c r="F657" s="3" t="s">
        <v>912</v>
      </c>
      <c r="G657" s="3" t="s">
        <v>891</v>
      </c>
      <c r="K657">
        <v>15</v>
      </c>
    </row>
    <row r="658" spans="1:11" x14ac:dyDescent="0.25">
      <c r="A658" s="3" t="s">
        <v>288</v>
      </c>
      <c r="B658" s="3">
        <v>111</v>
      </c>
      <c r="C658" s="3">
        <v>9</v>
      </c>
      <c r="D658" s="3">
        <v>4</v>
      </c>
      <c r="E658" s="3" t="s">
        <v>899</v>
      </c>
      <c r="F658" s="3" t="s">
        <v>907</v>
      </c>
      <c r="G658" s="3" t="s">
        <v>891</v>
      </c>
      <c r="K658">
        <v>42</v>
      </c>
    </row>
    <row r="659" spans="1:11" x14ac:dyDescent="0.25">
      <c r="A659" s="3" t="s">
        <v>877</v>
      </c>
      <c r="B659" s="3">
        <v>11</v>
      </c>
      <c r="C659" s="3">
        <v>-8</v>
      </c>
      <c r="D659" s="3">
        <v>2</v>
      </c>
      <c r="E659" s="3" t="s">
        <v>899</v>
      </c>
      <c r="F659" s="3" t="s">
        <v>905</v>
      </c>
      <c r="G659" s="3" t="s">
        <v>902</v>
      </c>
      <c r="K659">
        <v>3</v>
      </c>
    </row>
    <row r="660" spans="1:11" x14ac:dyDescent="0.25">
      <c r="A660" s="3" t="s">
        <v>452</v>
      </c>
      <c r="B660" s="3">
        <v>110</v>
      </c>
      <c r="C660" s="3">
        <v>35</v>
      </c>
      <c r="D660" s="3">
        <v>1</v>
      </c>
      <c r="E660" s="3" t="s">
        <v>892</v>
      </c>
      <c r="F660" s="3" t="s">
        <v>912</v>
      </c>
      <c r="G660" s="3" t="s">
        <v>891</v>
      </c>
      <c r="K660">
        <v>22</v>
      </c>
    </row>
    <row r="661" spans="1:11" x14ac:dyDescent="0.25">
      <c r="A661" s="3" t="s">
        <v>392</v>
      </c>
      <c r="B661" s="3">
        <v>59</v>
      </c>
      <c r="C661" s="3">
        <v>15</v>
      </c>
      <c r="D661" s="3">
        <v>2</v>
      </c>
      <c r="E661" s="3" t="s">
        <v>899</v>
      </c>
      <c r="F661" s="3" t="s">
        <v>910</v>
      </c>
      <c r="G661" s="3" t="s">
        <v>902</v>
      </c>
      <c r="K661">
        <v>44</v>
      </c>
    </row>
    <row r="662" spans="1:11" x14ac:dyDescent="0.25">
      <c r="A662" s="3" t="s">
        <v>397</v>
      </c>
      <c r="B662" s="3">
        <v>166</v>
      </c>
      <c r="C662" s="3">
        <v>27</v>
      </c>
      <c r="D662" s="3">
        <v>2</v>
      </c>
      <c r="E662" s="3" t="s">
        <v>889</v>
      </c>
      <c r="F662" s="3" t="s">
        <v>909</v>
      </c>
      <c r="G662" s="3" t="s">
        <v>894</v>
      </c>
      <c r="K662">
        <v>-26</v>
      </c>
    </row>
    <row r="663" spans="1:11" x14ac:dyDescent="0.25">
      <c r="A663" s="3" t="s">
        <v>116</v>
      </c>
      <c r="B663" s="3">
        <v>109</v>
      </c>
      <c r="C663" s="3">
        <v>-6</v>
      </c>
      <c r="D663" s="3">
        <v>6</v>
      </c>
      <c r="E663" s="3" t="s">
        <v>899</v>
      </c>
      <c r="F663" s="3" t="s">
        <v>901</v>
      </c>
      <c r="G663" s="3" t="s">
        <v>891</v>
      </c>
      <c r="K663">
        <v>-8</v>
      </c>
    </row>
    <row r="664" spans="1:11" x14ac:dyDescent="0.25">
      <c r="A664" s="3" t="s">
        <v>555</v>
      </c>
      <c r="B664" s="3">
        <v>34</v>
      </c>
      <c r="C664" s="3">
        <v>-6</v>
      </c>
      <c r="D664" s="3">
        <v>4</v>
      </c>
      <c r="E664" s="3" t="s">
        <v>899</v>
      </c>
      <c r="F664" s="3" t="s">
        <v>908</v>
      </c>
      <c r="G664" s="3" t="s">
        <v>891</v>
      </c>
      <c r="K664">
        <v>16</v>
      </c>
    </row>
    <row r="665" spans="1:11" x14ac:dyDescent="0.25">
      <c r="A665" s="3" t="s">
        <v>271</v>
      </c>
      <c r="B665" s="3">
        <v>109</v>
      </c>
      <c r="C665" s="3">
        <v>40</v>
      </c>
      <c r="D665" s="3">
        <v>1</v>
      </c>
      <c r="E665" s="3" t="s">
        <v>892</v>
      </c>
      <c r="F665" s="3" t="s">
        <v>912</v>
      </c>
      <c r="G665" s="3" t="s">
        <v>891</v>
      </c>
      <c r="K665">
        <v>1</v>
      </c>
    </row>
    <row r="666" spans="1:11" x14ac:dyDescent="0.25">
      <c r="A666" s="3" t="s">
        <v>89</v>
      </c>
      <c r="B666" s="3">
        <v>108</v>
      </c>
      <c r="C666" s="3">
        <v>22</v>
      </c>
      <c r="D666" s="3">
        <v>3</v>
      </c>
      <c r="E666" s="3" t="s">
        <v>889</v>
      </c>
      <c r="F666" s="3" t="s">
        <v>909</v>
      </c>
      <c r="G666" s="3" t="s">
        <v>891</v>
      </c>
      <c r="K666">
        <v>-64</v>
      </c>
    </row>
    <row r="667" spans="1:11" x14ac:dyDescent="0.25">
      <c r="A667" s="3" t="s">
        <v>50</v>
      </c>
      <c r="B667" s="3">
        <v>103</v>
      </c>
      <c r="C667" s="3">
        <v>50</v>
      </c>
      <c r="D667" s="3">
        <v>2</v>
      </c>
      <c r="E667" s="3" t="s">
        <v>892</v>
      </c>
      <c r="F667" s="3" t="s">
        <v>912</v>
      </c>
      <c r="G667" s="3" t="s">
        <v>902</v>
      </c>
      <c r="K667">
        <v>-3</v>
      </c>
    </row>
    <row r="668" spans="1:11" x14ac:dyDescent="0.25">
      <c r="A668" s="3" t="s">
        <v>722</v>
      </c>
      <c r="B668" s="3">
        <v>10</v>
      </c>
      <c r="C668" s="3">
        <v>-8</v>
      </c>
      <c r="D668" s="3">
        <v>2</v>
      </c>
      <c r="E668" s="3" t="s">
        <v>899</v>
      </c>
      <c r="F668" s="3" t="s">
        <v>905</v>
      </c>
      <c r="G668" s="3" t="s">
        <v>891</v>
      </c>
      <c r="K668">
        <v>48</v>
      </c>
    </row>
    <row r="669" spans="1:11" x14ac:dyDescent="0.25">
      <c r="A669" s="3" t="s">
        <v>144</v>
      </c>
      <c r="B669" s="3">
        <v>90</v>
      </c>
      <c r="C669" s="3">
        <v>17</v>
      </c>
      <c r="D669" s="3">
        <v>3</v>
      </c>
      <c r="E669" s="3" t="s">
        <v>899</v>
      </c>
      <c r="F669" s="3" t="s">
        <v>903</v>
      </c>
      <c r="G669" s="3" t="s">
        <v>891</v>
      </c>
      <c r="K669">
        <v>36</v>
      </c>
    </row>
    <row r="670" spans="1:11" x14ac:dyDescent="0.25">
      <c r="A670" s="3" t="s">
        <v>416</v>
      </c>
      <c r="B670" s="3">
        <v>105</v>
      </c>
      <c r="C670" s="3">
        <v>46</v>
      </c>
      <c r="D670" s="3">
        <v>2</v>
      </c>
      <c r="E670" s="3" t="s">
        <v>899</v>
      </c>
      <c r="F670" s="3" t="s">
        <v>907</v>
      </c>
      <c r="G670" s="3" t="s">
        <v>902</v>
      </c>
      <c r="K670">
        <v>47</v>
      </c>
    </row>
    <row r="671" spans="1:11" x14ac:dyDescent="0.25">
      <c r="A671" s="3" t="s">
        <v>608</v>
      </c>
      <c r="B671" s="3">
        <v>105</v>
      </c>
      <c r="C671" s="3">
        <v>20</v>
      </c>
      <c r="D671" s="3">
        <v>2</v>
      </c>
      <c r="E671" s="3" t="s">
        <v>899</v>
      </c>
      <c r="F671" s="3" t="s">
        <v>907</v>
      </c>
      <c r="G671" s="3" t="s">
        <v>911</v>
      </c>
      <c r="K671">
        <v>0</v>
      </c>
    </row>
    <row r="672" spans="1:11" x14ac:dyDescent="0.25">
      <c r="A672" s="3" t="s">
        <v>851</v>
      </c>
      <c r="B672" s="3">
        <v>22</v>
      </c>
      <c r="C672" s="3">
        <v>-6</v>
      </c>
      <c r="D672" s="3">
        <v>1</v>
      </c>
      <c r="E672" s="3" t="s">
        <v>892</v>
      </c>
      <c r="F672" s="3" t="s">
        <v>912</v>
      </c>
      <c r="G672" s="3" t="s">
        <v>891</v>
      </c>
      <c r="K672">
        <v>0</v>
      </c>
    </row>
    <row r="673" spans="1:11" x14ac:dyDescent="0.25">
      <c r="A673" s="3" t="s">
        <v>246</v>
      </c>
      <c r="B673" s="3">
        <v>105</v>
      </c>
      <c r="C673" s="3">
        <v>-33</v>
      </c>
      <c r="D673" s="3">
        <v>5</v>
      </c>
      <c r="E673" s="3" t="s">
        <v>899</v>
      </c>
      <c r="F673" s="3" t="s">
        <v>904</v>
      </c>
      <c r="G673" s="3" t="s">
        <v>891</v>
      </c>
      <c r="K673">
        <v>0</v>
      </c>
    </row>
    <row r="674" spans="1:11" x14ac:dyDescent="0.25">
      <c r="A674" s="3" t="s">
        <v>457</v>
      </c>
      <c r="B674" s="3">
        <v>105</v>
      </c>
      <c r="C674" s="3">
        <v>25</v>
      </c>
      <c r="D674" s="3">
        <v>2</v>
      </c>
      <c r="E674" s="3" t="s">
        <v>899</v>
      </c>
      <c r="F674" s="3" t="s">
        <v>903</v>
      </c>
      <c r="G674" s="3" t="s">
        <v>894</v>
      </c>
      <c r="K674">
        <v>13</v>
      </c>
    </row>
    <row r="675" spans="1:11" x14ac:dyDescent="0.25">
      <c r="A675" s="3" t="s">
        <v>335</v>
      </c>
      <c r="B675" s="3">
        <v>25</v>
      </c>
      <c r="C675" s="3">
        <v>-7</v>
      </c>
      <c r="D675" s="3">
        <v>5</v>
      </c>
      <c r="E675" s="3" t="s">
        <v>899</v>
      </c>
      <c r="F675" s="3" t="s">
        <v>901</v>
      </c>
      <c r="G675" s="3" t="s">
        <v>902</v>
      </c>
      <c r="K675">
        <v>52</v>
      </c>
    </row>
    <row r="676" spans="1:11" x14ac:dyDescent="0.25">
      <c r="A676" s="3" t="s">
        <v>50</v>
      </c>
      <c r="B676" s="3">
        <v>104</v>
      </c>
      <c r="C676" s="3">
        <v>2</v>
      </c>
      <c r="D676" s="3">
        <v>2</v>
      </c>
      <c r="E676" s="3" t="s">
        <v>892</v>
      </c>
      <c r="F676" s="3" t="s">
        <v>912</v>
      </c>
      <c r="G676" s="3" t="s">
        <v>891</v>
      </c>
      <c r="K676">
        <v>29</v>
      </c>
    </row>
    <row r="677" spans="1:11" x14ac:dyDescent="0.25">
      <c r="A677" s="3" t="s">
        <v>869</v>
      </c>
      <c r="B677" s="3">
        <v>16</v>
      </c>
      <c r="C677" s="3">
        <v>5</v>
      </c>
      <c r="D677" s="3">
        <v>1</v>
      </c>
      <c r="E677" s="3" t="s">
        <v>899</v>
      </c>
      <c r="F677" s="3" t="s">
        <v>907</v>
      </c>
      <c r="G677" s="3" t="s">
        <v>902</v>
      </c>
      <c r="K677">
        <v>13</v>
      </c>
    </row>
    <row r="678" spans="1:11" x14ac:dyDescent="0.25">
      <c r="A678" s="3" t="s">
        <v>480</v>
      </c>
      <c r="B678" s="3">
        <v>64</v>
      </c>
      <c r="C678" s="3">
        <v>-7</v>
      </c>
      <c r="D678" s="3">
        <v>3</v>
      </c>
      <c r="E678" s="3" t="s">
        <v>899</v>
      </c>
      <c r="F678" s="3" t="s">
        <v>901</v>
      </c>
      <c r="G678" s="3" t="s">
        <v>891</v>
      </c>
      <c r="K678">
        <v>9</v>
      </c>
    </row>
    <row r="679" spans="1:11" x14ac:dyDescent="0.25">
      <c r="A679" s="3" t="s">
        <v>819</v>
      </c>
      <c r="B679" s="3">
        <v>38</v>
      </c>
      <c r="C679" s="3">
        <v>-6</v>
      </c>
      <c r="D679" s="3">
        <v>2</v>
      </c>
      <c r="E679" s="3" t="s">
        <v>892</v>
      </c>
      <c r="F679" s="3" t="s">
        <v>912</v>
      </c>
      <c r="G679" s="3" t="s">
        <v>902</v>
      </c>
      <c r="K679">
        <v>50</v>
      </c>
    </row>
    <row r="680" spans="1:11" x14ac:dyDescent="0.25">
      <c r="A680" s="3" t="s">
        <v>244</v>
      </c>
      <c r="B680" s="3">
        <v>83</v>
      </c>
      <c r="C680" s="3">
        <v>12</v>
      </c>
      <c r="D680" s="3">
        <v>2</v>
      </c>
      <c r="E680" s="3" t="s">
        <v>892</v>
      </c>
      <c r="F680" s="3" t="s">
        <v>893</v>
      </c>
      <c r="G680" s="3" t="s">
        <v>891</v>
      </c>
      <c r="K680">
        <v>-51</v>
      </c>
    </row>
    <row r="681" spans="1:11" x14ac:dyDescent="0.25">
      <c r="A681" s="3" t="s">
        <v>509</v>
      </c>
      <c r="B681" s="3">
        <v>103</v>
      </c>
      <c r="C681" s="3">
        <v>36</v>
      </c>
      <c r="D681" s="3">
        <v>2</v>
      </c>
      <c r="E681" s="3" t="s">
        <v>899</v>
      </c>
      <c r="F681" s="3" t="s">
        <v>903</v>
      </c>
      <c r="G681" s="3" t="s">
        <v>891</v>
      </c>
      <c r="K681">
        <v>14</v>
      </c>
    </row>
    <row r="682" spans="1:11" x14ac:dyDescent="0.25">
      <c r="A682" s="3" t="s">
        <v>339</v>
      </c>
      <c r="B682" s="3">
        <v>37</v>
      </c>
      <c r="C682" s="3">
        <v>-6</v>
      </c>
      <c r="D682" s="3">
        <v>1</v>
      </c>
      <c r="E682" s="3" t="s">
        <v>899</v>
      </c>
      <c r="F682" s="3" t="s">
        <v>901</v>
      </c>
      <c r="G682" s="3" t="s">
        <v>902</v>
      </c>
      <c r="K682">
        <v>0</v>
      </c>
    </row>
    <row r="683" spans="1:11" x14ac:dyDescent="0.25">
      <c r="A683" s="3" t="s">
        <v>703</v>
      </c>
      <c r="B683" s="3">
        <v>105</v>
      </c>
      <c r="C683" s="3">
        <v>33</v>
      </c>
      <c r="D683" s="3">
        <v>6</v>
      </c>
      <c r="E683" s="3" t="s">
        <v>899</v>
      </c>
      <c r="F683" s="3" t="s">
        <v>901</v>
      </c>
      <c r="G683" s="3" t="s">
        <v>894</v>
      </c>
      <c r="K683">
        <v>6</v>
      </c>
    </row>
    <row r="684" spans="1:11" x14ac:dyDescent="0.25">
      <c r="A684" s="3" t="s">
        <v>369</v>
      </c>
      <c r="B684" s="3">
        <v>78</v>
      </c>
      <c r="C684" s="3">
        <v>-6</v>
      </c>
      <c r="D684" s="3">
        <v>2</v>
      </c>
      <c r="E684" s="3" t="s">
        <v>892</v>
      </c>
      <c r="F684" s="3" t="s">
        <v>912</v>
      </c>
      <c r="G684" s="3" t="s">
        <v>902</v>
      </c>
      <c r="K684">
        <v>16</v>
      </c>
    </row>
    <row r="685" spans="1:11" x14ac:dyDescent="0.25">
      <c r="A685" s="3" t="s">
        <v>48</v>
      </c>
      <c r="B685" s="3">
        <v>102</v>
      </c>
      <c r="C685" s="3">
        <v>-90</v>
      </c>
      <c r="D685" s="3">
        <v>1</v>
      </c>
      <c r="E685" s="3" t="s">
        <v>899</v>
      </c>
      <c r="F685" s="3" t="s">
        <v>901</v>
      </c>
      <c r="G685" s="3" t="s">
        <v>891</v>
      </c>
      <c r="K685">
        <v>12</v>
      </c>
    </row>
    <row r="686" spans="1:11" x14ac:dyDescent="0.25">
      <c r="A686" s="3" t="s">
        <v>707</v>
      </c>
      <c r="B686" s="3">
        <v>102</v>
      </c>
      <c r="C686" s="3">
        <v>11</v>
      </c>
      <c r="D686" s="3">
        <v>6</v>
      </c>
      <c r="E686" s="3" t="s">
        <v>899</v>
      </c>
      <c r="F686" s="3" t="s">
        <v>910</v>
      </c>
      <c r="G686" s="3" t="s">
        <v>891</v>
      </c>
      <c r="K686">
        <v>-6</v>
      </c>
    </row>
    <row r="687" spans="1:11" x14ac:dyDescent="0.25">
      <c r="A687" s="3" t="s">
        <v>375</v>
      </c>
      <c r="B687" s="3">
        <v>10</v>
      </c>
      <c r="C687" s="3">
        <v>-8</v>
      </c>
      <c r="D687" s="3">
        <v>1</v>
      </c>
      <c r="E687" s="3" t="s">
        <v>899</v>
      </c>
      <c r="F687" s="3" t="s">
        <v>904</v>
      </c>
      <c r="G687" s="3" t="s">
        <v>902</v>
      </c>
      <c r="K687">
        <v>-2</v>
      </c>
    </row>
    <row r="688" spans="1:11" x14ac:dyDescent="0.25">
      <c r="A688" s="3" t="s">
        <v>126</v>
      </c>
      <c r="B688" s="3">
        <v>101</v>
      </c>
      <c r="C688" s="3">
        <v>18</v>
      </c>
      <c r="D688" s="3">
        <v>9</v>
      </c>
      <c r="E688" s="3" t="s">
        <v>899</v>
      </c>
      <c r="F688" s="3" t="s">
        <v>905</v>
      </c>
      <c r="G688" s="3" t="s">
        <v>891</v>
      </c>
      <c r="K688">
        <v>140</v>
      </c>
    </row>
    <row r="689" spans="1:11" x14ac:dyDescent="0.25">
      <c r="A689" s="3" t="s">
        <v>812</v>
      </c>
      <c r="B689" s="3">
        <v>42</v>
      </c>
      <c r="C689" s="3">
        <v>-6</v>
      </c>
      <c r="D689" s="3">
        <v>4</v>
      </c>
      <c r="E689" s="3" t="s">
        <v>899</v>
      </c>
      <c r="F689" s="3" t="s">
        <v>901</v>
      </c>
      <c r="G689" s="3" t="s">
        <v>902</v>
      </c>
      <c r="K689">
        <v>28</v>
      </c>
    </row>
    <row r="690" spans="1:11" x14ac:dyDescent="0.25">
      <c r="A690" s="3" t="s">
        <v>546</v>
      </c>
      <c r="B690" s="3">
        <v>56</v>
      </c>
      <c r="C690" s="3">
        <v>18</v>
      </c>
      <c r="D690" s="3">
        <v>2</v>
      </c>
      <c r="E690" s="3" t="s">
        <v>899</v>
      </c>
      <c r="F690" s="3" t="s">
        <v>903</v>
      </c>
      <c r="G690" s="3" t="s">
        <v>902</v>
      </c>
      <c r="K690">
        <v>2</v>
      </c>
    </row>
    <row r="691" spans="1:11" x14ac:dyDescent="0.25">
      <c r="A691" s="3" t="s">
        <v>335</v>
      </c>
      <c r="B691" s="3">
        <v>95</v>
      </c>
      <c r="C691" s="3">
        <v>5</v>
      </c>
      <c r="D691" s="3">
        <v>2</v>
      </c>
      <c r="E691" s="3" t="s">
        <v>899</v>
      </c>
      <c r="F691" s="3" t="s">
        <v>907</v>
      </c>
      <c r="G691" s="3" t="s">
        <v>891</v>
      </c>
      <c r="K691">
        <v>-147</v>
      </c>
    </row>
    <row r="692" spans="1:11" x14ac:dyDescent="0.25">
      <c r="A692" s="3" t="s">
        <v>606</v>
      </c>
      <c r="B692" s="3">
        <v>159</v>
      </c>
      <c r="C692" s="3">
        <v>2</v>
      </c>
      <c r="D692" s="3">
        <v>3</v>
      </c>
      <c r="E692" s="3" t="s">
        <v>892</v>
      </c>
      <c r="F692" s="3" t="s">
        <v>912</v>
      </c>
      <c r="G692" s="3" t="s">
        <v>894</v>
      </c>
      <c r="K692">
        <v>-64</v>
      </c>
    </row>
    <row r="693" spans="1:11" x14ac:dyDescent="0.25">
      <c r="A693" s="3" t="s">
        <v>608</v>
      </c>
      <c r="B693" s="3">
        <v>158</v>
      </c>
      <c r="C693" s="3">
        <v>69</v>
      </c>
      <c r="D693" s="3">
        <v>3</v>
      </c>
      <c r="E693" s="3" t="s">
        <v>899</v>
      </c>
      <c r="F693" s="3" t="s">
        <v>907</v>
      </c>
      <c r="G693" s="3" t="s">
        <v>894</v>
      </c>
      <c r="K693">
        <v>11</v>
      </c>
    </row>
    <row r="694" spans="1:11" x14ac:dyDescent="0.25">
      <c r="A694" s="3" t="s">
        <v>375</v>
      </c>
      <c r="B694" s="3">
        <v>106</v>
      </c>
      <c r="C694" s="3">
        <v>0</v>
      </c>
      <c r="D694" s="3">
        <v>2</v>
      </c>
      <c r="E694" s="3" t="s">
        <v>889</v>
      </c>
      <c r="F694" s="3" t="s">
        <v>898</v>
      </c>
      <c r="G694" s="3" t="s">
        <v>894</v>
      </c>
      <c r="K694">
        <v>14</v>
      </c>
    </row>
    <row r="695" spans="1:11" x14ac:dyDescent="0.25">
      <c r="A695" s="3" t="s">
        <v>269</v>
      </c>
      <c r="B695" s="3">
        <v>101</v>
      </c>
      <c r="C695" s="3">
        <v>16</v>
      </c>
      <c r="D695" s="3">
        <v>4</v>
      </c>
      <c r="E695" s="3" t="s">
        <v>899</v>
      </c>
      <c r="F695" s="3" t="s">
        <v>910</v>
      </c>
      <c r="G695" s="3" t="s">
        <v>891</v>
      </c>
      <c r="K695">
        <v>312</v>
      </c>
    </row>
    <row r="696" spans="1:11" x14ac:dyDescent="0.25">
      <c r="A696" s="3" t="s">
        <v>389</v>
      </c>
      <c r="B696" s="3">
        <v>107</v>
      </c>
      <c r="C696" s="3">
        <v>37</v>
      </c>
      <c r="D696" s="3">
        <v>3</v>
      </c>
      <c r="E696" s="3" t="s">
        <v>899</v>
      </c>
      <c r="F696" s="3" t="s">
        <v>913</v>
      </c>
      <c r="G696" s="3" t="s">
        <v>891</v>
      </c>
      <c r="K696">
        <v>10</v>
      </c>
    </row>
    <row r="697" spans="1:11" x14ac:dyDescent="0.25">
      <c r="A697" s="3" t="s">
        <v>486</v>
      </c>
      <c r="B697" s="3">
        <v>156</v>
      </c>
      <c r="C697" s="3">
        <v>36</v>
      </c>
      <c r="D697" s="3">
        <v>5</v>
      </c>
      <c r="E697" s="3" t="s">
        <v>899</v>
      </c>
      <c r="F697" s="3" t="s">
        <v>910</v>
      </c>
      <c r="G697" s="3" t="s">
        <v>894</v>
      </c>
      <c r="K697">
        <v>-31</v>
      </c>
    </row>
    <row r="698" spans="1:11" x14ac:dyDescent="0.25">
      <c r="A698" s="3" t="s">
        <v>700</v>
      </c>
      <c r="B698" s="3">
        <v>108</v>
      </c>
      <c r="C698" s="3">
        <v>-19</v>
      </c>
      <c r="D698" s="3">
        <v>3</v>
      </c>
      <c r="E698" s="3" t="s">
        <v>889</v>
      </c>
      <c r="F698" s="3" t="s">
        <v>890</v>
      </c>
      <c r="G698" s="3" t="s">
        <v>902</v>
      </c>
      <c r="K698">
        <v>-10</v>
      </c>
    </row>
    <row r="699" spans="1:11" x14ac:dyDescent="0.25">
      <c r="A699" s="3" t="s">
        <v>199</v>
      </c>
      <c r="B699" s="3">
        <v>107</v>
      </c>
      <c r="C699" s="3">
        <v>-54</v>
      </c>
      <c r="D699" s="3">
        <v>4</v>
      </c>
      <c r="E699" s="3" t="s">
        <v>899</v>
      </c>
      <c r="F699" s="3" t="s">
        <v>907</v>
      </c>
      <c r="G699" s="3" t="s">
        <v>894</v>
      </c>
      <c r="K699">
        <v>5</v>
      </c>
    </row>
    <row r="700" spans="1:11" x14ac:dyDescent="0.25">
      <c r="A700" s="3" t="s">
        <v>711</v>
      </c>
      <c r="B700" s="3">
        <v>100</v>
      </c>
      <c r="C700" s="3">
        <v>-58</v>
      </c>
      <c r="D700" s="3">
        <v>4</v>
      </c>
      <c r="E700" s="3" t="s">
        <v>899</v>
      </c>
      <c r="F700" s="3" t="s">
        <v>903</v>
      </c>
      <c r="G700" s="3" t="s">
        <v>891</v>
      </c>
      <c r="K700">
        <v>2</v>
      </c>
    </row>
    <row r="701" spans="1:11" x14ac:dyDescent="0.25">
      <c r="A701" s="3" t="s">
        <v>562</v>
      </c>
      <c r="B701" s="3">
        <v>108</v>
      </c>
      <c r="C701" s="3">
        <v>26</v>
      </c>
      <c r="D701" s="3">
        <v>4</v>
      </c>
      <c r="E701" s="3" t="s">
        <v>899</v>
      </c>
      <c r="F701" s="3" t="s">
        <v>913</v>
      </c>
      <c r="G701" s="3" t="s">
        <v>902</v>
      </c>
      <c r="K701">
        <v>-12</v>
      </c>
    </row>
    <row r="702" spans="1:11" x14ac:dyDescent="0.25">
      <c r="A702" s="3" t="s">
        <v>712</v>
      </c>
      <c r="B702" s="3">
        <v>100</v>
      </c>
      <c r="C702" s="3">
        <v>6</v>
      </c>
      <c r="D702" s="3">
        <v>4</v>
      </c>
      <c r="E702" s="3" t="s">
        <v>899</v>
      </c>
      <c r="F702" s="3" t="s">
        <v>907</v>
      </c>
      <c r="G702" s="3" t="s">
        <v>891</v>
      </c>
      <c r="K702">
        <v>-5</v>
      </c>
    </row>
    <row r="703" spans="1:11" x14ac:dyDescent="0.25">
      <c r="A703" s="3" t="s">
        <v>661</v>
      </c>
      <c r="B703" s="3">
        <v>100</v>
      </c>
      <c r="C703" s="3">
        <v>-23</v>
      </c>
      <c r="D703" s="3">
        <v>1</v>
      </c>
      <c r="E703" s="3" t="s">
        <v>889</v>
      </c>
      <c r="F703" s="3" t="s">
        <v>898</v>
      </c>
      <c r="G703" s="3" t="s">
        <v>891</v>
      </c>
      <c r="K703">
        <v>-39</v>
      </c>
    </row>
    <row r="704" spans="1:11" x14ac:dyDescent="0.25">
      <c r="A704" s="3" t="s">
        <v>281</v>
      </c>
      <c r="B704" s="3">
        <v>43</v>
      </c>
      <c r="C704" s="3">
        <v>17</v>
      </c>
      <c r="D704" s="3">
        <v>2</v>
      </c>
      <c r="E704" s="3" t="s">
        <v>899</v>
      </c>
      <c r="F704" s="3" t="s">
        <v>910</v>
      </c>
      <c r="G704" s="3" t="s">
        <v>902</v>
      </c>
      <c r="K704">
        <v>17</v>
      </c>
    </row>
    <row r="705" spans="1:11" x14ac:dyDescent="0.25">
      <c r="A705" s="3" t="s">
        <v>614</v>
      </c>
      <c r="B705" s="3">
        <v>155</v>
      </c>
      <c r="C705" s="3">
        <v>26</v>
      </c>
      <c r="D705" s="3">
        <v>3</v>
      </c>
      <c r="E705" s="3" t="s">
        <v>899</v>
      </c>
      <c r="F705" s="3" t="s">
        <v>907</v>
      </c>
      <c r="G705" s="3" t="s">
        <v>894</v>
      </c>
      <c r="K705">
        <v>21</v>
      </c>
    </row>
    <row r="706" spans="1:11" x14ac:dyDescent="0.25">
      <c r="A706" s="3" t="s">
        <v>625</v>
      </c>
      <c r="B706" s="3">
        <v>151</v>
      </c>
      <c r="C706" s="3">
        <v>9</v>
      </c>
      <c r="D706" s="3">
        <v>3</v>
      </c>
      <c r="E706" s="3" t="s">
        <v>899</v>
      </c>
      <c r="F706" s="3" t="s">
        <v>903</v>
      </c>
      <c r="G706" s="3" t="s">
        <v>894</v>
      </c>
      <c r="K706">
        <v>50</v>
      </c>
    </row>
    <row r="707" spans="1:11" x14ac:dyDescent="0.25">
      <c r="A707" s="3" t="s">
        <v>350</v>
      </c>
      <c r="B707" s="3">
        <v>151</v>
      </c>
      <c r="C707" s="3">
        <v>29</v>
      </c>
      <c r="D707" s="3">
        <v>5</v>
      </c>
      <c r="E707" s="3" t="s">
        <v>899</v>
      </c>
      <c r="F707" s="3" t="s">
        <v>903</v>
      </c>
      <c r="G707" s="3" t="s">
        <v>894</v>
      </c>
      <c r="K707">
        <v>160</v>
      </c>
    </row>
    <row r="708" spans="1:11" x14ac:dyDescent="0.25">
      <c r="A708" s="3" t="s">
        <v>436</v>
      </c>
      <c r="B708" s="3">
        <v>110</v>
      </c>
      <c r="C708" s="3">
        <v>-68</v>
      </c>
      <c r="D708" s="3">
        <v>4</v>
      </c>
      <c r="E708" s="3" t="s">
        <v>899</v>
      </c>
      <c r="F708" s="3" t="s">
        <v>901</v>
      </c>
      <c r="G708" s="3" t="s">
        <v>894</v>
      </c>
      <c r="K708">
        <v>11</v>
      </c>
    </row>
    <row r="709" spans="1:11" x14ac:dyDescent="0.25">
      <c r="A709" s="3" t="s">
        <v>18</v>
      </c>
      <c r="B709" s="3">
        <v>98</v>
      </c>
      <c r="C709" s="3">
        <v>9</v>
      </c>
      <c r="D709" s="3">
        <v>2</v>
      </c>
      <c r="E709" s="3" t="s">
        <v>892</v>
      </c>
      <c r="F709" s="3" t="s">
        <v>912</v>
      </c>
      <c r="G709" s="3" t="s">
        <v>891</v>
      </c>
      <c r="K709">
        <v>13</v>
      </c>
    </row>
    <row r="710" spans="1:11" x14ac:dyDescent="0.25">
      <c r="A710" s="3" t="s">
        <v>436</v>
      </c>
      <c r="B710" s="3">
        <v>97</v>
      </c>
      <c r="C710" s="3">
        <v>-62</v>
      </c>
      <c r="D710" s="3">
        <v>2</v>
      </c>
      <c r="E710" s="3" t="s">
        <v>899</v>
      </c>
      <c r="F710" s="3" t="s">
        <v>900</v>
      </c>
      <c r="G710" s="3" t="s">
        <v>891</v>
      </c>
      <c r="K710">
        <v>28</v>
      </c>
    </row>
    <row r="711" spans="1:11" x14ac:dyDescent="0.25">
      <c r="A711" s="3" t="s">
        <v>267</v>
      </c>
      <c r="B711" s="3">
        <v>111</v>
      </c>
      <c r="C711" s="3">
        <v>35</v>
      </c>
      <c r="D711" s="3">
        <v>5</v>
      </c>
      <c r="E711" s="3" t="s">
        <v>899</v>
      </c>
      <c r="F711" s="3" t="s">
        <v>913</v>
      </c>
      <c r="G711" s="3" t="s">
        <v>891</v>
      </c>
      <c r="K711">
        <v>7</v>
      </c>
    </row>
    <row r="712" spans="1:11" x14ac:dyDescent="0.25">
      <c r="A712" s="3" t="s">
        <v>640</v>
      </c>
      <c r="B712" s="3">
        <v>45</v>
      </c>
      <c r="C712" s="3">
        <v>17</v>
      </c>
      <c r="D712" s="3">
        <v>1</v>
      </c>
      <c r="E712" s="3" t="s">
        <v>889</v>
      </c>
      <c r="F712" s="3" t="s">
        <v>909</v>
      </c>
      <c r="G712" s="3" t="s">
        <v>891</v>
      </c>
      <c r="K712">
        <v>52</v>
      </c>
    </row>
    <row r="713" spans="1:11" x14ac:dyDescent="0.25">
      <c r="A713" s="3" t="s">
        <v>694</v>
      </c>
      <c r="B713" s="3">
        <v>112</v>
      </c>
      <c r="C713" s="3">
        <v>15</v>
      </c>
      <c r="D713" s="3">
        <v>2</v>
      </c>
      <c r="E713" s="3" t="s">
        <v>892</v>
      </c>
      <c r="F713" s="3" t="s">
        <v>893</v>
      </c>
      <c r="G713" s="3" t="s">
        <v>891</v>
      </c>
      <c r="K713">
        <v>74</v>
      </c>
    </row>
    <row r="714" spans="1:11" x14ac:dyDescent="0.25">
      <c r="A714" s="3" t="s">
        <v>25</v>
      </c>
      <c r="B714" s="3">
        <v>110</v>
      </c>
      <c r="C714" s="3">
        <v>20</v>
      </c>
      <c r="D714" s="3">
        <v>5</v>
      </c>
      <c r="E714" s="3" t="s">
        <v>899</v>
      </c>
      <c r="F714" s="3" t="s">
        <v>907</v>
      </c>
      <c r="G714" s="3" t="s">
        <v>911</v>
      </c>
      <c r="K714">
        <v>-34</v>
      </c>
    </row>
    <row r="715" spans="1:11" x14ac:dyDescent="0.25">
      <c r="A715" s="3" t="s">
        <v>146</v>
      </c>
      <c r="B715" s="3">
        <v>98</v>
      </c>
      <c r="C715" s="3">
        <v>-5</v>
      </c>
      <c r="D715" s="3">
        <v>2</v>
      </c>
      <c r="E715" s="3" t="s">
        <v>899</v>
      </c>
      <c r="F715" s="3" t="s">
        <v>901</v>
      </c>
      <c r="G715" s="3" t="s">
        <v>902</v>
      </c>
      <c r="K715">
        <v>38</v>
      </c>
    </row>
    <row r="716" spans="1:11" x14ac:dyDescent="0.25">
      <c r="A716" s="3" t="s">
        <v>98</v>
      </c>
      <c r="B716" s="3">
        <v>110</v>
      </c>
      <c r="C716" s="3">
        <v>12</v>
      </c>
      <c r="D716" s="3">
        <v>7</v>
      </c>
      <c r="E716" s="3" t="s">
        <v>899</v>
      </c>
      <c r="F716" s="3" t="s">
        <v>907</v>
      </c>
      <c r="G716" s="3" t="s">
        <v>911</v>
      </c>
      <c r="K716">
        <v>74</v>
      </c>
    </row>
    <row r="717" spans="1:11" x14ac:dyDescent="0.25">
      <c r="A717" s="3" t="s">
        <v>52</v>
      </c>
      <c r="B717" s="3">
        <v>95</v>
      </c>
      <c r="C717" s="3">
        <v>11</v>
      </c>
      <c r="D717" s="3">
        <v>4</v>
      </c>
      <c r="E717" s="3" t="s">
        <v>892</v>
      </c>
      <c r="F717" s="3" t="s">
        <v>912</v>
      </c>
      <c r="G717" s="3" t="s">
        <v>891</v>
      </c>
      <c r="K717">
        <v>32</v>
      </c>
    </row>
    <row r="718" spans="1:11" x14ac:dyDescent="0.25">
      <c r="A718" s="3" t="s">
        <v>176</v>
      </c>
      <c r="B718" s="3">
        <v>1228</v>
      </c>
      <c r="C718" s="3">
        <v>14</v>
      </c>
      <c r="D718" s="3">
        <v>3</v>
      </c>
      <c r="E718" s="3" t="s">
        <v>892</v>
      </c>
      <c r="F718" s="3" t="s">
        <v>893</v>
      </c>
      <c r="G718" s="3" t="s">
        <v>902</v>
      </c>
      <c r="K718">
        <v>30</v>
      </c>
    </row>
    <row r="719" spans="1:11" x14ac:dyDescent="0.25">
      <c r="A719" s="3" t="s">
        <v>194</v>
      </c>
      <c r="B719" s="3">
        <v>29</v>
      </c>
      <c r="C719" s="3">
        <v>0</v>
      </c>
      <c r="D719" s="3">
        <v>3</v>
      </c>
      <c r="E719" s="3" t="s">
        <v>892</v>
      </c>
      <c r="F719" s="3" t="s">
        <v>912</v>
      </c>
      <c r="G719" s="3" t="s">
        <v>891</v>
      </c>
      <c r="K719">
        <v>12</v>
      </c>
    </row>
    <row r="720" spans="1:11" x14ac:dyDescent="0.25">
      <c r="A720" s="3" t="s">
        <v>5</v>
      </c>
      <c r="B720" s="3">
        <v>94</v>
      </c>
      <c r="C720" s="3">
        <v>27</v>
      </c>
      <c r="D720" s="3">
        <v>2</v>
      </c>
      <c r="E720" s="3" t="s">
        <v>899</v>
      </c>
      <c r="F720" s="3" t="s">
        <v>910</v>
      </c>
      <c r="G720" s="3" t="s">
        <v>891</v>
      </c>
      <c r="K720">
        <v>-26</v>
      </c>
    </row>
    <row r="721" spans="1:11" x14ac:dyDescent="0.25">
      <c r="A721" s="3" t="s">
        <v>142</v>
      </c>
      <c r="B721" s="3">
        <v>115</v>
      </c>
      <c r="C721" s="3">
        <v>25</v>
      </c>
      <c r="D721" s="3">
        <v>1</v>
      </c>
      <c r="E721" s="3" t="s">
        <v>889</v>
      </c>
      <c r="F721" s="3" t="s">
        <v>909</v>
      </c>
      <c r="G721" s="3" t="s">
        <v>891</v>
      </c>
      <c r="K721">
        <v>25</v>
      </c>
    </row>
    <row r="722" spans="1:11" x14ac:dyDescent="0.25">
      <c r="A722" s="3" t="s">
        <v>310</v>
      </c>
      <c r="B722" s="3">
        <v>149</v>
      </c>
      <c r="C722" s="3">
        <v>15</v>
      </c>
      <c r="D722" s="3">
        <v>3</v>
      </c>
      <c r="E722" s="3" t="s">
        <v>899</v>
      </c>
      <c r="F722" s="3" t="s">
        <v>901</v>
      </c>
      <c r="G722" s="3" t="s">
        <v>894</v>
      </c>
      <c r="K722">
        <v>11</v>
      </c>
    </row>
    <row r="723" spans="1:11" x14ac:dyDescent="0.25">
      <c r="A723" s="3" t="s">
        <v>269</v>
      </c>
      <c r="B723" s="3">
        <v>148</v>
      </c>
      <c r="C723" s="3">
        <v>23</v>
      </c>
      <c r="D723" s="3">
        <v>4</v>
      </c>
      <c r="E723" s="3" t="s">
        <v>899</v>
      </c>
      <c r="F723" s="3" t="s">
        <v>904</v>
      </c>
      <c r="G723" s="3" t="s">
        <v>894</v>
      </c>
      <c r="K723">
        <v>13</v>
      </c>
    </row>
    <row r="724" spans="1:11" x14ac:dyDescent="0.25">
      <c r="A724" s="3" t="s">
        <v>59</v>
      </c>
      <c r="B724" s="3">
        <v>93</v>
      </c>
      <c r="C724" s="3">
        <v>15</v>
      </c>
      <c r="D724" s="3">
        <v>2</v>
      </c>
      <c r="E724" s="3" t="s">
        <v>889</v>
      </c>
      <c r="F724" s="3" t="s">
        <v>909</v>
      </c>
      <c r="G724" s="3" t="s">
        <v>891</v>
      </c>
      <c r="K724">
        <v>21</v>
      </c>
    </row>
    <row r="725" spans="1:11" x14ac:dyDescent="0.25">
      <c r="A725" s="3" t="s">
        <v>254</v>
      </c>
      <c r="B725" s="3">
        <v>113</v>
      </c>
      <c r="C725" s="3">
        <v>24</v>
      </c>
      <c r="D725" s="3">
        <v>4</v>
      </c>
      <c r="E725" s="3" t="s">
        <v>899</v>
      </c>
      <c r="F725" s="3" t="s">
        <v>903</v>
      </c>
      <c r="G725" s="3" t="s">
        <v>911</v>
      </c>
      <c r="K725">
        <v>27</v>
      </c>
    </row>
    <row r="726" spans="1:11" x14ac:dyDescent="0.25">
      <c r="A726" s="3" t="s">
        <v>248</v>
      </c>
      <c r="B726" s="3">
        <v>48</v>
      </c>
      <c r="C726" s="3">
        <v>2</v>
      </c>
      <c r="D726" s="3">
        <v>3</v>
      </c>
      <c r="E726" s="3" t="s">
        <v>899</v>
      </c>
      <c r="F726" s="3" t="s">
        <v>907</v>
      </c>
      <c r="G726" s="3" t="s">
        <v>891</v>
      </c>
      <c r="K726">
        <v>6</v>
      </c>
    </row>
    <row r="727" spans="1:11" x14ac:dyDescent="0.25">
      <c r="A727" s="3" t="s">
        <v>237</v>
      </c>
      <c r="B727" s="3">
        <v>148</v>
      </c>
      <c r="C727" s="3">
        <v>9</v>
      </c>
      <c r="D727" s="3">
        <v>1</v>
      </c>
      <c r="E727" s="3" t="s">
        <v>889</v>
      </c>
      <c r="F727" s="3" t="s">
        <v>890</v>
      </c>
      <c r="G727" s="3" t="s">
        <v>902</v>
      </c>
      <c r="K727">
        <v>10</v>
      </c>
    </row>
    <row r="728" spans="1:11" x14ac:dyDescent="0.25">
      <c r="A728" s="3" t="s">
        <v>686</v>
      </c>
      <c r="B728" s="3">
        <v>114</v>
      </c>
      <c r="C728" s="3">
        <v>11</v>
      </c>
      <c r="D728" s="3">
        <v>4</v>
      </c>
      <c r="E728" s="3" t="s">
        <v>899</v>
      </c>
      <c r="F728" s="3" t="s">
        <v>910</v>
      </c>
      <c r="G728" s="3" t="s">
        <v>911</v>
      </c>
      <c r="K728">
        <v>-24</v>
      </c>
    </row>
    <row r="729" spans="1:11" x14ac:dyDescent="0.25">
      <c r="A729" s="3" t="s">
        <v>189</v>
      </c>
      <c r="B729" s="3">
        <v>92</v>
      </c>
      <c r="C729" s="3">
        <v>42</v>
      </c>
      <c r="D729" s="3">
        <v>2</v>
      </c>
      <c r="E729" s="3" t="s">
        <v>899</v>
      </c>
      <c r="F729" s="3" t="s">
        <v>907</v>
      </c>
      <c r="G729" s="3" t="s">
        <v>891</v>
      </c>
      <c r="K729">
        <v>16</v>
      </c>
    </row>
    <row r="730" spans="1:11" x14ac:dyDescent="0.25">
      <c r="A730" s="3" t="s">
        <v>689</v>
      </c>
      <c r="B730" s="3">
        <v>117</v>
      </c>
      <c r="C730" s="3">
        <v>14</v>
      </c>
      <c r="D730" s="3">
        <v>3</v>
      </c>
      <c r="E730" s="3" t="s">
        <v>899</v>
      </c>
      <c r="F730" s="3" t="s">
        <v>913</v>
      </c>
      <c r="G730" s="3" t="s">
        <v>902</v>
      </c>
      <c r="K730">
        <v>17</v>
      </c>
    </row>
    <row r="731" spans="1:11" x14ac:dyDescent="0.25">
      <c r="A731" s="3" t="s">
        <v>768</v>
      </c>
      <c r="B731" s="3">
        <v>21</v>
      </c>
      <c r="C731" s="3">
        <v>-10</v>
      </c>
      <c r="D731" s="3">
        <v>4</v>
      </c>
      <c r="E731" s="3" t="s">
        <v>899</v>
      </c>
      <c r="F731" s="3" t="s">
        <v>908</v>
      </c>
      <c r="G731" s="3" t="s">
        <v>891</v>
      </c>
      <c r="K731">
        <v>-7</v>
      </c>
    </row>
    <row r="732" spans="1:11" x14ac:dyDescent="0.25">
      <c r="A732" s="3" t="s">
        <v>828</v>
      </c>
      <c r="B732" s="3">
        <v>33</v>
      </c>
      <c r="C732" s="3">
        <v>-10</v>
      </c>
      <c r="D732" s="3">
        <v>6</v>
      </c>
      <c r="E732" s="3" t="s">
        <v>899</v>
      </c>
      <c r="F732" s="3" t="s">
        <v>908</v>
      </c>
      <c r="G732" s="3" t="s">
        <v>902</v>
      </c>
      <c r="K732">
        <v>74</v>
      </c>
    </row>
    <row r="733" spans="1:11" x14ac:dyDescent="0.25">
      <c r="A733" s="3" t="s">
        <v>154</v>
      </c>
      <c r="B733" s="3">
        <v>114</v>
      </c>
      <c r="C733" s="3">
        <v>8</v>
      </c>
      <c r="D733" s="3">
        <v>3</v>
      </c>
      <c r="E733" s="3" t="s">
        <v>889</v>
      </c>
      <c r="F733" s="3" t="s">
        <v>909</v>
      </c>
      <c r="G733" s="3" t="s">
        <v>911</v>
      </c>
      <c r="K733">
        <v>-26</v>
      </c>
    </row>
    <row r="734" spans="1:11" x14ac:dyDescent="0.25">
      <c r="A734" s="3" t="s">
        <v>164</v>
      </c>
      <c r="B734" s="3">
        <v>115</v>
      </c>
      <c r="C734" s="3">
        <v>0</v>
      </c>
      <c r="D734" s="3">
        <v>1</v>
      </c>
      <c r="E734" s="3" t="s">
        <v>889</v>
      </c>
      <c r="F734" s="3" t="s">
        <v>909</v>
      </c>
      <c r="G734" s="3" t="s">
        <v>911</v>
      </c>
      <c r="K734">
        <v>18</v>
      </c>
    </row>
    <row r="735" spans="1:11" x14ac:dyDescent="0.25">
      <c r="A735" s="3" t="s">
        <v>472</v>
      </c>
      <c r="B735" s="3">
        <v>90</v>
      </c>
      <c r="C735" s="3">
        <v>29</v>
      </c>
      <c r="D735" s="3">
        <v>5</v>
      </c>
      <c r="E735" s="3" t="s">
        <v>899</v>
      </c>
      <c r="F735" s="3" t="s">
        <v>910</v>
      </c>
      <c r="G735" s="3" t="s">
        <v>891</v>
      </c>
      <c r="K735">
        <v>-18</v>
      </c>
    </row>
    <row r="736" spans="1:11" x14ac:dyDescent="0.25">
      <c r="A736" s="3" t="s">
        <v>775</v>
      </c>
      <c r="B736" s="3">
        <v>61</v>
      </c>
      <c r="C736" s="3">
        <v>1</v>
      </c>
      <c r="D736" s="3">
        <v>2</v>
      </c>
      <c r="E736" s="3" t="s">
        <v>892</v>
      </c>
      <c r="F736" s="3" t="s">
        <v>912</v>
      </c>
      <c r="G736" s="3" t="s">
        <v>891</v>
      </c>
      <c r="K736">
        <v>-37</v>
      </c>
    </row>
    <row r="737" spans="1:11" x14ac:dyDescent="0.25">
      <c r="A737" s="3" t="s">
        <v>684</v>
      </c>
      <c r="B737" s="3">
        <v>119</v>
      </c>
      <c r="C737" s="3">
        <v>1</v>
      </c>
      <c r="D737" s="3">
        <v>1</v>
      </c>
      <c r="E737" s="3" t="s">
        <v>892</v>
      </c>
      <c r="F737" s="3" t="s">
        <v>893</v>
      </c>
      <c r="G737" s="3" t="s">
        <v>891</v>
      </c>
      <c r="K737">
        <v>14</v>
      </c>
    </row>
    <row r="738" spans="1:11" x14ac:dyDescent="0.25">
      <c r="A738" s="3" t="s">
        <v>230</v>
      </c>
      <c r="B738" s="3">
        <v>117</v>
      </c>
      <c r="C738" s="3">
        <v>36</v>
      </c>
      <c r="D738" s="3">
        <v>2</v>
      </c>
      <c r="E738" s="3" t="s">
        <v>899</v>
      </c>
      <c r="F738" s="3" t="s">
        <v>900</v>
      </c>
      <c r="G738" s="3" t="s">
        <v>911</v>
      </c>
      <c r="K738">
        <v>-4</v>
      </c>
    </row>
    <row r="739" spans="1:11" x14ac:dyDescent="0.25">
      <c r="A739" s="3" t="s">
        <v>633</v>
      </c>
      <c r="B739" s="3">
        <v>148</v>
      </c>
      <c r="C739" s="3">
        <v>54</v>
      </c>
      <c r="D739" s="3">
        <v>2</v>
      </c>
      <c r="E739" s="3" t="s">
        <v>892</v>
      </c>
      <c r="F739" s="3" t="s">
        <v>893</v>
      </c>
      <c r="G739" s="3" t="s">
        <v>902</v>
      </c>
      <c r="K739">
        <v>139</v>
      </c>
    </row>
    <row r="740" spans="1:11" x14ac:dyDescent="0.25">
      <c r="A740" s="3" t="s">
        <v>399</v>
      </c>
      <c r="B740" s="3">
        <v>249</v>
      </c>
      <c r="C740" s="3">
        <v>-5</v>
      </c>
      <c r="D740" s="3">
        <v>4</v>
      </c>
      <c r="E740" s="3" t="s">
        <v>899</v>
      </c>
      <c r="F740" s="3" t="s">
        <v>901</v>
      </c>
      <c r="G740" s="3" t="s">
        <v>891</v>
      </c>
      <c r="K740">
        <v>18</v>
      </c>
    </row>
    <row r="741" spans="1:11" x14ac:dyDescent="0.25">
      <c r="A741" s="3" t="s">
        <v>232</v>
      </c>
      <c r="B741" s="3">
        <v>147</v>
      </c>
      <c r="C741" s="3">
        <v>73</v>
      </c>
      <c r="D741" s="3">
        <v>3</v>
      </c>
      <c r="E741" s="3" t="s">
        <v>899</v>
      </c>
      <c r="F741" s="3" t="s">
        <v>907</v>
      </c>
      <c r="G741" s="3" t="s">
        <v>902</v>
      </c>
      <c r="K741">
        <v>9</v>
      </c>
    </row>
    <row r="742" spans="1:11" x14ac:dyDescent="0.25">
      <c r="A742" s="3" t="s">
        <v>409</v>
      </c>
      <c r="B742" s="3">
        <v>118</v>
      </c>
      <c r="C742" s="3">
        <v>35</v>
      </c>
      <c r="D742" s="3">
        <v>7</v>
      </c>
      <c r="E742" s="3" t="s">
        <v>899</v>
      </c>
      <c r="F742" s="3" t="s">
        <v>910</v>
      </c>
      <c r="G742" s="3" t="s">
        <v>894</v>
      </c>
      <c r="K742">
        <v>10</v>
      </c>
    </row>
    <row r="743" spans="1:11" x14ac:dyDescent="0.25">
      <c r="A743" s="3" t="s">
        <v>495</v>
      </c>
      <c r="B743" s="3">
        <v>119</v>
      </c>
      <c r="C743" s="3">
        <v>56</v>
      </c>
      <c r="D743" s="3">
        <v>7</v>
      </c>
      <c r="E743" s="3" t="s">
        <v>899</v>
      </c>
      <c r="F743" s="3" t="s">
        <v>901</v>
      </c>
      <c r="G743" s="3" t="s">
        <v>894</v>
      </c>
      <c r="K743">
        <v>4</v>
      </c>
    </row>
    <row r="744" spans="1:11" x14ac:dyDescent="0.25">
      <c r="A744" s="3" t="s">
        <v>606</v>
      </c>
      <c r="B744" s="3">
        <v>90</v>
      </c>
      <c r="C744" s="3">
        <v>27</v>
      </c>
      <c r="D744" s="3">
        <v>2</v>
      </c>
      <c r="E744" s="3" t="s">
        <v>899</v>
      </c>
      <c r="F744" s="3" t="s">
        <v>910</v>
      </c>
      <c r="G744" s="3" t="s">
        <v>891</v>
      </c>
      <c r="K744">
        <v>24</v>
      </c>
    </row>
    <row r="745" spans="1:11" x14ac:dyDescent="0.25">
      <c r="A745" s="3" t="s">
        <v>616</v>
      </c>
      <c r="B745" s="3">
        <v>32</v>
      </c>
      <c r="C745" s="3">
        <v>1</v>
      </c>
      <c r="D745" s="3">
        <v>2</v>
      </c>
      <c r="E745" s="3" t="s">
        <v>899</v>
      </c>
      <c r="F745" s="3" t="s">
        <v>907</v>
      </c>
      <c r="G745" s="3" t="s">
        <v>891</v>
      </c>
      <c r="K745">
        <v>33</v>
      </c>
    </row>
    <row r="746" spans="1:11" x14ac:dyDescent="0.25">
      <c r="A746" s="3" t="s">
        <v>731</v>
      </c>
      <c r="B746" s="3">
        <v>89</v>
      </c>
      <c r="C746" s="3">
        <v>-89</v>
      </c>
      <c r="D746" s="3">
        <v>2</v>
      </c>
      <c r="E746" s="3" t="s">
        <v>892</v>
      </c>
      <c r="F746" s="3" t="s">
        <v>912</v>
      </c>
      <c r="G746" s="3" t="s">
        <v>891</v>
      </c>
      <c r="K746">
        <v>62</v>
      </c>
    </row>
    <row r="747" spans="1:11" x14ac:dyDescent="0.25">
      <c r="A747" s="3" t="s">
        <v>237</v>
      </c>
      <c r="B747" s="3">
        <v>146</v>
      </c>
      <c r="C747" s="3">
        <v>66</v>
      </c>
      <c r="D747" s="3">
        <v>1</v>
      </c>
      <c r="E747" s="3" t="s">
        <v>889</v>
      </c>
      <c r="F747" s="3" t="s">
        <v>898</v>
      </c>
      <c r="G747" s="3" t="s">
        <v>902</v>
      </c>
      <c r="K747">
        <v>-4</v>
      </c>
    </row>
    <row r="748" spans="1:11" x14ac:dyDescent="0.25">
      <c r="A748" s="3" t="s">
        <v>402</v>
      </c>
      <c r="B748" s="3">
        <v>89</v>
      </c>
      <c r="C748" s="3">
        <v>-37</v>
      </c>
      <c r="D748" s="3">
        <v>4</v>
      </c>
      <c r="E748" s="3" t="s">
        <v>899</v>
      </c>
      <c r="F748" s="3" t="s">
        <v>913</v>
      </c>
      <c r="G748" s="3" t="s">
        <v>891</v>
      </c>
      <c r="K748">
        <v>-10</v>
      </c>
    </row>
    <row r="749" spans="1:11" x14ac:dyDescent="0.25">
      <c r="A749" s="3" t="s">
        <v>415</v>
      </c>
      <c r="B749" s="3">
        <v>88</v>
      </c>
      <c r="C749" s="3">
        <v>11</v>
      </c>
      <c r="D749" s="3">
        <v>3</v>
      </c>
      <c r="E749" s="3" t="s">
        <v>889</v>
      </c>
      <c r="F749" s="3" t="s">
        <v>909</v>
      </c>
      <c r="G749" s="3" t="s">
        <v>891</v>
      </c>
      <c r="K749">
        <v>208</v>
      </c>
    </row>
    <row r="750" spans="1:11" x14ac:dyDescent="0.25">
      <c r="A750" s="3" t="s">
        <v>55</v>
      </c>
      <c r="B750" s="3">
        <v>121</v>
      </c>
      <c r="C750" s="3">
        <v>41</v>
      </c>
      <c r="D750" s="3">
        <v>4</v>
      </c>
      <c r="E750" s="3" t="s">
        <v>899</v>
      </c>
      <c r="F750" s="3" t="s">
        <v>907</v>
      </c>
      <c r="G750" s="3" t="s">
        <v>894</v>
      </c>
      <c r="K750">
        <v>-56</v>
      </c>
    </row>
    <row r="751" spans="1:11" x14ac:dyDescent="0.25">
      <c r="A751" s="3" t="s">
        <v>360</v>
      </c>
      <c r="B751" s="3">
        <v>88</v>
      </c>
      <c r="C751" s="3">
        <v>20</v>
      </c>
      <c r="D751" s="3">
        <v>2</v>
      </c>
      <c r="E751" s="3" t="s">
        <v>899</v>
      </c>
      <c r="F751" s="3" t="s">
        <v>901</v>
      </c>
      <c r="G751" s="3" t="s">
        <v>891</v>
      </c>
      <c r="K751">
        <v>16</v>
      </c>
    </row>
    <row r="752" spans="1:11" x14ac:dyDescent="0.25">
      <c r="A752" s="3" t="s">
        <v>381</v>
      </c>
      <c r="B752" s="3">
        <v>87</v>
      </c>
      <c r="C752" s="3">
        <v>-83</v>
      </c>
      <c r="D752" s="3">
        <v>5</v>
      </c>
      <c r="E752" s="3" t="s">
        <v>899</v>
      </c>
      <c r="F752" s="3" t="s">
        <v>904</v>
      </c>
      <c r="G752" s="3" t="s">
        <v>891</v>
      </c>
      <c r="K752">
        <v>3</v>
      </c>
    </row>
    <row r="753" spans="1:11" x14ac:dyDescent="0.25">
      <c r="A753" s="3" t="s">
        <v>732</v>
      </c>
      <c r="B753" s="3">
        <v>87</v>
      </c>
      <c r="C753" s="3">
        <v>4</v>
      </c>
      <c r="D753" s="3">
        <v>2</v>
      </c>
      <c r="E753" s="3" t="s">
        <v>899</v>
      </c>
      <c r="F753" s="3" t="s">
        <v>913</v>
      </c>
      <c r="G753" s="3" t="s">
        <v>891</v>
      </c>
      <c r="K753">
        <v>46</v>
      </c>
    </row>
    <row r="754" spans="1:11" x14ac:dyDescent="0.25">
      <c r="A754" s="3" t="s">
        <v>675</v>
      </c>
      <c r="B754" s="3">
        <v>122</v>
      </c>
      <c r="C754" s="3">
        <v>15</v>
      </c>
      <c r="D754" s="3">
        <v>3</v>
      </c>
      <c r="E754" s="3" t="s">
        <v>889</v>
      </c>
      <c r="F754" s="3" t="s">
        <v>909</v>
      </c>
      <c r="G754" s="3" t="s">
        <v>894</v>
      </c>
      <c r="K754">
        <v>-13</v>
      </c>
    </row>
    <row r="755" spans="1:11" x14ac:dyDescent="0.25">
      <c r="A755" s="3" t="s">
        <v>734</v>
      </c>
      <c r="B755" s="3">
        <v>87</v>
      </c>
      <c r="C755" s="3">
        <v>10</v>
      </c>
      <c r="D755" s="3">
        <v>3</v>
      </c>
      <c r="E755" s="3" t="s">
        <v>899</v>
      </c>
      <c r="F755" s="3" t="s">
        <v>907</v>
      </c>
      <c r="G755" s="3" t="s">
        <v>891</v>
      </c>
      <c r="K755">
        <v>63</v>
      </c>
    </row>
    <row r="756" spans="1:11" x14ac:dyDescent="0.25">
      <c r="A756" s="3" t="s">
        <v>792</v>
      </c>
      <c r="B756" s="3">
        <v>53</v>
      </c>
      <c r="C756" s="3">
        <v>8</v>
      </c>
      <c r="D756" s="3">
        <v>3</v>
      </c>
      <c r="E756" s="3" t="s">
        <v>892</v>
      </c>
      <c r="F756" s="3" t="s">
        <v>912</v>
      </c>
      <c r="G756" s="3" t="s">
        <v>902</v>
      </c>
      <c r="K756">
        <v>12</v>
      </c>
    </row>
    <row r="757" spans="1:11" x14ac:dyDescent="0.25">
      <c r="A757" s="3" t="s">
        <v>221</v>
      </c>
      <c r="B757" s="3">
        <v>87</v>
      </c>
      <c r="C757" s="3">
        <v>-32</v>
      </c>
      <c r="D757" s="3">
        <v>9</v>
      </c>
      <c r="E757" s="3" t="s">
        <v>899</v>
      </c>
      <c r="F757" s="3" t="s">
        <v>905</v>
      </c>
      <c r="G757" s="3" t="s">
        <v>891</v>
      </c>
      <c r="K757">
        <v>3</v>
      </c>
    </row>
    <row r="758" spans="1:11" x14ac:dyDescent="0.25">
      <c r="A758" s="3" t="s">
        <v>423</v>
      </c>
      <c r="B758" s="3">
        <v>86</v>
      </c>
      <c r="C758" s="3">
        <v>-55</v>
      </c>
      <c r="D758" s="3">
        <v>6</v>
      </c>
      <c r="E758" s="3" t="s">
        <v>899</v>
      </c>
      <c r="F758" s="3" t="s">
        <v>901</v>
      </c>
      <c r="G758" s="3" t="s">
        <v>891</v>
      </c>
      <c r="K758">
        <v>-67</v>
      </c>
    </row>
    <row r="759" spans="1:11" x14ac:dyDescent="0.25">
      <c r="A759" s="3" t="s">
        <v>411</v>
      </c>
      <c r="B759" s="3">
        <v>125</v>
      </c>
      <c r="C759" s="3">
        <v>22</v>
      </c>
      <c r="D759" s="3">
        <v>3</v>
      </c>
      <c r="E759" s="3" t="s">
        <v>899</v>
      </c>
      <c r="F759" s="3" t="s">
        <v>907</v>
      </c>
      <c r="G759" s="3" t="s">
        <v>894</v>
      </c>
      <c r="K759">
        <v>-43</v>
      </c>
    </row>
    <row r="760" spans="1:11" x14ac:dyDescent="0.25">
      <c r="A760" s="3" t="s">
        <v>371</v>
      </c>
      <c r="B760" s="3">
        <v>128</v>
      </c>
      <c r="C760" s="3">
        <v>-3</v>
      </c>
      <c r="D760" s="3">
        <v>3</v>
      </c>
      <c r="E760" s="3" t="s">
        <v>899</v>
      </c>
      <c r="F760" s="3" t="s">
        <v>901</v>
      </c>
      <c r="G760" s="3" t="s">
        <v>911</v>
      </c>
      <c r="K760">
        <v>21</v>
      </c>
    </row>
    <row r="761" spans="1:11" x14ac:dyDescent="0.25">
      <c r="A761" s="3" t="s">
        <v>387</v>
      </c>
      <c r="B761" s="3">
        <v>143</v>
      </c>
      <c r="C761" s="3">
        <v>-124</v>
      </c>
      <c r="D761" s="3">
        <v>5</v>
      </c>
      <c r="E761" s="3" t="s">
        <v>899</v>
      </c>
      <c r="F761" s="3" t="s">
        <v>901</v>
      </c>
      <c r="G761" s="3" t="s">
        <v>902</v>
      </c>
      <c r="K761">
        <v>-22</v>
      </c>
    </row>
    <row r="762" spans="1:11" x14ac:dyDescent="0.25">
      <c r="A762" s="3" t="s">
        <v>121</v>
      </c>
      <c r="B762" s="3">
        <v>86</v>
      </c>
      <c r="C762" s="3">
        <v>22</v>
      </c>
      <c r="D762" s="3">
        <v>2</v>
      </c>
      <c r="E762" s="3" t="s">
        <v>899</v>
      </c>
      <c r="F762" s="3" t="s">
        <v>901</v>
      </c>
      <c r="G762" s="3" t="s">
        <v>891</v>
      </c>
      <c r="K762">
        <v>-12</v>
      </c>
    </row>
    <row r="763" spans="1:11" x14ac:dyDescent="0.25">
      <c r="A763" s="3" t="s">
        <v>738</v>
      </c>
      <c r="B763" s="3">
        <v>86</v>
      </c>
      <c r="C763" s="3">
        <v>9</v>
      </c>
      <c r="D763" s="3">
        <v>3</v>
      </c>
      <c r="E763" s="3" t="s">
        <v>899</v>
      </c>
      <c r="F763" s="3" t="s">
        <v>901</v>
      </c>
      <c r="G763" s="3" t="s">
        <v>891</v>
      </c>
      <c r="K763">
        <v>-27</v>
      </c>
    </row>
    <row r="764" spans="1:11" x14ac:dyDescent="0.25">
      <c r="A764" s="3" t="s">
        <v>530</v>
      </c>
      <c r="B764" s="3">
        <v>85</v>
      </c>
      <c r="C764" s="3">
        <v>-9</v>
      </c>
      <c r="D764" s="3">
        <v>4</v>
      </c>
      <c r="E764" s="3" t="s">
        <v>899</v>
      </c>
      <c r="F764" s="3" t="s">
        <v>901</v>
      </c>
      <c r="G764" s="3" t="s">
        <v>891</v>
      </c>
      <c r="K764">
        <v>8</v>
      </c>
    </row>
    <row r="765" spans="1:11" x14ac:dyDescent="0.25">
      <c r="A765" s="3" t="s">
        <v>663</v>
      </c>
      <c r="B765" s="3">
        <v>129</v>
      </c>
      <c r="C765" s="3">
        <v>-75</v>
      </c>
      <c r="D765" s="3">
        <v>5</v>
      </c>
      <c r="E765" s="3" t="s">
        <v>899</v>
      </c>
      <c r="F765" s="3" t="s">
        <v>913</v>
      </c>
      <c r="G765" s="3" t="s">
        <v>911</v>
      </c>
      <c r="K765">
        <v>55</v>
      </c>
    </row>
    <row r="766" spans="1:11" x14ac:dyDescent="0.25">
      <c r="A766" s="3" t="s">
        <v>593</v>
      </c>
      <c r="B766" s="3">
        <v>84</v>
      </c>
      <c r="C766" s="3">
        <v>-42</v>
      </c>
      <c r="D766" s="3">
        <v>2</v>
      </c>
      <c r="E766" s="3" t="s">
        <v>889</v>
      </c>
      <c r="F766" s="3" t="s">
        <v>909</v>
      </c>
      <c r="G766" s="3" t="s">
        <v>891</v>
      </c>
      <c r="K766">
        <v>13</v>
      </c>
    </row>
    <row r="767" spans="1:11" x14ac:dyDescent="0.25">
      <c r="A767" s="3" t="s">
        <v>183</v>
      </c>
      <c r="B767" s="3">
        <v>83</v>
      </c>
      <c r="C767" s="3">
        <v>-81</v>
      </c>
      <c r="D767" s="3">
        <v>3</v>
      </c>
      <c r="E767" s="3" t="s">
        <v>892</v>
      </c>
      <c r="F767" s="3" t="s">
        <v>893</v>
      </c>
      <c r="G767" s="3" t="s">
        <v>891</v>
      </c>
      <c r="K767">
        <v>14</v>
      </c>
    </row>
    <row r="768" spans="1:11" x14ac:dyDescent="0.25">
      <c r="A768" s="3" t="s">
        <v>640</v>
      </c>
      <c r="B768" s="3">
        <v>143</v>
      </c>
      <c r="C768" s="3">
        <v>6</v>
      </c>
      <c r="D768" s="3">
        <v>2</v>
      </c>
      <c r="E768" s="3" t="s">
        <v>889</v>
      </c>
      <c r="F768" s="3" t="s">
        <v>909</v>
      </c>
      <c r="G768" s="3" t="s">
        <v>902</v>
      </c>
      <c r="K768">
        <v>1</v>
      </c>
    </row>
    <row r="769" spans="1:11" x14ac:dyDescent="0.25">
      <c r="A769" s="3" t="s">
        <v>470</v>
      </c>
      <c r="B769" s="3">
        <v>336</v>
      </c>
      <c r="C769" s="3">
        <v>123</v>
      </c>
      <c r="D769" s="3">
        <v>3</v>
      </c>
      <c r="E769" s="3" t="s">
        <v>889</v>
      </c>
      <c r="F769" s="3" t="s">
        <v>898</v>
      </c>
      <c r="G769" s="3" t="s">
        <v>902</v>
      </c>
      <c r="K769">
        <v>10</v>
      </c>
    </row>
    <row r="770" spans="1:11" x14ac:dyDescent="0.25">
      <c r="A770" s="3" t="s">
        <v>89</v>
      </c>
      <c r="B770" s="3">
        <v>323</v>
      </c>
      <c r="C770" s="3">
        <v>122</v>
      </c>
      <c r="D770" s="3">
        <v>5</v>
      </c>
      <c r="E770" s="3" t="s">
        <v>889</v>
      </c>
      <c r="F770" s="3" t="s">
        <v>898</v>
      </c>
      <c r="G770" s="3" t="s">
        <v>902</v>
      </c>
      <c r="K770">
        <v>56</v>
      </c>
    </row>
    <row r="771" spans="1:11" x14ac:dyDescent="0.25">
      <c r="A771" s="3" t="s">
        <v>662</v>
      </c>
      <c r="B771" s="3">
        <v>130</v>
      </c>
      <c r="C771" s="3">
        <v>61</v>
      </c>
      <c r="D771" s="3">
        <v>3</v>
      </c>
      <c r="E771" s="3" t="s">
        <v>899</v>
      </c>
      <c r="F771" s="3" t="s">
        <v>913</v>
      </c>
      <c r="G771" s="3" t="s">
        <v>911</v>
      </c>
      <c r="K771">
        <v>-8</v>
      </c>
    </row>
    <row r="772" spans="1:11" x14ac:dyDescent="0.25">
      <c r="A772" s="3" t="s">
        <v>271</v>
      </c>
      <c r="B772" s="3">
        <v>152</v>
      </c>
      <c r="C772" s="3">
        <v>-3</v>
      </c>
      <c r="D772" s="3">
        <v>5</v>
      </c>
      <c r="E772" s="3" t="s">
        <v>899</v>
      </c>
      <c r="F772" s="3" t="s">
        <v>901</v>
      </c>
      <c r="G772" s="3" t="s">
        <v>891</v>
      </c>
      <c r="K772">
        <v>136</v>
      </c>
    </row>
    <row r="773" spans="1:11" x14ac:dyDescent="0.25">
      <c r="A773" s="3" t="s">
        <v>675</v>
      </c>
      <c r="B773" s="3">
        <v>25</v>
      </c>
      <c r="C773" s="3">
        <v>10</v>
      </c>
      <c r="D773" s="3">
        <v>1</v>
      </c>
      <c r="E773" s="3" t="s">
        <v>892</v>
      </c>
      <c r="F773" s="3" t="s">
        <v>912</v>
      </c>
      <c r="G773" s="3" t="s">
        <v>902</v>
      </c>
      <c r="K773">
        <v>-34</v>
      </c>
    </row>
    <row r="774" spans="1:11" x14ac:dyDescent="0.25">
      <c r="A774" s="3" t="s">
        <v>290</v>
      </c>
      <c r="B774" s="3">
        <v>140</v>
      </c>
      <c r="C774" s="3">
        <v>15</v>
      </c>
      <c r="D774" s="3">
        <v>5</v>
      </c>
      <c r="E774" s="3" t="s">
        <v>899</v>
      </c>
      <c r="F774" s="3" t="s">
        <v>907</v>
      </c>
      <c r="G774" s="3" t="s">
        <v>902</v>
      </c>
      <c r="K774">
        <v>10</v>
      </c>
    </row>
    <row r="775" spans="1:11" x14ac:dyDescent="0.25">
      <c r="A775" s="3" t="s">
        <v>526</v>
      </c>
      <c r="B775" s="3">
        <v>45</v>
      </c>
      <c r="C775" s="3">
        <v>0</v>
      </c>
      <c r="D775" s="3">
        <v>2</v>
      </c>
      <c r="E775" s="3" t="s">
        <v>899</v>
      </c>
      <c r="F775" s="3" t="s">
        <v>907</v>
      </c>
      <c r="G775" s="3" t="s">
        <v>902</v>
      </c>
      <c r="K775">
        <v>9</v>
      </c>
    </row>
    <row r="776" spans="1:11" x14ac:dyDescent="0.25">
      <c r="A776" s="3" t="s">
        <v>311</v>
      </c>
      <c r="B776" s="3">
        <v>132</v>
      </c>
      <c r="C776" s="3">
        <v>49</v>
      </c>
      <c r="D776" s="3">
        <v>3</v>
      </c>
      <c r="E776" s="3" t="s">
        <v>899</v>
      </c>
      <c r="F776" s="3" t="s">
        <v>913</v>
      </c>
      <c r="G776" s="3" t="s">
        <v>891</v>
      </c>
      <c r="K776">
        <v>6</v>
      </c>
    </row>
    <row r="777" spans="1:11" x14ac:dyDescent="0.25">
      <c r="A777" s="3" t="s">
        <v>643</v>
      </c>
      <c r="B777" s="3">
        <v>133</v>
      </c>
      <c r="C777" s="3">
        <v>12</v>
      </c>
      <c r="D777" s="3">
        <v>5</v>
      </c>
      <c r="E777" s="3" t="s">
        <v>899</v>
      </c>
      <c r="F777" s="3" t="s">
        <v>907</v>
      </c>
      <c r="G777" s="3" t="s">
        <v>911</v>
      </c>
      <c r="K777">
        <v>-12</v>
      </c>
    </row>
    <row r="778" spans="1:11" x14ac:dyDescent="0.25">
      <c r="A778" s="3" t="s">
        <v>36</v>
      </c>
      <c r="B778" s="3">
        <v>82</v>
      </c>
      <c r="C778" s="3">
        <v>13</v>
      </c>
      <c r="D778" s="3">
        <v>2</v>
      </c>
      <c r="E778" s="3" t="s">
        <v>899</v>
      </c>
      <c r="F778" s="3" t="s">
        <v>913</v>
      </c>
      <c r="G778" s="3" t="s">
        <v>891</v>
      </c>
      <c r="K778">
        <v>3</v>
      </c>
    </row>
    <row r="779" spans="1:11" x14ac:dyDescent="0.25">
      <c r="A779" s="3" t="s">
        <v>415</v>
      </c>
      <c r="B779" s="3">
        <v>140</v>
      </c>
      <c r="C779" s="3">
        <v>56</v>
      </c>
      <c r="D779" s="3">
        <v>4</v>
      </c>
      <c r="E779" s="3" t="s">
        <v>899</v>
      </c>
      <c r="F779" s="3" t="s">
        <v>913</v>
      </c>
      <c r="G779" s="3" t="s">
        <v>902</v>
      </c>
      <c r="K779">
        <v>6</v>
      </c>
    </row>
    <row r="780" spans="1:11" x14ac:dyDescent="0.25">
      <c r="A780" s="3" t="s">
        <v>218</v>
      </c>
      <c r="B780" s="3">
        <v>81</v>
      </c>
      <c r="C780" s="3">
        <v>19</v>
      </c>
      <c r="D780" s="3">
        <v>7</v>
      </c>
      <c r="E780" s="3" t="s">
        <v>899</v>
      </c>
      <c r="F780" s="3" t="s">
        <v>903</v>
      </c>
      <c r="G780" s="3" t="s">
        <v>891</v>
      </c>
      <c r="K780">
        <v>77</v>
      </c>
    </row>
    <row r="781" spans="1:11" x14ac:dyDescent="0.25">
      <c r="A781" s="3" t="s">
        <v>110</v>
      </c>
      <c r="B781" s="3">
        <v>137</v>
      </c>
      <c r="C781" s="3">
        <v>38</v>
      </c>
      <c r="D781" s="3">
        <v>5</v>
      </c>
      <c r="E781" s="3" t="s">
        <v>899</v>
      </c>
      <c r="F781" s="3" t="s">
        <v>903</v>
      </c>
      <c r="G781" s="3" t="s">
        <v>911</v>
      </c>
      <c r="K781">
        <v>10</v>
      </c>
    </row>
    <row r="782" spans="1:11" x14ac:dyDescent="0.25">
      <c r="A782" s="3" t="s">
        <v>653</v>
      </c>
      <c r="B782" s="3">
        <v>137</v>
      </c>
      <c r="C782" s="3">
        <v>-41</v>
      </c>
      <c r="D782" s="3">
        <v>3</v>
      </c>
      <c r="E782" s="3" t="s">
        <v>889</v>
      </c>
      <c r="F782" s="3" t="s">
        <v>898</v>
      </c>
      <c r="G782" s="3" t="s">
        <v>911</v>
      </c>
      <c r="K782">
        <v>68</v>
      </c>
    </row>
    <row r="783" spans="1:11" x14ac:dyDescent="0.25">
      <c r="A783" s="3" t="s">
        <v>625</v>
      </c>
      <c r="B783" s="3">
        <v>140</v>
      </c>
      <c r="C783" s="3">
        <v>57</v>
      </c>
      <c r="D783" s="3">
        <v>2</v>
      </c>
      <c r="E783" s="3" t="s">
        <v>899</v>
      </c>
      <c r="F783" s="3" t="s">
        <v>900</v>
      </c>
      <c r="G783" s="3" t="s">
        <v>911</v>
      </c>
      <c r="K783">
        <v>0</v>
      </c>
    </row>
    <row r="784" spans="1:11" x14ac:dyDescent="0.25">
      <c r="A784" s="3" t="s">
        <v>651</v>
      </c>
      <c r="B784" s="3">
        <v>139</v>
      </c>
      <c r="C784" s="3">
        <v>30</v>
      </c>
      <c r="D784" s="3">
        <v>3</v>
      </c>
      <c r="E784" s="3" t="s">
        <v>899</v>
      </c>
      <c r="F784" s="3" t="s">
        <v>913</v>
      </c>
      <c r="G784" s="3" t="s">
        <v>902</v>
      </c>
      <c r="K784">
        <v>63</v>
      </c>
    </row>
    <row r="785" spans="1:11" x14ac:dyDescent="0.25">
      <c r="A785" s="3" t="s">
        <v>360</v>
      </c>
      <c r="B785" s="3">
        <v>138</v>
      </c>
      <c r="C785" s="3">
        <v>11</v>
      </c>
      <c r="D785" s="3">
        <v>5</v>
      </c>
      <c r="E785" s="3" t="s">
        <v>899</v>
      </c>
      <c r="F785" s="3" t="s">
        <v>907</v>
      </c>
      <c r="G785" s="3" t="s">
        <v>902</v>
      </c>
      <c r="K785">
        <v>-44</v>
      </c>
    </row>
    <row r="786" spans="1:11" x14ac:dyDescent="0.25">
      <c r="A786" s="3" t="s">
        <v>747</v>
      </c>
      <c r="B786" s="3">
        <v>79</v>
      </c>
      <c r="C786" s="3">
        <v>-124</v>
      </c>
      <c r="D786" s="3">
        <v>9</v>
      </c>
      <c r="E786" s="3" t="s">
        <v>899</v>
      </c>
      <c r="F786" s="3" t="s">
        <v>905</v>
      </c>
      <c r="G786" s="3" t="s">
        <v>891</v>
      </c>
      <c r="K786">
        <v>-33</v>
      </c>
    </row>
    <row r="787" spans="1:11" x14ac:dyDescent="0.25">
      <c r="A787" s="3" t="s">
        <v>405</v>
      </c>
      <c r="B787" s="3">
        <v>136</v>
      </c>
      <c r="C787" s="3">
        <v>41</v>
      </c>
      <c r="D787" s="3">
        <v>3</v>
      </c>
      <c r="E787" s="3" t="s">
        <v>889</v>
      </c>
      <c r="F787" s="3" t="s">
        <v>909</v>
      </c>
      <c r="G787" s="3" t="s">
        <v>902</v>
      </c>
      <c r="K787">
        <v>0</v>
      </c>
    </row>
    <row r="788" spans="1:11" x14ac:dyDescent="0.25">
      <c r="A788" s="3" t="s">
        <v>640</v>
      </c>
      <c r="B788" s="3">
        <v>145</v>
      </c>
      <c r="C788" s="3">
        <v>16</v>
      </c>
      <c r="D788" s="3">
        <v>3</v>
      </c>
      <c r="E788" s="3" t="s">
        <v>899</v>
      </c>
      <c r="F788" s="3" t="s">
        <v>910</v>
      </c>
      <c r="G788" s="3" t="s">
        <v>911</v>
      </c>
      <c r="K788">
        <v>9</v>
      </c>
    </row>
    <row r="789" spans="1:11" x14ac:dyDescent="0.25">
      <c r="A789" s="3" t="s">
        <v>362</v>
      </c>
      <c r="B789" s="3">
        <v>44</v>
      </c>
      <c r="C789" s="3">
        <v>20</v>
      </c>
      <c r="D789" s="3">
        <v>2</v>
      </c>
      <c r="E789" s="3" t="s">
        <v>899</v>
      </c>
      <c r="F789" s="3" t="s">
        <v>910</v>
      </c>
      <c r="G789" s="3" t="s">
        <v>902</v>
      </c>
      <c r="K789">
        <v>-113</v>
      </c>
    </row>
    <row r="790" spans="1:11" x14ac:dyDescent="0.25">
      <c r="A790" s="3" t="s">
        <v>77</v>
      </c>
      <c r="B790" s="3">
        <v>79</v>
      </c>
      <c r="C790" s="3">
        <v>6</v>
      </c>
      <c r="D790" s="3">
        <v>7</v>
      </c>
      <c r="E790" s="3" t="s">
        <v>899</v>
      </c>
      <c r="F790" s="3" t="s">
        <v>901</v>
      </c>
      <c r="G790" s="3" t="s">
        <v>891</v>
      </c>
      <c r="K790">
        <v>-10</v>
      </c>
    </row>
    <row r="791" spans="1:11" x14ac:dyDescent="0.25">
      <c r="A791" s="3" t="s">
        <v>168</v>
      </c>
      <c r="B791" s="3">
        <v>79</v>
      </c>
      <c r="C791" s="3">
        <v>36</v>
      </c>
      <c r="D791" s="3">
        <v>4</v>
      </c>
      <c r="E791" s="3" t="s">
        <v>899</v>
      </c>
      <c r="F791" s="3" t="s">
        <v>913</v>
      </c>
      <c r="G791" s="3" t="s">
        <v>891</v>
      </c>
      <c r="K791">
        <v>-3</v>
      </c>
    </row>
    <row r="792" spans="1:11" x14ac:dyDescent="0.25">
      <c r="A792" s="3" t="s">
        <v>424</v>
      </c>
      <c r="B792" s="3">
        <v>134</v>
      </c>
      <c r="C792" s="3">
        <v>-13</v>
      </c>
      <c r="D792" s="3">
        <v>3</v>
      </c>
      <c r="E792" s="3" t="s">
        <v>889</v>
      </c>
      <c r="F792" s="3" t="s">
        <v>890</v>
      </c>
      <c r="G792" s="3" t="s">
        <v>902</v>
      </c>
      <c r="K792">
        <v>15</v>
      </c>
    </row>
    <row r="793" spans="1:11" x14ac:dyDescent="0.25">
      <c r="A793" s="3" t="s">
        <v>93</v>
      </c>
      <c r="B793" s="3">
        <v>133</v>
      </c>
      <c r="C793" s="3">
        <v>5</v>
      </c>
      <c r="D793" s="3">
        <v>5</v>
      </c>
      <c r="E793" s="3" t="s">
        <v>899</v>
      </c>
      <c r="F793" s="3" t="s">
        <v>907</v>
      </c>
      <c r="G793" s="3" t="s">
        <v>902</v>
      </c>
      <c r="K793">
        <v>-25</v>
      </c>
    </row>
    <row r="794" spans="1:11" x14ac:dyDescent="0.25">
      <c r="A794" s="3" t="s">
        <v>427</v>
      </c>
      <c r="B794" s="3">
        <v>47</v>
      </c>
      <c r="C794" s="3">
        <v>20</v>
      </c>
      <c r="D794" s="3">
        <v>7</v>
      </c>
      <c r="E794" s="3" t="s">
        <v>899</v>
      </c>
      <c r="F794" s="3" t="s">
        <v>903</v>
      </c>
      <c r="G794" s="3" t="s">
        <v>902</v>
      </c>
      <c r="K794">
        <v>6</v>
      </c>
    </row>
    <row r="795" spans="1:11" x14ac:dyDescent="0.25">
      <c r="A795" s="3" t="s">
        <v>519</v>
      </c>
      <c r="B795" s="3">
        <v>133</v>
      </c>
      <c r="C795" s="3">
        <v>-42</v>
      </c>
      <c r="D795" s="3">
        <v>1</v>
      </c>
      <c r="E795" s="3" t="s">
        <v>889</v>
      </c>
      <c r="F795" s="3" t="s">
        <v>896</v>
      </c>
      <c r="G795" s="3" t="s">
        <v>902</v>
      </c>
      <c r="K795">
        <v>0</v>
      </c>
    </row>
    <row r="796" spans="1:11" x14ac:dyDescent="0.25">
      <c r="A796" s="3" t="s">
        <v>749</v>
      </c>
      <c r="B796" s="3">
        <v>78</v>
      </c>
      <c r="C796" s="3">
        <v>27</v>
      </c>
      <c r="D796" s="3">
        <v>3</v>
      </c>
      <c r="E796" s="3" t="s">
        <v>899</v>
      </c>
      <c r="F796" s="3" t="s">
        <v>907</v>
      </c>
      <c r="G796" s="3" t="s">
        <v>891</v>
      </c>
      <c r="K796">
        <v>85</v>
      </c>
    </row>
    <row r="797" spans="1:11" x14ac:dyDescent="0.25">
      <c r="A797" s="3" t="s">
        <v>751</v>
      </c>
      <c r="B797" s="3">
        <v>78</v>
      </c>
      <c r="C797" s="3">
        <v>7</v>
      </c>
      <c r="D797" s="3">
        <v>1</v>
      </c>
      <c r="E797" s="3" t="s">
        <v>892</v>
      </c>
      <c r="F797" s="3" t="s">
        <v>893</v>
      </c>
      <c r="G797" s="3" t="s">
        <v>891</v>
      </c>
      <c r="K797">
        <v>11</v>
      </c>
    </row>
    <row r="798" spans="1:11" x14ac:dyDescent="0.25">
      <c r="A798" s="3" t="s">
        <v>752</v>
      </c>
      <c r="B798" s="3">
        <v>76</v>
      </c>
      <c r="C798" s="3">
        <v>-92</v>
      </c>
      <c r="D798" s="3">
        <v>8</v>
      </c>
      <c r="E798" s="3" t="s">
        <v>892</v>
      </c>
      <c r="F798" s="3" t="s">
        <v>912</v>
      </c>
      <c r="G798" s="3" t="s">
        <v>891</v>
      </c>
      <c r="K798">
        <v>0</v>
      </c>
    </row>
    <row r="799" spans="1:11" x14ac:dyDescent="0.25">
      <c r="A799" s="3" t="s">
        <v>753</v>
      </c>
      <c r="B799" s="3">
        <v>76</v>
      </c>
      <c r="C799" s="3">
        <v>-50</v>
      </c>
      <c r="D799" s="3">
        <v>1</v>
      </c>
      <c r="E799" s="3" t="s">
        <v>899</v>
      </c>
      <c r="F799" s="3" t="s">
        <v>901</v>
      </c>
      <c r="G799" s="3" t="s">
        <v>891</v>
      </c>
      <c r="K799">
        <v>-18</v>
      </c>
    </row>
    <row r="800" spans="1:11" x14ac:dyDescent="0.25">
      <c r="A800" s="3" t="s">
        <v>421</v>
      </c>
      <c r="B800" s="3">
        <v>76</v>
      </c>
      <c r="C800" s="3">
        <v>19</v>
      </c>
      <c r="D800" s="3">
        <v>3</v>
      </c>
      <c r="E800" s="3" t="s">
        <v>899</v>
      </c>
      <c r="F800" s="3" t="s">
        <v>903</v>
      </c>
      <c r="G800" s="3" t="s">
        <v>891</v>
      </c>
      <c r="K800">
        <v>85</v>
      </c>
    </row>
    <row r="801" spans="1:11" x14ac:dyDescent="0.25">
      <c r="A801" s="3" t="s">
        <v>320</v>
      </c>
      <c r="B801" s="3">
        <v>74</v>
      </c>
      <c r="C801" s="3">
        <v>29</v>
      </c>
      <c r="D801" s="3">
        <v>3</v>
      </c>
      <c r="E801" s="3" t="s">
        <v>899</v>
      </c>
      <c r="F801" s="3" t="s">
        <v>907</v>
      </c>
      <c r="G801" s="3" t="s">
        <v>891</v>
      </c>
      <c r="K801">
        <v>131</v>
      </c>
    </row>
    <row r="802" spans="1:11" x14ac:dyDescent="0.25">
      <c r="A802" s="3" t="s">
        <v>758</v>
      </c>
      <c r="B802" s="3">
        <v>74</v>
      </c>
      <c r="C802" s="3">
        <v>-25</v>
      </c>
      <c r="D802" s="3">
        <v>3</v>
      </c>
      <c r="E802" s="3" t="s">
        <v>899</v>
      </c>
      <c r="F802" s="3" t="s">
        <v>907</v>
      </c>
      <c r="G802" s="3" t="s">
        <v>891</v>
      </c>
      <c r="K802">
        <v>-10</v>
      </c>
    </row>
    <row r="803" spans="1:11" x14ac:dyDescent="0.25">
      <c r="A803" s="3" t="s">
        <v>550</v>
      </c>
      <c r="B803" s="3">
        <v>146</v>
      </c>
      <c r="C803" s="3">
        <v>-63</v>
      </c>
      <c r="D803" s="3">
        <v>3</v>
      </c>
      <c r="E803" s="3" t="s">
        <v>889</v>
      </c>
      <c r="F803" s="3" t="s">
        <v>890</v>
      </c>
      <c r="G803" s="3" t="s">
        <v>911</v>
      </c>
      <c r="K803">
        <v>-13</v>
      </c>
    </row>
    <row r="804" spans="1:11" x14ac:dyDescent="0.25">
      <c r="A804" s="3" t="s">
        <v>369</v>
      </c>
      <c r="B804" s="3">
        <v>73</v>
      </c>
      <c r="C804" s="3">
        <v>-31</v>
      </c>
      <c r="D804" s="3">
        <v>1</v>
      </c>
      <c r="E804" s="3" t="s">
        <v>892</v>
      </c>
      <c r="F804" s="3" t="s">
        <v>895</v>
      </c>
      <c r="G804" s="3" t="s">
        <v>891</v>
      </c>
      <c r="K804">
        <v>-53</v>
      </c>
    </row>
    <row r="805" spans="1:11" x14ac:dyDescent="0.25">
      <c r="A805" s="3" t="s">
        <v>138</v>
      </c>
      <c r="B805" s="3">
        <v>80</v>
      </c>
      <c r="C805" s="3">
        <v>22</v>
      </c>
      <c r="D805" s="3">
        <v>3</v>
      </c>
      <c r="E805" s="3" t="s">
        <v>899</v>
      </c>
      <c r="F805" s="3" t="s">
        <v>907</v>
      </c>
      <c r="G805" s="3" t="s">
        <v>902</v>
      </c>
      <c r="K805">
        <v>-19</v>
      </c>
    </row>
    <row r="806" spans="1:11" x14ac:dyDescent="0.25">
      <c r="A806" s="3" t="s">
        <v>418</v>
      </c>
      <c r="B806" s="3">
        <v>133</v>
      </c>
      <c r="C806" s="3">
        <v>46</v>
      </c>
      <c r="D806" s="3">
        <v>5</v>
      </c>
      <c r="E806" s="3" t="s">
        <v>899</v>
      </c>
      <c r="F806" s="3" t="s">
        <v>913</v>
      </c>
      <c r="G806" s="3" t="s">
        <v>894</v>
      </c>
      <c r="K806">
        <v>-10</v>
      </c>
    </row>
    <row r="807" spans="1:11" x14ac:dyDescent="0.25">
      <c r="A807" s="3" t="s">
        <v>637</v>
      </c>
      <c r="B807" s="3">
        <v>146</v>
      </c>
      <c r="C807" s="3">
        <v>7</v>
      </c>
      <c r="D807" s="3">
        <v>2</v>
      </c>
      <c r="E807" s="3" t="s">
        <v>889</v>
      </c>
      <c r="F807" s="3" t="s">
        <v>898</v>
      </c>
      <c r="G807" s="3" t="s">
        <v>911</v>
      </c>
      <c r="K807">
        <v>52</v>
      </c>
    </row>
    <row r="808" spans="1:11" x14ac:dyDescent="0.25">
      <c r="A808" s="3" t="s">
        <v>661</v>
      </c>
      <c r="B808" s="3">
        <v>130</v>
      </c>
      <c r="C808" s="3">
        <v>-41</v>
      </c>
      <c r="D808" s="3">
        <v>4</v>
      </c>
      <c r="E808" s="3" t="s">
        <v>899</v>
      </c>
      <c r="F808" s="3" t="s">
        <v>901</v>
      </c>
      <c r="G808" s="3" t="s">
        <v>894</v>
      </c>
      <c r="K808">
        <v>44</v>
      </c>
    </row>
    <row r="809" spans="1:11" x14ac:dyDescent="0.25">
      <c r="A809" s="3" t="s">
        <v>648</v>
      </c>
      <c r="B809" s="3">
        <v>141</v>
      </c>
      <c r="C809" s="3">
        <v>41</v>
      </c>
      <c r="D809" s="3">
        <v>3</v>
      </c>
      <c r="E809" s="3" t="s">
        <v>899</v>
      </c>
      <c r="F809" s="3" t="s">
        <v>913</v>
      </c>
      <c r="G809" s="3" t="s">
        <v>902</v>
      </c>
      <c r="K809">
        <v>108</v>
      </c>
    </row>
    <row r="810" spans="1:11" x14ac:dyDescent="0.25">
      <c r="A810" s="3" t="s">
        <v>322</v>
      </c>
      <c r="B810" s="3">
        <v>147</v>
      </c>
      <c r="C810" s="3">
        <v>21</v>
      </c>
      <c r="D810" s="3">
        <v>3</v>
      </c>
      <c r="E810" s="3" t="s">
        <v>892</v>
      </c>
      <c r="F810" s="3" t="s">
        <v>912</v>
      </c>
      <c r="G810" s="3" t="s">
        <v>911</v>
      </c>
      <c r="K810">
        <v>2</v>
      </c>
    </row>
    <row r="811" spans="1:11" x14ac:dyDescent="0.25">
      <c r="A811" s="3" t="s">
        <v>154</v>
      </c>
      <c r="B811" s="3">
        <v>73</v>
      </c>
      <c r="C811" s="3">
        <v>-7</v>
      </c>
      <c r="D811" s="3">
        <v>1</v>
      </c>
      <c r="E811" s="3" t="s">
        <v>889</v>
      </c>
      <c r="F811" s="3" t="s">
        <v>898</v>
      </c>
      <c r="G811" s="3" t="s">
        <v>891</v>
      </c>
      <c r="K811">
        <v>3</v>
      </c>
    </row>
    <row r="812" spans="1:11" x14ac:dyDescent="0.25">
      <c r="A812" s="3" t="s">
        <v>631</v>
      </c>
      <c r="B812" s="3">
        <v>148</v>
      </c>
      <c r="C812" s="3">
        <v>72</v>
      </c>
      <c r="D812" s="3">
        <v>7</v>
      </c>
      <c r="E812" s="3" t="s">
        <v>899</v>
      </c>
      <c r="F812" s="3" t="s">
        <v>910</v>
      </c>
      <c r="G812" s="3" t="s">
        <v>911</v>
      </c>
      <c r="K812">
        <v>-3</v>
      </c>
    </row>
    <row r="813" spans="1:11" x14ac:dyDescent="0.25">
      <c r="A813" s="3" t="s">
        <v>776</v>
      </c>
      <c r="B813" s="3">
        <v>58</v>
      </c>
      <c r="C813" s="3">
        <v>0</v>
      </c>
      <c r="D813" s="3">
        <v>4</v>
      </c>
      <c r="E813" s="3" t="s">
        <v>899</v>
      </c>
      <c r="F813" s="3" t="s">
        <v>901</v>
      </c>
      <c r="G813" s="3" t="s">
        <v>902</v>
      </c>
      <c r="K813">
        <v>14</v>
      </c>
    </row>
    <row r="814" spans="1:11" x14ac:dyDescent="0.25">
      <c r="A814" s="3" t="s">
        <v>555</v>
      </c>
      <c r="B814" s="3">
        <v>21</v>
      </c>
      <c r="C814" s="3">
        <v>-13</v>
      </c>
      <c r="D814" s="3">
        <v>3</v>
      </c>
      <c r="E814" s="3" t="s">
        <v>899</v>
      </c>
      <c r="F814" s="3" t="s">
        <v>908</v>
      </c>
      <c r="G814" s="3" t="s">
        <v>902</v>
      </c>
      <c r="K814">
        <v>-24</v>
      </c>
    </row>
    <row r="815" spans="1:11" x14ac:dyDescent="0.25">
      <c r="A815" s="3" t="s">
        <v>28</v>
      </c>
      <c r="B815" s="3">
        <v>148</v>
      </c>
      <c r="C815" s="3">
        <v>25</v>
      </c>
      <c r="D815" s="3">
        <v>3</v>
      </c>
      <c r="E815" s="3" t="s">
        <v>899</v>
      </c>
      <c r="F815" s="3" t="s">
        <v>901</v>
      </c>
      <c r="G815" s="3" t="s">
        <v>911</v>
      </c>
      <c r="K815">
        <v>90</v>
      </c>
    </row>
    <row r="816" spans="1:11" x14ac:dyDescent="0.25">
      <c r="A816" s="3" t="s">
        <v>641</v>
      </c>
      <c r="B816" s="3">
        <v>144</v>
      </c>
      <c r="C816" s="3">
        <v>-7</v>
      </c>
      <c r="D816" s="3">
        <v>4</v>
      </c>
      <c r="E816" s="3" t="s">
        <v>889</v>
      </c>
      <c r="F816" s="3" t="s">
        <v>890</v>
      </c>
      <c r="G816" s="3" t="s">
        <v>891</v>
      </c>
      <c r="K816">
        <v>97</v>
      </c>
    </row>
    <row r="817" spans="1:11" x14ac:dyDescent="0.25">
      <c r="A817" s="3" t="s">
        <v>541</v>
      </c>
      <c r="B817" s="3">
        <v>145</v>
      </c>
      <c r="C817" s="3">
        <v>-104</v>
      </c>
      <c r="D817" s="3">
        <v>5</v>
      </c>
      <c r="E817" s="3" t="s">
        <v>892</v>
      </c>
      <c r="F817" s="3" t="s">
        <v>893</v>
      </c>
      <c r="G817" s="3" t="s">
        <v>902</v>
      </c>
      <c r="K817">
        <v>90</v>
      </c>
    </row>
    <row r="818" spans="1:11" x14ac:dyDescent="0.25">
      <c r="A818" s="3" t="s">
        <v>337</v>
      </c>
      <c r="B818" s="3">
        <v>72</v>
      </c>
      <c r="C818" s="3">
        <v>-49</v>
      </c>
      <c r="D818" s="3">
        <v>1</v>
      </c>
      <c r="E818" s="3" t="s">
        <v>889</v>
      </c>
      <c r="F818" s="3" t="s">
        <v>898</v>
      </c>
      <c r="G818" s="3" t="s">
        <v>891</v>
      </c>
      <c r="K818">
        <v>-10</v>
      </c>
    </row>
    <row r="819" spans="1:11" x14ac:dyDescent="0.25">
      <c r="A819" s="3" t="s">
        <v>91</v>
      </c>
      <c r="B819" s="3">
        <v>125</v>
      </c>
      <c r="C819" s="3">
        <v>15</v>
      </c>
      <c r="D819" s="3">
        <v>5</v>
      </c>
      <c r="E819" s="3" t="s">
        <v>899</v>
      </c>
      <c r="F819" s="3" t="s">
        <v>913</v>
      </c>
      <c r="G819" s="3" t="s">
        <v>894</v>
      </c>
      <c r="K819">
        <v>12</v>
      </c>
    </row>
    <row r="820" spans="1:11" x14ac:dyDescent="0.25">
      <c r="A820" s="3" t="s">
        <v>110</v>
      </c>
      <c r="B820" s="3">
        <v>149</v>
      </c>
      <c r="C820" s="3">
        <v>15</v>
      </c>
      <c r="D820" s="3">
        <v>3</v>
      </c>
      <c r="E820" s="3" t="s">
        <v>899</v>
      </c>
      <c r="F820" s="3" t="s">
        <v>901</v>
      </c>
      <c r="G820" s="3" t="s">
        <v>911</v>
      </c>
      <c r="K820">
        <v>113</v>
      </c>
    </row>
    <row r="821" spans="1:11" x14ac:dyDescent="0.25">
      <c r="A821" s="3" t="s">
        <v>258</v>
      </c>
      <c r="B821" s="3">
        <v>72</v>
      </c>
      <c r="C821" s="3">
        <v>16</v>
      </c>
      <c r="D821" s="3">
        <v>2</v>
      </c>
      <c r="E821" s="3" t="s">
        <v>899</v>
      </c>
      <c r="F821" s="3" t="s">
        <v>913</v>
      </c>
      <c r="G821" s="3" t="s">
        <v>891</v>
      </c>
      <c r="K821">
        <v>4</v>
      </c>
    </row>
    <row r="822" spans="1:11" x14ac:dyDescent="0.25">
      <c r="A822" s="3" t="s">
        <v>59</v>
      </c>
      <c r="B822" s="3">
        <v>71</v>
      </c>
      <c r="C822" s="3">
        <v>0</v>
      </c>
      <c r="D822" s="3">
        <v>8</v>
      </c>
      <c r="E822" s="3" t="s">
        <v>899</v>
      </c>
      <c r="F822" s="3" t="s">
        <v>905</v>
      </c>
      <c r="G822" s="3" t="s">
        <v>891</v>
      </c>
      <c r="K822">
        <v>6</v>
      </c>
    </row>
    <row r="823" spans="1:11" x14ac:dyDescent="0.25">
      <c r="A823" s="3" t="s">
        <v>762</v>
      </c>
      <c r="B823" s="3">
        <v>71</v>
      </c>
      <c r="C823" s="3">
        <v>-14</v>
      </c>
      <c r="D823" s="3">
        <v>4</v>
      </c>
      <c r="E823" s="3" t="s">
        <v>892</v>
      </c>
      <c r="F823" s="3" t="s">
        <v>912</v>
      </c>
      <c r="G823" s="3" t="s">
        <v>891</v>
      </c>
      <c r="K823">
        <v>-1</v>
      </c>
    </row>
    <row r="824" spans="1:11" x14ac:dyDescent="0.25">
      <c r="A824" s="3" t="s">
        <v>150</v>
      </c>
      <c r="B824" s="3">
        <v>154</v>
      </c>
      <c r="C824" s="3">
        <v>-85</v>
      </c>
      <c r="D824" s="3">
        <v>3</v>
      </c>
      <c r="E824" s="3" t="s">
        <v>892</v>
      </c>
      <c r="F824" s="3" t="s">
        <v>893</v>
      </c>
      <c r="G824" s="3" t="s">
        <v>894</v>
      </c>
      <c r="K824">
        <v>-20</v>
      </c>
    </row>
    <row r="825" spans="1:11" x14ac:dyDescent="0.25">
      <c r="A825" s="3" t="s">
        <v>306</v>
      </c>
      <c r="B825" s="3">
        <v>191</v>
      </c>
      <c r="C825" s="3">
        <v>13</v>
      </c>
      <c r="D825" s="3">
        <v>8</v>
      </c>
      <c r="E825" s="3" t="s">
        <v>892</v>
      </c>
      <c r="F825" s="3" t="s">
        <v>912</v>
      </c>
      <c r="G825" s="3" t="s">
        <v>891</v>
      </c>
      <c r="K825">
        <v>5</v>
      </c>
    </row>
    <row r="826" spans="1:11" x14ac:dyDescent="0.25">
      <c r="A826" s="3" t="s">
        <v>593</v>
      </c>
      <c r="B826" s="3">
        <v>170</v>
      </c>
      <c r="C826" s="3">
        <v>19</v>
      </c>
      <c r="D826" s="3">
        <v>5</v>
      </c>
      <c r="E826" s="3" t="s">
        <v>899</v>
      </c>
      <c r="F826" s="3" t="s">
        <v>910</v>
      </c>
      <c r="G826" s="3" t="s">
        <v>902</v>
      </c>
      <c r="K826">
        <v>4</v>
      </c>
    </row>
    <row r="827" spans="1:11" x14ac:dyDescent="0.25">
      <c r="A827" s="3" t="s">
        <v>73</v>
      </c>
      <c r="B827" s="3">
        <v>47</v>
      </c>
      <c r="C827" s="3">
        <v>-3</v>
      </c>
      <c r="D827" s="3">
        <v>2</v>
      </c>
      <c r="E827" s="3" t="s">
        <v>899</v>
      </c>
      <c r="F827" s="3" t="s">
        <v>907</v>
      </c>
      <c r="G827" s="3" t="s">
        <v>902</v>
      </c>
      <c r="K827">
        <v>-349</v>
      </c>
    </row>
    <row r="828" spans="1:11" x14ac:dyDescent="0.25">
      <c r="A828" s="3" t="s">
        <v>491</v>
      </c>
      <c r="B828" s="3">
        <v>122</v>
      </c>
      <c r="C828" s="3">
        <v>-47</v>
      </c>
      <c r="D828" s="3">
        <v>4</v>
      </c>
      <c r="E828" s="3" t="s">
        <v>899</v>
      </c>
      <c r="F828" s="3" t="s">
        <v>901</v>
      </c>
      <c r="G828" s="3" t="s">
        <v>894</v>
      </c>
      <c r="K828">
        <v>9</v>
      </c>
    </row>
    <row r="829" spans="1:11" x14ac:dyDescent="0.25">
      <c r="A829" s="3" t="s">
        <v>218</v>
      </c>
      <c r="B829" s="3">
        <v>70</v>
      </c>
      <c r="C829" s="3">
        <v>26</v>
      </c>
      <c r="D829" s="3">
        <v>5</v>
      </c>
      <c r="E829" s="3" t="s">
        <v>899</v>
      </c>
      <c r="F829" s="3" t="s">
        <v>903</v>
      </c>
      <c r="G829" s="3" t="s">
        <v>891</v>
      </c>
      <c r="K829">
        <v>-6</v>
      </c>
    </row>
    <row r="830" spans="1:11" x14ac:dyDescent="0.25">
      <c r="A830" s="3" t="s">
        <v>616</v>
      </c>
      <c r="B830" s="3">
        <v>155</v>
      </c>
      <c r="C830" s="3">
        <v>5</v>
      </c>
      <c r="D830" s="3">
        <v>3</v>
      </c>
      <c r="E830" s="3" t="s">
        <v>899</v>
      </c>
      <c r="F830" s="3" t="s">
        <v>907</v>
      </c>
      <c r="G830" s="3" t="s">
        <v>894</v>
      </c>
      <c r="K830">
        <v>110</v>
      </c>
    </row>
    <row r="831" spans="1:11" x14ac:dyDescent="0.25">
      <c r="A831" s="3" t="s">
        <v>492</v>
      </c>
      <c r="B831" s="3">
        <v>67</v>
      </c>
      <c r="C831" s="3">
        <v>-86</v>
      </c>
      <c r="D831" s="3">
        <v>9</v>
      </c>
      <c r="E831" s="3" t="s">
        <v>892</v>
      </c>
      <c r="F831" s="3" t="s">
        <v>912</v>
      </c>
      <c r="G831" s="3" t="s">
        <v>891</v>
      </c>
      <c r="K831">
        <v>-25</v>
      </c>
    </row>
    <row r="832" spans="1:11" x14ac:dyDescent="0.25">
      <c r="A832" s="3" t="s">
        <v>154</v>
      </c>
      <c r="B832" s="3">
        <v>67</v>
      </c>
      <c r="C832" s="3">
        <v>-42</v>
      </c>
      <c r="D832" s="3">
        <v>3</v>
      </c>
      <c r="E832" s="3" t="s">
        <v>899</v>
      </c>
      <c r="F832" s="3" t="s">
        <v>907</v>
      </c>
      <c r="G832" s="3" t="s">
        <v>891</v>
      </c>
      <c r="K832">
        <v>2</v>
      </c>
    </row>
    <row r="833" spans="1:11" x14ac:dyDescent="0.25">
      <c r="A833" s="3" t="s">
        <v>83</v>
      </c>
      <c r="B833" s="3">
        <v>148</v>
      </c>
      <c r="C833" s="3">
        <v>-101</v>
      </c>
      <c r="D833" s="3">
        <v>2</v>
      </c>
      <c r="E833" s="3" t="s">
        <v>892</v>
      </c>
      <c r="F833" s="3" t="s">
        <v>895</v>
      </c>
      <c r="G833" s="3" t="s">
        <v>902</v>
      </c>
      <c r="K833">
        <v>9</v>
      </c>
    </row>
    <row r="834" spans="1:11" x14ac:dyDescent="0.25">
      <c r="A834" s="3" t="s">
        <v>678</v>
      </c>
      <c r="B834" s="3">
        <v>122</v>
      </c>
      <c r="C834" s="3">
        <v>38</v>
      </c>
      <c r="D834" s="3">
        <v>6</v>
      </c>
      <c r="E834" s="3" t="s">
        <v>899</v>
      </c>
      <c r="F834" s="3" t="s">
        <v>910</v>
      </c>
      <c r="G834" s="3" t="s">
        <v>897</v>
      </c>
      <c r="K834">
        <v>93</v>
      </c>
    </row>
    <row r="835" spans="1:11" x14ac:dyDescent="0.25">
      <c r="A835" s="3" t="s">
        <v>867</v>
      </c>
      <c r="B835" s="3">
        <v>16</v>
      </c>
      <c r="C835" s="3">
        <v>-5</v>
      </c>
      <c r="D835" s="3">
        <v>2</v>
      </c>
      <c r="E835" s="3" t="s">
        <v>899</v>
      </c>
      <c r="F835" s="3" t="s">
        <v>907</v>
      </c>
      <c r="G835" s="3" t="s">
        <v>902</v>
      </c>
      <c r="K835">
        <v>7</v>
      </c>
    </row>
    <row r="836" spans="1:11" x14ac:dyDescent="0.25">
      <c r="A836" s="3" t="s">
        <v>416</v>
      </c>
      <c r="B836" s="3">
        <v>121</v>
      </c>
      <c r="C836" s="3">
        <v>-17</v>
      </c>
      <c r="D836" s="3">
        <v>3</v>
      </c>
      <c r="E836" s="3" t="s">
        <v>892</v>
      </c>
      <c r="F836" s="3" t="s">
        <v>912</v>
      </c>
      <c r="G836" s="3" t="s">
        <v>897</v>
      </c>
      <c r="K836">
        <v>12</v>
      </c>
    </row>
    <row r="837" spans="1:11" x14ac:dyDescent="0.25">
      <c r="A837" s="3" t="s">
        <v>369</v>
      </c>
      <c r="B837" s="3">
        <v>42</v>
      </c>
      <c r="C837" s="3">
        <v>-15</v>
      </c>
      <c r="D837" s="3">
        <v>12</v>
      </c>
      <c r="E837" s="3" t="s">
        <v>899</v>
      </c>
      <c r="F837" s="3" t="s">
        <v>905</v>
      </c>
      <c r="G837" s="3" t="s">
        <v>902</v>
      </c>
      <c r="K837">
        <v>-24</v>
      </c>
    </row>
    <row r="838" spans="1:11" x14ac:dyDescent="0.25">
      <c r="A838" s="3" t="s">
        <v>375</v>
      </c>
      <c r="B838" s="3">
        <v>65</v>
      </c>
      <c r="C838" s="3">
        <v>-4</v>
      </c>
      <c r="D838" s="3">
        <v>6</v>
      </c>
      <c r="E838" s="3" t="s">
        <v>899</v>
      </c>
      <c r="F838" s="3" t="s">
        <v>903</v>
      </c>
      <c r="G838" s="3" t="s">
        <v>891</v>
      </c>
      <c r="K838">
        <v>7</v>
      </c>
    </row>
    <row r="839" spans="1:11" x14ac:dyDescent="0.25">
      <c r="A839" s="3" t="s">
        <v>686</v>
      </c>
      <c r="B839" s="3">
        <v>119</v>
      </c>
      <c r="C839" s="3">
        <v>-43</v>
      </c>
      <c r="D839" s="3">
        <v>7</v>
      </c>
      <c r="E839" s="3" t="s">
        <v>899</v>
      </c>
      <c r="F839" s="3" t="s">
        <v>904</v>
      </c>
      <c r="G839" s="3" t="s">
        <v>897</v>
      </c>
      <c r="K839">
        <v>-2</v>
      </c>
    </row>
    <row r="840" spans="1:11" x14ac:dyDescent="0.25">
      <c r="A840" s="3" t="s">
        <v>423</v>
      </c>
      <c r="B840" s="3">
        <v>155</v>
      </c>
      <c r="C840" s="3">
        <v>56</v>
      </c>
      <c r="D840" s="3">
        <v>3</v>
      </c>
      <c r="E840" s="3" t="s">
        <v>892</v>
      </c>
      <c r="F840" s="3" t="s">
        <v>912</v>
      </c>
      <c r="G840" s="3" t="s">
        <v>894</v>
      </c>
      <c r="K840">
        <v>-6</v>
      </c>
    </row>
    <row r="841" spans="1:11" x14ac:dyDescent="0.25">
      <c r="A841" s="3" t="s">
        <v>34</v>
      </c>
      <c r="B841" s="3">
        <v>119</v>
      </c>
      <c r="C841" s="3">
        <v>-5</v>
      </c>
      <c r="D841" s="3">
        <v>8</v>
      </c>
      <c r="E841" s="3" t="s">
        <v>899</v>
      </c>
      <c r="F841" s="3" t="s">
        <v>901</v>
      </c>
      <c r="G841" s="3" t="s">
        <v>897</v>
      </c>
      <c r="K841">
        <v>5</v>
      </c>
    </row>
    <row r="842" spans="1:11" x14ac:dyDescent="0.25">
      <c r="A842" s="3" t="s">
        <v>687</v>
      </c>
      <c r="B842" s="3">
        <v>118</v>
      </c>
      <c r="C842" s="3">
        <v>25</v>
      </c>
      <c r="D842" s="3">
        <v>4</v>
      </c>
      <c r="E842" s="3" t="s">
        <v>899</v>
      </c>
      <c r="F842" s="3" t="s">
        <v>903</v>
      </c>
      <c r="G842" s="3" t="s">
        <v>897</v>
      </c>
      <c r="K842">
        <v>-23</v>
      </c>
    </row>
    <row r="843" spans="1:11" x14ac:dyDescent="0.25">
      <c r="A843" s="3" t="s">
        <v>177</v>
      </c>
      <c r="B843" s="3">
        <v>116</v>
      </c>
      <c r="C843" s="3">
        <v>22</v>
      </c>
      <c r="D843" s="3">
        <v>1</v>
      </c>
      <c r="E843" s="3" t="s">
        <v>889</v>
      </c>
      <c r="F843" s="3" t="s">
        <v>909</v>
      </c>
      <c r="G843" s="3" t="s">
        <v>897</v>
      </c>
      <c r="K843">
        <v>9</v>
      </c>
    </row>
    <row r="844" spans="1:11" x14ac:dyDescent="0.25">
      <c r="A844" s="3" t="s">
        <v>93</v>
      </c>
      <c r="B844" s="3">
        <v>158</v>
      </c>
      <c r="C844" s="3">
        <v>-29</v>
      </c>
      <c r="D844" s="3">
        <v>10</v>
      </c>
      <c r="E844" s="3" t="s">
        <v>899</v>
      </c>
      <c r="F844" s="3" t="s">
        <v>903</v>
      </c>
      <c r="G844" s="3" t="s">
        <v>894</v>
      </c>
      <c r="K844">
        <v>-3</v>
      </c>
    </row>
    <row r="845" spans="1:11" x14ac:dyDescent="0.25">
      <c r="A845" s="3" t="s">
        <v>611</v>
      </c>
      <c r="B845" s="3">
        <v>158</v>
      </c>
      <c r="C845" s="3">
        <v>69</v>
      </c>
      <c r="D845" s="3">
        <v>3</v>
      </c>
      <c r="E845" s="3" t="s">
        <v>899</v>
      </c>
      <c r="F845" s="3" t="s">
        <v>907</v>
      </c>
      <c r="G845" s="3" t="s">
        <v>894</v>
      </c>
      <c r="K845">
        <v>2</v>
      </c>
    </row>
    <row r="846" spans="1:11" x14ac:dyDescent="0.25">
      <c r="A846" s="3" t="s">
        <v>214</v>
      </c>
      <c r="B846" s="3">
        <v>65</v>
      </c>
      <c r="C846" s="3">
        <v>-52</v>
      </c>
      <c r="D846" s="3">
        <v>3</v>
      </c>
      <c r="E846" s="3" t="s">
        <v>889</v>
      </c>
      <c r="F846" s="3" t="s">
        <v>909</v>
      </c>
      <c r="G846" s="3" t="s">
        <v>891</v>
      </c>
      <c r="K846">
        <v>-26</v>
      </c>
    </row>
    <row r="847" spans="1:11" x14ac:dyDescent="0.25">
      <c r="A847" s="3" t="s">
        <v>605</v>
      </c>
      <c r="B847" s="3">
        <v>160</v>
      </c>
      <c r="C847" s="3">
        <v>-59</v>
      </c>
      <c r="D847" s="3">
        <v>2</v>
      </c>
      <c r="E847" s="3" t="s">
        <v>899</v>
      </c>
      <c r="F847" s="3" t="s">
        <v>901</v>
      </c>
      <c r="G847" s="3" t="s">
        <v>894</v>
      </c>
      <c r="K847">
        <v>5</v>
      </c>
    </row>
    <row r="848" spans="1:11" x14ac:dyDescent="0.25">
      <c r="A848" s="3" t="s">
        <v>79</v>
      </c>
      <c r="B848" s="3">
        <v>162</v>
      </c>
      <c r="C848" s="3">
        <v>20</v>
      </c>
      <c r="D848" s="3">
        <v>3</v>
      </c>
      <c r="E848" s="3" t="s">
        <v>892</v>
      </c>
      <c r="F848" s="3" t="s">
        <v>893</v>
      </c>
      <c r="G848" s="3" t="s">
        <v>894</v>
      </c>
      <c r="K848">
        <v>-15</v>
      </c>
    </row>
    <row r="849" spans="1:11" x14ac:dyDescent="0.25">
      <c r="A849" s="3" t="s">
        <v>389</v>
      </c>
      <c r="B849" s="3">
        <v>63</v>
      </c>
      <c r="C849" s="3">
        <v>1</v>
      </c>
      <c r="D849" s="3">
        <v>4</v>
      </c>
      <c r="E849" s="3" t="s">
        <v>899</v>
      </c>
      <c r="F849" s="3" t="s">
        <v>910</v>
      </c>
      <c r="G849" s="3" t="s">
        <v>891</v>
      </c>
      <c r="K849">
        <v>11</v>
      </c>
    </row>
    <row r="850" spans="1:11" x14ac:dyDescent="0.25">
      <c r="A850" s="3" t="s">
        <v>770</v>
      </c>
      <c r="B850" s="3">
        <v>64</v>
      </c>
      <c r="C850" s="3">
        <v>27</v>
      </c>
      <c r="D850" s="3">
        <v>5</v>
      </c>
      <c r="E850" s="3" t="s">
        <v>899</v>
      </c>
      <c r="F850" s="3" t="s">
        <v>903</v>
      </c>
      <c r="G850" s="3" t="s">
        <v>902</v>
      </c>
      <c r="K850">
        <v>-6</v>
      </c>
    </row>
    <row r="851" spans="1:11" x14ac:dyDescent="0.25">
      <c r="A851" s="3" t="s">
        <v>601</v>
      </c>
      <c r="B851" s="3">
        <v>166</v>
      </c>
      <c r="C851" s="3">
        <v>-113</v>
      </c>
      <c r="D851" s="3">
        <v>4</v>
      </c>
      <c r="E851" s="3" t="s">
        <v>889</v>
      </c>
      <c r="F851" s="3" t="s">
        <v>909</v>
      </c>
      <c r="G851" s="3" t="s">
        <v>894</v>
      </c>
      <c r="K851">
        <v>-3</v>
      </c>
    </row>
    <row r="852" spans="1:11" x14ac:dyDescent="0.25">
      <c r="A852" s="3" t="s">
        <v>599</v>
      </c>
      <c r="B852" s="3">
        <v>167</v>
      </c>
      <c r="C852" s="3">
        <v>43</v>
      </c>
      <c r="D852" s="3">
        <v>7</v>
      </c>
      <c r="E852" s="3" t="s">
        <v>899</v>
      </c>
      <c r="F852" s="3" t="s">
        <v>910</v>
      </c>
      <c r="G852" s="3" t="s">
        <v>894</v>
      </c>
      <c r="K852">
        <v>3</v>
      </c>
    </row>
    <row r="853" spans="1:11" x14ac:dyDescent="0.25">
      <c r="A853" s="3" t="s">
        <v>672</v>
      </c>
      <c r="B853" s="3">
        <v>123</v>
      </c>
      <c r="C853" s="3">
        <v>17</v>
      </c>
      <c r="D853" s="3">
        <v>3</v>
      </c>
      <c r="E853" s="3" t="s">
        <v>892</v>
      </c>
      <c r="F853" s="3" t="s">
        <v>912</v>
      </c>
      <c r="G853" s="3" t="s">
        <v>891</v>
      </c>
      <c r="K853">
        <v>169</v>
      </c>
    </row>
    <row r="854" spans="1:11" x14ac:dyDescent="0.25">
      <c r="A854" s="3" t="s">
        <v>279</v>
      </c>
      <c r="B854" s="3">
        <v>63</v>
      </c>
      <c r="C854" s="3">
        <v>14</v>
      </c>
      <c r="D854" s="3">
        <v>2</v>
      </c>
      <c r="E854" s="3" t="s">
        <v>899</v>
      </c>
      <c r="F854" s="3" t="s">
        <v>913</v>
      </c>
      <c r="G854" s="3" t="s">
        <v>891</v>
      </c>
      <c r="K854">
        <v>4</v>
      </c>
    </row>
    <row r="855" spans="1:11" x14ac:dyDescent="0.25">
      <c r="A855" s="3" t="s">
        <v>237</v>
      </c>
      <c r="B855" s="3">
        <v>891</v>
      </c>
      <c r="C855" s="3">
        <v>0</v>
      </c>
      <c r="D855" s="3">
        <v>5</v>
      </c>
      <c r="E855" s="3" t="s">
        <v>899</v>
      </c>
      <c r="F855" s="3" t="s">
        <v>901</v>
      </c>
      <c r="G855" s="3" t="s">
        <v>891</v>
      </c>
      <c r="K855">
        <v>10</v>
      </c>
    </row>
    <row r="856" spans="1:11" x14ac:dyDescent="0.25">
      <c r="A856" s="3" t="s">
        <v>726</v>
      </c>
      <c r="B856" s="3">
        <v>75</v>
      </c>
      <c r="C856" s="3">
        <v>28</v>
      </c>
      <c r="D856" s="3">
        <v>9</v>
      </c>
      <c r="E856" s="3" t="s">
        <v>899</v>
      </c>
      <c r="F856" s="3" t="s">
        <v>903</v>
      </c>
      <c r="G856" s="3" t="s">
        <v>902</v>
      </c>
      <c r="K856">
        <v>-2</v>
      </c>
    </row>
    <row r="857" spans="1:11" x14ac:dyDescent="0.25">
      <c r="A857" s="3" t="s">
        <v>546</v>
      </c>
      <c r="B857" s="3">
        <v>62</v>
      </c>
      <c r="C857" s="3">
        <v>6</v>
      </c>
      <c r="D857" s="3">
        <v>5</v>
      </c>
      <c r="E857" s="3" t="s">
        <v>899</v>
      </c>
      <c r="F857" s="3" t="s">
        <v>903</v>
      </c>
      <c r="G857" s="3" t="s">
        <v>891</v>
      </c>
      <c r="K857">
        <v>-8</v>
      </c>
    </row>
    <row r="858" spans="1:11" x14ac:dyDescent="0.25">
      <c r="A858" s="3" t="s">
        <v>573</v>
      </c>
      <c r="B858" s="3">
        <v>29</v>
      </c>
      <c r="C858" s="3">
        <v>-18</v>
      </c>
      <c r="D858" s="3">
        <v>7</v>
      </c>
      <c r="E858" s="3" t="s">
        <v>899</v>
      </c>
      <c r="F858" s="3" t="s">
        <v>905</v>
      </c>
      <c r="G858" s="3" t="s">
        <v>902</v>
      </c>
      <c r="K858">
        <v>31</v>
      </c>
    </row>
    <row r="859" spans="1:11" x14ac:dyDescent="0.25">
      <c r="A859" s="3" t="s">
        <v>598</v>
      </c>
      <c r="B859" s="3">
        <v>168</v>
      </c>
      <c r="C859" s="3">
        <v>18</v>
      </c>
      <c r="D859" s="3">
        <v>6</v>
      </c>
      <c r="E859" s="3" t="s">
        <v>899</v>
      </c>
      <c r="F859" s="3" t="s">
        <v>907</v>
      </c>
      <c r="G859" s="3" t="s">
        <v>911</v>
      </c>
      <c r="K859">
        <v>8</v>
      </c>
    </row>
    <row r="860" spans="1:11" x14ac:dyDescent="0.25">
      <c r="A860" s="3" t="s">
        <v>427</v>
      </c>
      <c r="B860" s="3">
        <v>70</v>
      </c>
      <c r="C860" s="3">
        <v>24</v>
      </c>
      <c r="D860" s="3">
        <v>3</v>
      </c>
      <c r="E860" s="3" t="s">
        <v>899</v>
      </c>
      <c r="F860" s="3" t="s">
        <v>907</v>
      </c>
      <c r="G860" s="3" t="s">
        <v>902</v>
      </c>
      <c r="K860">
        <v>-5</v>
      </c>
    </row>
    <row r="861" spans="1:11" x14ac:dyDescent="0.25">
      <c r="A861" s="3" t="s">
        <v>397</v>
      </c>
      <c r="B861" s="3">
        <v>169</v>
      </c>
      <c r="C861" s="3">
        <v>55</v>
      </c>
      <c r="D861" s="3">
        <v>4</v>
      </c>
      <c r="E861" s="3" t="s">
        <v>899</v>
      </c>
      <c r="F861" s="3" t="s">
        <v>901</v>
      </c>
      <c r="G861" s="3" t="s">
        <v>911</v>
      </c>
      <c r="K861">
        <v>8</v>
      </c>
    </row>
    <row r="862" spans="1:11" x14ac:dyDescent="0.25">
      <c r="A862" s="3" t="s">
        <v>306</v>
      </c>
      <c r="B862" s="3">
        <v>32</v>
      </c>
      <c r="C862" s="3">
        <v>-8</v>
      </c>
      <c r="D862" s="3">
        <v>2</v>
      </c>
      <c r="E862" s="3" t="s">
        <v>899</v>
      </c>
      <c r="F862" s="3" t="s">
        <v>907</v>
      </c>
      <c r="G862" s="3" t="s">
        <v>891</v>
      </c>
      <c r="K862">
        <v>-15</v>
      </c>
    </row>
    <row r="863" spans="1:11" x14ac:dyDescent="0.25">
      <c r="A863" s="3" t="s">
        <v>260</v>
      </c>
      <c r="B863" s="3">
        <v>44</v>
      </c>
      <c r="C863" s="3">
        <v>-8</v>
      </c>
      <c r="D863" s="3">
        <v>3</v>
      </c>
      <c r="E863" s="3" t="s">
        <v>899</v>
      </c>
      <c r="F863" s="3" t="s">
        <v>907</v>
      </c>
      <c r="G863" s="3" t="s">
        <v>902</v>
      </c>
      <c r="K863">
        <v>-2</v>
      </c>
    </row>
    <row r="864" spans="1:11" x14ac:dyDescent="0.25">
      <c r="A864" s="3" t="s">
        <v>691</v>
      </c>
      <c r="B864" s="3">
        <v>116</v>
      </c>
      <c r="C864" s="3">
        <v>-56</v>
      </c>
      <c r="D864" s="3">
        <v>5</v>
      </c>
      <c r="E864" s="3" t="s">
        <v>899</v>
      </c>
      <c r="F864" s="3" t="s">
        <v>907</v>
      </c>
      <c r="G864" s="3" t="s">
        <v>897</v>
      </c>
      <c r="K864">
        <v>2</v>
      </c>
    </row>
    <row r="865" spans="1:11" x14ac:dyDescent="0.25">
      <c r="A865" s="3" t="s">
        <v>613</v>
      </c>
      <c r="B865" s="3">
        <v>156</v>
      </c>
      <c r="C865" s="3">
        <v>21</v>
      </c>
      <c r="D865" s="3">
        <v>3</v>
      </c>
      <c r="E865" s="3" t="s">
        <v>892</v>
      </c>
      <c r="F865" s="3" t="s">
        <v>893</v>
      </c>
      <c r="G865" s="3" t="s">
        <v>891</v>
      </c>
      <c r="K865">
        <v>43</v>
      </c>
    </row>
    <row r="866" spans="1:11" x14ac:dyDescent="0.25">
      <c r="A866" s="3" t="s">
        <v>478</v>
      </c>
      <c r="B866" s="3">
        <v>62</v>
      </c>
      <c r="C866" s="3">
        <v>6</v>
      </c>
      <c r="D866" s="3">
        <v>6</v>
      </c>
      <c r="E866" s="3" t="s">
        <v>899</v>
      </c>
      <c r="F866" s="3" t="s">
        <v>905</v>
      </c>
      <c r="G866" s="3" t="s">
        <v>891</v>
      </c>
      <c r="K866">
        <v>4</v>
      </c>
    </row>
    <row r="867" spans="1:11" x14ac:dyDescent="0.25">
      <c r="A867" s="3" t="s">
        <v>59</v>
      </c>
      <c r="B867" s="3">
        <v>54</v>
      </c>
      <c r="C867" s="3">
        <v>1</v>
      </c>
      <c r="D867" s="3">
        <v>2</v>
      </c>
      <c r="E867" s="3" t="s">
        <v>899</v>
      </c>
      <c r="F867" s="3" t="s">
        <v>901</v>
      </c>
      <c r="G867" s="3" t="s">
        <v>902</v>
      </c>
      <c r="K867">
        <v>180</v>
      </c>
    </row>
    <row r="868" spans="1:11" x14ac:dyDescent="0.25">
      <c r="A868" s="3" t="s">
        <v>286</v>
      </c>
      <c r="B868" s="3">
        <v>111</v>
      </c>
      <c r="C868" s="3">
        <v>11</v>
      </c>
      <c r="D868" s="3">
        <v>9</v>
      </c>
      <c r="E868" s="3" t="s">
        <v>899</v>
      </c>
      <c r="F868" s="3" t="s">
        <v>903</v>
      </c>
      <c r="G868" s="3" t="s">
        <v>897</v>
      </c>
      <c r="K868">
        <v>-353</v>
      </c>
    </row>
    <row r="869" spans="1:11" x14ac:dyDescent="0.25">
      <c r="A869" s="3" t="s">
        <v>609</v>
      </c>
      <c r="B869" s="3">
        <v>158</v>
      </c>
      <c r="C869" s="3">
        <v>-63</v>
      </c>
      <c r="D869" s="3">
        <v>4</v>
      </c>
      <c r="E869" s="3" t="s">
        <v>892</v>
      </c>
      <c r="F869" s="3" t="s">
        <v>893</v>
      </c>
      <c r="G869" s="3" t="s">
        <v>902</v>
      </c>
      <c r="K869">
        <v>-17</v>
      </c>
    </row>
    <row r="870" spans="1:11" x14ac:dyDescent="0.25">
      <c r="A870" s="3" t="s">
        <v>480</v>
      </c>
      <c r="B870" s="3">
        <v>7</v>
      </c>
      <c r="C870" s="3">
        <v>-3</v>
      </c>
      <c r="D870" s="3">
        <v>2</v>
      </c>
      <c r="E870" s="3" t="s">
        <v>899</v>
      </c>
      <c r="F870" s="3" t="s">
        <v>905</v>
      </c>
      <c r="G870" s="3" t="s">
        <v>902</v>
      </c>
      <c r="K870">
        <v>-6</v>
      </c>
    </row>
    <row r="871" spans="1:11" x14ac:dyDescent="0.25">
      <c r="A871" s="3" t="s">
        <v>606</v>
      </c>
      <c r="B871" s="3">
        <v>61</v>
      </c>
      <c r="C871" s="3">
        <v>28</v>
      </c>
      <c r="D871" s="3">
        <v>2</v>
      </c>
      <c r="E871" s="3" t="s">
        <v>899</v>
      </c>
      <c r="F871" s="3" t="s">
        <v>903</v>
      </c>
      <c r="G871" s="3" t="s">
        <v>902</v>
      </c>
      <c r="K871">
        <v>2</v>
      </c>
    </row>
    <row r="872" spans="1:11" x14ac:dyDescent="0.25">
      <c r="A872" s="3" t="s">
        <v>30</v>
      </c>
      <c r="B872" s="3">
        <v>61</v>
      </c>
      <c r="C872" s="3">
        <v>-50</v>
      </c>
      <c r="D872" s="3">
        <v>4</v>
      </c>
      <c r="E872" s="3" t="s">
        <v>899</v>
      </c>
      <c r="F872" s="3" t="s">
        <v>903</v>
      </c>
      <c r="G872" s="3" t="s">
        <v>891</v>
      </c>
      <c r="K872">
        <v>-1</v>
      </c>
    </row>
    <row r="873" spans="1:11" x14ac:dyDescent="0.25">
      <c r="A873" s="3" t="s">
        <v>77</v>
      </c>
      <c r="B873" s="3">
        <v>154</v>
      </c>
      <c r="C873" s="3">
        <v>26</v>
      </c>
      <c r="D873" s="3">
        <v>4</v>
      </c>
      <c r="E873" s="3" t="s">
        <v>889</v>
      </c>
      <c r="F873" s="3" t="s">
        <v>909</v>
      </c>
      <c r="G873" s="3" t="s">
        <v>891</v>
      </c>
      <c r="K873">
        <v>0</v>
      </c>
    </row>
    <row r="874" spans="1:11" x14ac:dyDescent="0.25">
      <c r="A874" s="3" t="s">
        <v>472</v>
      </c>
      <c r="B874" s="3">
        <v>62</v>
      </c>
      <c r="C874" s="3">
        <v>1</v>
      </c>
      <c r="D874" s="3">
        <v>3</v>
      </c>
      <c r="E874" s="3" t="s">
        <v>899</v>
      </c>
      <c r="F874" s="3" t="s">
        <v>901</v>
      </c>
      <c r="G874" s="3" t="s">
        <v>891</v>
      </c>
      <c r="K874">
        <v>93</v>
      </c>
    </row>
    <row r="875" spans="1:11" x14ac:dyDescent="0.25">
      <c r="A875" s="3" t="s">
        <v>595</v>
      </c>
      <c r="B875" s="3">
        <v>169</v>
      </c>
      <c r="C875" s="3">
        <v>38</v>
      </c>
      <c r="D875" s="3">
        <v>3</v>
      </c>
      <c r="E875" s="3" t="s">
        <v>899</v>
      </c>
      <c r="F875" s="3" t="s">
        <v>901</v>
      </c>
      <c r="G875" s="3" t="s">
        <v>911</v>
      </c>
      <c r="K875">
        <v>6</v>
      </c>
    </row>
    <row r="876" spans="1:11" x14ac:dyDescent="0.25">
      <c r="A876" s="3" t="s">
        <v>405</v>
      </c>
      <c r="B876" s="3">
        <v>61</v>
      </c>
      <c r="C876" s="3">
        <v>18</v>
      </c>
      <c r="D876" s="3">
        <v>2</v>
      </c>
      <c r="E876" s="3" t="s">
        <v>889</v>
      </c>
      <c r="F876" s="3" t="s">
        <v>909</v>
      </c>
      <c r="G876" s="3" t="s">
        <v>891</v>
      </c>
      <c r="K876">
        <v>-5</v>
      </c>
    </row>
    <row r="877" spans="1:11" x14ac:dyDescent="0.25">
      <c r="A877" s="3" t="s">
        <v>126</v>
      </c>
      <c r="B877" s="3">
        <v>61</v>
      </c>
      <c r="C877" s="3">
        <v>-23</v>
      </c>
      <c r="D877" s="3">
        <v>2</v>
      </c>
      <c r="E877" s="3" t="s">
        <v>899</v>
      </c>
      <c r="F877" s="3" t="s">
        <v>901</v>
      </c>
      <c r="G877" s="3" t="s">
        <v>891</v>
      </c>
      <c r="K877">
        <v>-18</v>
      </c>
    </row>
    <row r="878" spans="1:11" x14ac:dyDescent="0.25">
      <c r="A878" s="3" t="s">
        <v>589</v>
      </c>
      <c r="B878" s="3">
        <v>171</v>
      </c>
      <c r="C878" s="3">
        <v>14</v>
      </c>
      <c r="D878" s="3">
        <v>9</v>
      </c>
      <c r="E878" s="3" t="s">
        <v>899</v>
      </c>
      <c r="F878" s="3" t="s">
        <v>913</v>
      </c>
      <c r="G878" s="3" t="s">
        <v>911</v>
      </c>
      <c r="K878">
        <v>-8</v>
      </c>
    </row>
    <row r="879" spans="1:11" x14ac:dyDescent="0.25">
      <c r="A879" s="3" t="s">
        <v>273</v>
      </c>
      <c r="B879" s="3">
        <v>60</v>
      </c>
      <c r="C879" s="3">
        <v>-49</v>
      </c>
      <c r="D879" s="3">
        <v>8</v>
      </c>
      <c r="E879" s="3" t="s">
        <v>899</v>
      </c>
      <c r="F879" s="3" t="s">
        <v>903</v>
      </c>
      <c r="G879" s="3" t="s">
        <v>891</v>
      </c>
      <c r="K879">
        <v>11</v>
      </c>
    </row>
    <row r="880" spans="1:11" x14ac:dyDescent="0.25">
      <c r="A880" s="3" t="s">
        <v>828</v>
      </c>
      <c r="B880" s="3">
        <v>25</v>
      </c>
      <c r="C880" s="3">
        <v>-11</v>
      </c>
      <c r="D880" s="3">
        <v>1</v>
      </c>
      <c r="E880" s="3" t="s">
        <v>899</v>
      </c>
      <c r="F880" s="3" t="s">
        <v>907</v>
      </c>
      <c r="G880" s="3" t="s">
        <v>902</v>
      </c>
      <c r="K880">
        <v>4</v>
      </c>
    </row>
    <row r="881" spans="1:11" x14ac:dyDescent="0.25">
      <c r="A881" s="3" t="s">
        <v>538</v>
      </c>
      <c r="B881" s="3">
        <v>163</v>
      </c>
      <c r="C881" s="3">
        <v>26</v>
      </c>
      <c r="D881" s="3">
        <v>4</v>
      </c>
      <c r="E881" s="3" t="s">
        <v>899</v>
      </c>
      <c r="F881" s="3" t="s">
        <v>913</v>
      </c>
      <c r="G881" s="3" t="s">
        <v>891</v>
      </c>
      <c r="K881">
        <v>1</v>
      </c>
    </row>
    <row r="882" spans="1:11" x14ac:dyDescent="0.25">
      <c r="A882" s="3" t="s">
        <v>9</v>
      </c>
      <c r="B882" s="3">
        <v>173</v>
      </c>
      <c r="C882" s="3">
        <v>86</v>
      </c>
      <c r="D882" s="3">
        <v>1</v>
      </c>
      <c r="E882" s="3" t="s">
        <v>889</v>
      </c>
      <c r="F882" s="3" t="s">
        <v>896</v>
      </c>
      <c r="G882" s="3" t="s">
        <v>911</v>
      </c>
      <c r="K882">
        <v>2</v>
      </c>
    </row>
    <row r="883" spans="1:11" x14ac:dyDescent="0.25">
      <c r="A883" s="3" t="s">
        <v>73</v>
      </c>
      <c r="B883" s="3">
        <v>257</v>
      </c>
      <c r="C883" s="3">
        <v>-3</v>
      </c>
      <c r="D883" s="3">
        <v>2</v>
      </c>
      <c r="E883" s="3" t="s">
        <v>892</v>
      </c>
      <c r="F883" s="3" t="s">
        <v>895</v>
      </c>
      <c r="G883" s="3" t="s">
        <v>902</v>
      </c>
      <c r="K883">
        <v>8</v>
      </c>
    </row>
    <row r="884" spans="1:11" x14ac:dyDescent="0.25">
      <c r="A884" s="3" t="s">
        <v>701</v>
      </c>
      <c r="B884" s="3">
        <v>108</v>
      </c>
      <c r="C884" s="3">
        <v>37</v>
      </c>
      <c r="D884" s="3">
        <v>2</v>
      </c>
      <c r="E884" s="3" t="s">
        <v>899</v>
      </c>
      <c r="F884" s="3" t="s">
        <v>907</v>
      </c>
      <c r="G884" s="3" t="s">
        <v>897</v>
      </c>
      <c r="K884">
        <v>207</v>
      </c>
    </row>
    <row r="885" spans="1:11" x14ac:dyDescent="0.25">
      <c r="A885" s="3" t="s">
        <v>584</v>
      </c>
      <c r="B885" s="3">
        <v>177</v>
      </c>
      <c r="C885" s="3">
        <v>41</v>
      </c>
      <c r="D885" s="3">
        <v>4</v>
      </c>
      <c r="E885" s="3" t="s">
        <v>899</v>
      </c>
      <c r="F885" s="3" t="s">
        <v>913</v>
      </c>
      <c r="G885" s="3" t="s">
        <v>911</v>
      </c>
      <c r="K885">
        <v>-9</v>
      </c>
    </row>
    <row r="886" spans="1:11" x14ac:dyDescent="0.25">
      <c r="A886" s="3" t="s">
        <v>18</v>
      </c>
      <c r="B886" s="3">
        <v>106</v>
      </c>
      <c r="C886" s="3">
        <v>15</v>
      </c>
      <c r="D886" s="3">
        <v>7</v>
      </c>
      <c r="E886" s="3" t="s">
        <v>899</v>
      </c>
      <c r="F886" s="3" t="s">
        <v>903</v>
      </c>
      <c r="G886" s="3" t="s">
        <v>897</v>
      </c>
      <c r="K886">
        <v>-10</v>
      </c>
    </row>
    <row r="887" spans="1:11" x14ac:dyDescent="0.25">
      <c r="A887" s="3" t="s">
        <v>488</v>
      </c>
      <c r="B887" s="3">
        <v>41</v>
      </c>
      <c r="C887" s="3">
        <v>-14</v>
      </c>
      <c r="D887" s="3">
        <v>5</v>
      </c>
      <c r="E887" s="3" t="s">
        <v>899</v>
      </c>
      <c r="F887" s="3" t="s">
        <v>908</v>
      </c>
      <c r="G887" s="3" t="s">
        <v>902</v>
      </c>
      <c r="K887">
        <v>0</v>
      </c>
    </row>
    <row r="888" spans="1:11" x14ac:dyDescent="0.25">
      <c r="A888" s="3" t="s">
        <v>142</v>
      </c>
      <c r="B888" s="3">
        <v>168</v>
      </c>
      <c r="C888" s="3">
        <v>-10</v>
      </c>
      <c r="D888" s="3">
        <v>3</v>
      </c>
      <c r="E888" s="3" t="s">
        <v>889</v>
      </c>
      <c r="F888" s="3" t="s">
        <v>909</v>
      </c>
      <c r="G888" s="3" t="s">
        <v>902</v>
      </c>
      <c r="K888">
        <v>-15</v>
      </c>
    </row>
    <row r="889" spans="1:11" x14ac:dyDescent="0.25">
      <c r="A889" s="3" t="s">
        <v>670</v>
      </c>
      <c r="B889" s="3">
        <v>60</v>
      </c>
      <c r="C889" s="3">
        <v>21</v>
      </c>
      <c r="D889" s="3">
        <v>4</v>
      </c>
      <c r="E889" s="3" t="s">
        <v>899</v>
      </c>
      <c r="F889" s="3" t="s">
        <v>907</v>
      </c>
      <c r="G889" s="3" t="s">
        <v>891</v>
      </c>
      <c r="K889">
        <v>6</v>
      </c>
    </row>
    <row r="890" spans="1:11" x14ac:dyDescent="0.25">
      <c r="A890" s="3" t="s">
        <v>832</v>
      </c>
      <c r="B890" s="3">
        <v>31</v>
      </c>
      <c r="C890" s="3">
        <v>-11</v>
      </c>
      <c r="D890" s="3">
        <v>4</v>
      </c>
      <c r="E890" s="3" t="s">
        <v>899</v>
      </c>
      <c r="F890" s="3" t="s">
        <v>907</v>
      </c>
      <c r="G890" s="3" t="s">
        <v>891</v>
      </c>
      <c r="K890">
        <v>8</v>
      </c>
    </row>
    <row r="891" spans="1:11" x14ac:dyDescent="0.25">
      <c r="A891" s="3" t="s">
        <v>678</v>
      </c>
      <c r="B891" s="3">
        <v>179</v>
      </c>
      <c r="C891" s="3">
        <v>0</v>
      </c>
      <c r="D891" s="3">
        <v>2</v>
      </c>
      <c r="E891" s="3" t="s">
        <v>899</v>
      </c>
      <c r="F891" s="3" t="s">
        <v>901</v>
      </c>
      <c r="G891" s="3" t="s">
        <v>911</v>
      </c>
      <c r="K891">
        <v>8</v>
      </c>
    </row>
    <row r="892" spans="1:11" x14ac:dyDescent="0.25">
      <c r="A892" s="3" t="s">
        <v>277</v>
      </c>
      <c r="B892" s="3">
        <v>106</v>
      </c>
      <c r="C892" s="3">
        <v>12</v>
      </c>
      <c r="D892" s="3">
        <v>3</v>
      </c>
      <c r="E892" s="3" t="s">
        <v>899</v>
      </c>
      <c r="F892" s="3" t="s">
        <v>900</v>
      </c>
      <c r="G892" s="3" t="s">
        <v>897</v>
      </c>
      <c r="K892">
        <v>6</v>
      </c>
    </row>
    <row r="893" spans="1:11" x14ac:dyDescent="0.25">
      <c r="A893" s="3" t="s">
        <v>418</v>
      </c>
      <c r="B893" s="3">
        <v>60</v>
      </c>
      <c r="C893" s="3">
        <v>13</v>
      </c>
      <c r="D893" s="3">
        <v>2</v>
      </c>
      <c r="E893" s="3" t="s">
        <v>899</v>
      </c>
      <c r="F893" s="3" t="s">
        <v>910</v>
      </c>
      <c r="G893" s="3" t="s">
        <v>891</v>
      </c>
      <c r="K893">
        <v>1</v>
      </c>
    </row>
    <row r="894" spans="1:11" x14ac:dyDescent="0.25">
      <c r="A894" s="3" t="s">
        <v>136</v>
      </c>
      <c r="B894" s="3">
        <v>180</v>
      </c>
      <c r="C894" s="3">
        <v>5</v>
      </c>
      <c r="D894" s="3">
        <v>3</v>
      </c>
      <c r="E894" s="3" t="s">
        <v>899</v>
      </c>
      <c r="F894" s="3" t="s">
        <v>900</v>
      </c>
      <c r="G894" s="3" t="s">
        <v>911</v>
      </c>
      <c r="K894">
        <v>2</v>
      </c>
    </row>
    <row r="895" spans="1:11" x14ac:dyDescent="0.25">
      <c r="A895" s="3" t="s">
        <v>413</v>
      </c>
      <c r="B895" s="3">
        <v>60</v>
      </c>
      <c r="C895" s="3">
        <v>-10</v>
      </c>
      <c r="D895" s="3">
        <v>2</v>
      </c>
      <c r="E895" s="3" t="s">
        <v>892</v>
      </c>
      <c r="F895" s="3" t="s">
        <v>912</v>
      </c>
      <c r="G895" s="3" t="s">
        <v>891</v>
      </c>
      <c r="K895">
        <v>2</v>
      </c>
    </row>
    <row r="896" spans="1:11" x14ac:dyDescent="0.25">
      <c r="A896" s="3" t="s">
        <v>775</v>
      </c>
      <c r="B896" s="3">
        <v>59</v>
      </c>
      <c r="C896" s="3">
        <v>25</v>
      </c>
      <c r="D896" s="3">
        <v>3</v>
      </c>
      <c r="E896" s="3" t="s">
        <v>899</v>
      </c>
      <c r="F896" s="3" t="s">
        <v>907</v>
      </c>
      <c r="G896" s="3" t="s">
        <v>891</v>
      </c>
      <c r="K896">
        <v>209</v>
      </c>
    </row>
    <row r="897" spans="1:11" x14ac:dyDescent="0.25">
      <c r="A897" s="3" t="s">
        <v>191</v>
      </c>
      <c r="B897" s="3">
        <v>170</v>
      </c>
      <c r="C897" s="3">
        <v>73</v>
      </c>
      <c r="D897" s="3">
        <v>2</v>
      </c>
      <c r="E897" s="3" t="s">
        <v>889</v>
      </c>
      <c r="F897" s="3" t="s">
        <v>909</v>
      </c>
      <c r="G897" s="3" t="s">
        <v>902</v>
      </c>
      <c r="K897">
        <v>2</v>
      </c>
    </row>
    <row r="898" spans="1:11" x14ac:dyDescent="0.25">
      <c r="A898" s="3" t="s">
        <v>402</v>
      </c>
      <c r="B898" s="3">
        <v>59</v>
      </c>
      <c r="C898" s="3">
        <v>10</v>
      </c>
      <c r="D898" s="3">
        <v>2</v>
      </c>
      <c r="E898" s="3" t="s">
        <v>899</v>
      </c>
      <c r="F898" s="3" t="s">
        <v>903</v>
      </c>
      <c r="G898" s="3" t="s">
        <v>891</v>
      </c>
      <c r="K898">
        <v>5</v>
      </c>
    </row>
    <row r="899" spans="1:11" x14ac:dyDescent="0.25">
      <c r="A899" s="3" t="s">
        <v>555</v>
      </c>
      <c r="B899" s="3">
        <v>24</v>
      </c>
      <c r="C899" s="3">
        <v>-21</v>
      </c>
      <c r="D899" s="3">
        <v>7</v>
      </c>
      <c r="E899" s="3" t="s">
        <v>899</v>
      </c>
      <c r="F899" s="3" t="s">
        <v>905</v>
      </c>
      <c r="G899" s="3" t="s">
        <v>891</v>
      </c>
      <c r="K899">
        <v>-3</v>
      </c>
    </row>
    <row r="900" spans="1:11" x14ac:dyDescent="0.25">
      <c r="A900" s="3" t="s">
        <v>635</v>
      </c>
      <c r="B900" s="3">
        <v>105</v>
      </c>
      <c r="C900" s="3">
        <v>-26</v>
      </c>
      <c r="D900" s="3">
        <v>8</v>
      </c>
      <c r="E900" s="3" t="s">
        <v>899</v>
      </c>
      <c r="F900" s="3" t="s">
        <v>908</v>
      </c>
      <c r="G900" s="3" t="s">
        <v>897</v>
      </c>
      <c r="K900">
        <v>-1</v>
      </c>
    </row>
    <row r="901" spans="1:11" x14ac:dyDescent="0.25">
      <c r="A901" s="3" t="s">
        <v>415</v>
      </c>
      <c r="B901" s="3">
        <v>103</v>
      </c>
      <c r="C901" s="3">
        <v>46</v>
      </c>
      <c r="D901" s="3">
        <v>2</v>
      </c>
      <c r="E901" s="3" t="s">
        <v>899</v>
      </c>
      <c r="F901" s="3" t="s">
        <v>901</v>
      </c>
      <c r="G901" s="3" t="s">
        <v>897</v>
      </c>
      <c r="K901">
        <v>-8</v>
      </c>
    </row>
    <row r="902" spans="1:11" x14ac:dyDescent="0.25">
      <c r="A902" s="3" t="s">
        <v>38</v>
      </c>
      <c r="B902" s="3">
        <v>171</v>
      </c>
      <c r="C902" s="3">
        <v>17</v>
      </c>
      <c r="D902" s="3">
        <v>6</v>
      </c>
      <c r="E902" s="3" t="s">
        <v>899</v>
      </c>
      <c r="F902" s="3" t="s">
        <v>910</v>
      </c>
      <c r="G902" s="3" t="s">
        <v>902</v>
      </c>
      <c r="K902">
        <v>-1</v>
      </c>
    </row>
    <row r="903" spans="1:11" x14ac:dyDescent="0.25">
      <c r="A903" s="3" t="s">
        <v>286</v>
      </c>
      <c r="B903" s="3">
        <v>102</v>
      </c>
      <c r="C903" s="3">
        <v>13</v>
      </c>
      <c r="D903" s="3">
        <v>2</v>
      </c>
      <c r="E903" s="3" t="s">
        <v>899</v>
      </c>
      <c r="F903" s="3" t="s">
        <v>907</v>
      </c>
      <c r="G903" s="3" t="s">
        <v>897</v>
      </c>
      <c r="K903">
        <v>1</v>
      </c>
    </row>
    <row r="904" spans="1:11" x14ac:dyDescent="0.25">
      <c r="A904" s="3" t="s">
        <v>144</v>
      </c>
      <c r="B904" s="3">
        <v>98</v>
      </c>
      <c r="C904" s="3">
        <v>12</v>
      </c>
      <c r="D904" s="3">
        <v>2</v>
      </c>
      <c r="E904" s="3" t="s">
        <v>899</v>
      </c>
      <c r="F904" s="3" t="s">
        <v>903</v>
      </c>
      <c r="G904" s="3" t="s">
        <v>897</v>
      </c>
      <c r="K904">
        <v>0</v>
      </c>
    </row>
    <row r="905" spans="1:11" x14ac:dyDescent="0.25">
      <c r="A905" s="3" t="s">
        <v>611</v>
      </c>
      <c r="B905" s="3">
        <v>59</v>
      </c>
      <c r="C905" s="3">
        <v>10</v>
      </c>
      <c r="D905" s="3">
        <v>4</v>
      </c>
      <c r="E905" s="3" t="s">
        <v>899</v>
      </c>
      <c r="F905" s="3" t="s">
        <v>908</v>
      </c>
      <c r="G905" s="3" t="s">
        <v>891</v>
      </c>
      <c r="K905">
        <v>-2</v>
      </c>
    </row>
    <row r="906" spans="1:11" x14ac:dyDescent="0.25">
      <c r="A906" s="3" t="s">
        <v>237</v>
      </c>
      <c r="B906" s="3">
        <v>189</v>
      </c>
      <c r="C906" s="3">
        <v>60</v>
      </c>
      <c r="D906" s="3">
        <v>4</v>
      </c>
      <c r="E906" s="3" t="s">
        <v>892</v>
      </c>
      <c r="F906" s="3" t="s">
        <v>912</v>
      </c>
      <c r="G906" s="3" t="s">
        <v>911</v>
      </c>
      <c r="K906">
        <v>3</v>
      </c>
    </row>
    <row r="907" spans="1:11" x14ac:dyDescent="0.25">
      <c r="A907" s="3" t="s">
        <v>779</v>
      </c>
      <c r="B907" s="3">
        <v>58</v>
      </c>
      <c r="C907" s="3">
        <v>-52</v>
      </c>
      <c r="D907" s="3">
        <v>3</v>
      </c>
      <c r="E907" s="3" t="s">
        <v>892</v>
      </c>
      <c r="F907" s="3" t="s">
        <v>893</v>
      </c>
      <c r="G907" s="3" t="s">
        <v>891</v>
      </c>
      <c r="K907">
        <v>5</v>
      </c>
    </row>
    <row r="908" spans="1:11" x14ac:dyDescent="0.25">
      <c r="A908" s="3" t="s">
        <v>279</v>
      </c>
      <c r="B908" s="3">
        <v>60</v>
      </c>
      <c r="C908" s="3">
        <v>3</v>
      </c>
      <c r="D908" s="3">
        <v>3</v>
      </c>
      <c r="E908" s="3" t="s">
        <v>899</v>
      </c>
      <c r="F908" s="3" t="s">
        <v>901</v>
      </c>
      <c r="G908" s="3" t="s">
        <v>902</v>
      </c>
      <c r="K908">
        <v>-13</v>
      </c>
    </row>
    <row r="909" spans="1:11" x14ac:dyDescent="0.25">
      <c r="A909" s="3" t="s">
        <v>777</v>
      </c>
      <c r="B909" s="3">
        <v>58</v>
      </c>
      <c r="C909" s="3">
        <v>-8</v>
      </c>
      <c r="D909" s="3">
        <v>2</v>
      </c>
      <c r="E909" s="3" t="s">
        <v>899</v>
      </c>
      <c r="F909" s="3" t="s">
        <v>901</v>
      </c>
      <c r="G909" s="3" t="s">
        <v>891</v>
      </c>
      <c r="K909">
        <v>-9</v>
      </c>
    </row>
    <row r="910" spans="1:11" x14ac:dyDescent="0.25">
      <c r="A910" s="3" t="s">
        <v>726</v>
      </c>
      <c r="B910" s="3">
        <v>94</v>
      </c>
      <c r="C910" s="3">
        <v>20</v>
      </c>
      <c r="D910" s="3">
        <v>2</v>
      </c>
      <c r="E910" s="3" t="s">
        <v>892</v>
      </c>
      <c r="F910" s="3" t="s">
        <v>912</v>
      </c>
      <c r="G910" s="3" t="s">
        <v>902</v>
      </c>
      <c r="K910">
        <v>-56</v>
      </c>
    </row>
    <row r="911" spans="1:11" x14ac:dyDescent="0.25">
      <c r="A911" s="3" t="s">
        <v>136</v>
      </c>
      <c r="B911" s="3">
        <v>193</v>
      </c>
      <c r="C911" s="3">
        <v>-166</v>
      </c>
      <c r="D911" s="3">
        <v>3</v>
      </c>
      <c r="E911" s="3" t="s">
        <v>899</v>
      </c>
      <c r="F911" s="3" t="s">
        <v>901</v>
      </c>
      <c r="G911" s="3" t="s">
        <v>894</v>
      </c>
      <c r="K911">
        <v>7</v>
      </c>
    </row>
    <row r="912" spans="1:11" x14ac:dyDescent="0.25">
      <c r="A912" s="3" t="s">
        <v>166</v>
      </c>
      <c r="B912" s="3">
        <v>199</v>
      </c>
      <c r="C912" s="3">
        <v>0</v>
      </c>
      <c r="D912" s="3">
        <v>4</v>
      </c>
      <c r="E912" s="3" t="s">
        <v>899</v>
      </c>
      <c r="F912" s="3" t="s">
        <v>907</v>
      </c>
      <c r="G912" s="3" t="s">
        <v>894</v>
      </c>
      <c r="K912">
        <v>2</v>
      </c>
    </row>
    <row r="913" spans="1:11" x14ac:dyDescent="0.25">
      <c r="A913" s="3" t="s">
        <v>350</v>
      </c>
      <c r="B913" s="3">
        <v>202</v>
      </c>
      <c r="C913" s="3">
        <v>89</v>
      </c>
      <c r="D913" s="3">
        <v>9</v>
      </c>
      <c r="E913" s="3" t="s">
        <v>899</v>
      </c>
      <c r="F913" s="3" t="s">
        <v>910</v>
      </c>
      <c r="G913" s="3" t="s">
        <v>894</v>
      </c>
      <c r="K913">
        <v>-11</v>
      </c>
    </row>
    <row r="914" spans="1:11" x14ac:dyDescent="0.25">
      <c r="A914" s="3" t="s">
        <v>350</v>
      </c>
      <c r="B914" s="3">
        <v>58</v>
      </c>
      <c r="C914" s="3">
        <v>17</v>
      </c>
      <c r="D914" s="3">
        <v>2</v>
      </c>
      <c r="E914" s="3" t="s">
        <v>899</v>
      </c>
      <c r="F914" s="3" t="s">
        <v>903</v>
      </c>
      <c r="G914" s="3" t="s">
        <v>891</v>
      </c>
      <c r="K914">
        <v>1</v>
      </c>
    </row>
    <row r="915" spans="1:11" x14ac:dyDescent="0.25">
      <c r="A915" s="3" t="s">
        <v>782</v>
      </c>
      <c r="B915" s="3">
        <v>57</v>
      </c>
      <c r="C915" s="3">
        <v>-28</v>
      </c>
      <c r="D915" s="3">
        <v>2</v>
      </c>
      <c r="E915" s="3" t="s">
        <v>899</v>
      </c>
      <c r="F915" s="3" t="s">
        <v>904</v>
      </c>
      <c r="G915" s="3" t="s">
        <v>891</v>
      </c>
      <c r="K915">
        <v>-4</v>
      </c>
    </row>
    <row r="916" spans="1:11" x14ac:dyDescent="0.25">
      <c r="A916" s="3" t="s">
        <v>413</v>
      </c>
      <c r="B916" s="3">
        <v>204</v>
      </c>
      <c r="C916" s="3">
        <v>-94</v>
      </c>
      <c r="D916" s="3">
        <v>4</v>
      </c>
      <c r="E916" s="3" t="s">
        <v>899</v>
      </c>
      <c r="F916" s="3" t="s">
        <v>903</v>
      </c>
      <c r="G916" s="3" t="s">
        <v>894</v>
      </c>
      <c r="K916">
        <v>109</v>
      </c>
    </row>
    <row r="917" spans="1:11" x14ac:dyDescent="0.25">
      <c r="A917" s="3" t="s">
        <v>393</v>
      </c>
      <c r="B917" s="3">
        <v>98</v>
      </c>
      <c r="C917" s="3">
        <v>-12</v>
      </c>
      <c r="D917" s="3">
        <v>2</v>
      </c>
      <c r="E917" s="3" t="s">
        <v>889</v>
      </c>
      <c r="F917" s="3" t="s">
        <v>890</v>
      </c>
      <c r="G917" s="3" t="s">
        <v>897</v>
      </c>
      <c r="K917">
        <v>-60</v>
      </c>
    </row>
    <row r="918" spans="1:11" x14ac:dyDescent="0.25">
      <c r="A918" s="3" t="s">
        <v>369</v>
      </c>
      <c r="B918" s="3">
        <v>22</v>
      </c>
      <c r="C918" s="3">
        <v>-12</v>
      </c>
      <c r="D918" s="3">
        <v>3</v>
      </c>
      <c r="E918" s="3" t="s">
        <v>899</v>
      </c>
      <c r="F918" s="3" t="s">
        <v>907</v>
      </c>
      <c r="G918" s="3" t="s">
        <v>891</v>
      </c>
      <c r="K918">
        <v>2</v>
      </c>
    </row>
    <row r="919" spans="1:11" x14ac:dyDescent="0.25">
      <c r="A919" s="3" t="s">
        <v>246</v>
      </c>
      <c r="B919" s="3">
        <v>97</v>
      </c>
      <c r="C919" s="3">
        <v>17</v>
      </c>
      <c r="D919" s="3">
        <v>2</v>
      </c>
      <c r="E919" s="3" t="s">
        <v>899</v>
      </c>
      <c r="F919" s="3" t="s">
        <v>907</v>
      </c>
      <c r="G919" s="3" t="s">
        <v>897</v>
      </c>
      <c r="K919">
        <v>-2</v>
      </c>
    </row>
    <row r="920" spans="1:11" x14ac:dyDescent="0.25">
      <c r="A920" s="3" t="s">
        <v>557</v>
      </c>
      <c r="B920" s="3">
        <v>57</v>
      </c>
      <c r="C920" s="3">
        <v>24</v>
      </c>
      <c r="D920" s="3">
        <v>5</v>
      </c>
      <c r="E920" s="3" t="s">
        <v>899</v>
      </c>
      <c r="F920" s="3" t="s">
        <v>908</v>
      </c>
      <c r="G920" s="3" t="s">
        <v>891</v>
      </c>
      <c r="K920">
        <v>-443</v>
      </c>
    </row>
    <row r="921" spans="1:11" x14ac:dyDescent="0.25">
      <c r="A921" s="3" t="s">
        <v>724</v>
      </c>
      <c r="B921" s="3">
        <v>97</v>
      </c>
      <c r="C921" s="3">
        <v>14</v>
      </c>
      <c r="D921" s="3">
        <v>2</v>
      </c>
      <c r="E921" s="3" t="s">
        <v>899</v>
      </c>
      <c r="F921" s="3" t="s">
        <v>910</v>
      </c>
      <c r="G921" s="3" t="s">
        <v>897</v>
      </c>
      <c r="K921">
        <v>315</v>
      </c>
    </row>
    <row r="922" spans="1:11" x14ac:dyDescent="0.25">
      <c r="A922" s="3" t="s">
        <v>403</v>
      </c>
      <c r="B922" s="3">
        <v>97</v>
      </c>
      <c r="C922" s="3">
        <v>17</v>
      </c>
      <c r="D922" s="3">
        <v>2</v>
      </c>
      <c r="E922" s="3" t="s">
        <v>899</v>
      </c>
      <c r="F922" s="3" t="s">
        <v>907</v>
      </c>
      <c r="G922" s="3" t="s">
        <v>897</v>
      </c>
      <c r="K922">
        <v>441</v>
      </c>
    </row>
    <row r="923" spans="1:11" x14ac:dyDescent="0.25">
      <c r="A923" s="3" t="s">
        <v>183</v>
      </c>
      <c r="B923" s="3">
        <v>96</v>
      </c>
      <c r="C923" s="3">
        <v>22</v>
      </c>
      <c r="D923" s="3">
        <v>5</v>
      </c>
      <c r="E923" s="3" t="s">
        <v>899</v>
      </c>
      <c r="F923" s="3" t="s">
        <v>907</v>
      </c>
      <c r="G923" s="3" t="s">
        <v>897</v>
      </c>
      <c r="K923">
        <v>5</v>
      </c>
    </row>
    <row r="924" spans="1:11" x14ac:dyDescent="0.25">
      <c r="A924" s="3" t="s">
        <v>294</v>
      </c>
      <c r="B924" s="3">
        <v>94</v>
      </c>
      <c r="C924" s="3">
        <v>27</v>
      </c>
      <c r="D924" s="3">
        <v>2</v>
      </c>
      <c r="E924" s="3" t="s">
        <v>899</v>
      </c>
      <c r="F924" s="3" t="s">
        <v>913</v>
      </c>
      <c r="G924" s="3" t="s">
        <v>897</v>
      </c>
      <c r="K924">
        <v>552</v>
      </c>
    </row>
    <row r="925" spans="1:11" x14ac:dyDescent="0.25">
      <c r="A925" s="3" t="s">
        <v>271</v>
      </c>
      <c r="B925" s="3">
        <v>26</v>
      </c>
      <c r="C925" s="3">
        <v>-17</v>
      </c>
      <c r="D925" s="3">
        <v>1</v>
      </c>
      <c r="E925" s="3" t="s">
        <v>899</v>
      </c>
      <c r="F925" s="3" t="s">
        <v>907</v>
      </c>
      <c r="G925" s="3" t="s">
        <v>891</v>
      </c>
      <c r="K925">
        <v>-6</v>
      </c>
    </row>
    <row r="926" spans="1:11" x14ac:dyDescent="0.25">
      <c r="A926" s="3" t="s">
        <v>730</v>
      </c>
      <c r="B926" s="3">
        <v>93</v>
      </c>
      <c r="C926" s="3">
        <v>44</v>
      </c>
      <c r="D926" s="3">
        <v>2</v>
      </c>
      <c r="E926" s="3" t="s">
        <v>899</v>
      </c>
      <c r="F926" s="3" t="s">
        <v>907</v>
      </c>
      <c r="G926" s="3" t="s">
        <v>897</v>
      </c>
      <c r="K926">
        <v>-12</v>
      </c>
    </row>
    <row r="927" spans="1:11" x14ac:dyDescent="0.25">
      <c r="A927" s="3" t="s">
        <v>488</v>
      </c>
      <c r="B927" s="3">
        <v>93</v>
      </c>
      <c r="C927" s="3">
        <v>-65</v>
      </c>
      <c r="D927" s="3">
        <v>4</v>
      </c>
      <c r="E927" s="3" t="s">
        <v>899</v>
      </c>
      <c r="F927" s="3" t="s">
        <v>907</v>
      </c>
      <c r="G927" s="3" t="s">
        <v>897</v>
      </c>
      <c r="K927">
        <v>3</v>
      </c>
    </row>
    <row r="928" spans="1:11" x14ac:dyDescent="0.25">
      <c r="A928" s="3" t="s">
        <v>506</v>
      </c>
      <c r="B928" s="3">
        <v>92</v>
      </c>
      <c r="C928" s="3">
        <v>5</v>
      </c>
      <c r="D928" s="3">
        <v>6</v>
      </c>
      <c r="E928" s="3" t="s">
        <v>899</v>
      </c>
      <c r="F928" s="3" t="s">
        <v>903</v>
      </c>
      <c r="G928" s="3" t="s">
        <v>897</v>
      </c>
      <c r="K928">
        <v>421</v>
      </c>
    </row>
    <row r="929" spans="1:11" x14ac:dyDescent="0.25">
      <c r="A929" s="3" t="s">
        <v>472</v>
      </c>
      <c r="B929" s="3">
        <v>57</v>
      </c>
      <c r="C929" s="3">
        <v>27</v>
      </c>
      <c r="D929" s="3">
        <v>2</v>
      </c>
      <c r="E929" s="3" t="s">
        <v>899</v>
      </c>
      <c r="F929" s="3" t="s">
        <v>910</v>
      </c>
      <c r="G929" s="3" t="s">
        <v>891</v>
      </c>
      <c r="K929">
        <v>568</v>
      </c>
    </row>
    <row r="930" spans="1:11" x14ac:dyDescent="0.25">
      <c r="A930" s="3" t="s">
        <v>252</v>
      </c>
      <c r="B930" s="3">
        <v>57</v>
      </c>
      <c r="C930" s="3">
        <v>7</v>
      </c>
      <c r="D930" s="3">
        <v>3</v>
      </c>
      <c r="E930" s="3" t="s">
        <v>892</v>
      </c>
      <c r="F930" s="3" t="s">
        <v>912</v>
      </c>
      <c r="G930" s="3" t="s">
        <v>891</v>
      </c>
      <c r="K930">
        <v>-9</v>
      </c>
    </row>
    <row r="931" spans="1:11" x14ac:dyDescent="0.25">
      <c r="A931" s="3" t="s">
        <v>785</v>
      </c>
      <c r="B931" s="3">
        <v>57</v>
      </c>
      <c r="C931" s="3">
        <v>21</v>
      </c>
      <c r="D931" s="3">
        <v>4</v>
      </c>
      <c r="E931" s="3" t="s">
        <v>899</v>
      </c>
      <c r="F931" s="3" t="s">
        <v>908</v>
      </c>
      <c r="G931" s="3" t="s">
        <v>891</v>
      </c>
      <c r="K931">
        <v>-7</v>
      </c>
    </row>
    <row r="932" spans="1:11" x14ac:dyDescent="0.25">
      <c r="A932" s="3" t="s">
        <v>546</v>
      </c>
      <c r="B932" s="3">
        <v>128</v>
      </c>
      <c r="C932" s="3">
        <v>4</v>
      </c>
      <c r="D932" s="3">
        <v>3</v>
      </c>
      <c r="E932" s="3" t="s">
        <v>899</v>
      </c>
      <c r="F932" s="3" t="s">
        <v>901</v>
      </c>
      <c r="G932" s="3" t="s">
        <v>891</v>
      </c>
      <c r="K932">
        <v>5</v>
      </c>
    </row>
    <row r="933" spans="1:11" x14ac:dyDescent="0.25">
      <c r="A933" s="3" t="s">
        <v>83</v>
      </c>
      <c r="B933" s="3">
        <v>89</v>
      </c>
      <c r="C933" s="3">
        <v>-4</v>
      </c>
      <c r="D933" s="3">
        <v>5</v>
      </c>
      <c r="E933" s="3" t="s">
        <v>899</v>
      </c>
      <c r="F933" s="3" t="s">
        <v>901</v>
      </c>
      <c r="G933" s="3" t="s">
        <v>897</v>
      </c>
      <c r="K933">
        <v>7</v>
      </c>
    </row>
    <row r="934" spans="1:11" x14ac:dyDescent="0.25">
      <c r="A934" s="3" t="s">
        <v>9</v>
      </c>
      <c r="B934" s="3">
        <v>221</v>
      </c>
      <c r="C934" s="3">
        <v>26</v>
      </c>
      <c r="D934" s="3">
        <v>7</v>
      </c>
      <c r="E934" s="3" t="s">
        <v>892</v>
      </c>
      <c r="F934" s="3" t="s">
        <v>912</v>
      </c>
      <c r="G934" s="3" t="s">
        <v>891</v>
      </c>
      <c r="K934">
        <v>-2</v>
      </c>
    </row>
    <row r="935" spans="1:11" x14ac:dyDescent="0.25">
      <c r="A935" s="3" t="s">
        <v>559</v>
      </c>
      <c r="B935" s="3">
        <v>205</v>
      </c>
      <c r="C935" s="3">
        <v>-119</v>
      </c>
      <c r="D935" s="3">
        <v>3</v>
      </c>
      <c r="E935" s="3" t="s">
        <v>899</v>
      </c>
      <c r="F935" s="3" t="s">
        <v>901</v>
      </c>
      <c r="G935" s="3" t="s">
        <v>911</v>
      </c>
      <c r="K935">
        <v>680</v>
      </c>
    </row>
    <row r="936" spans="1:11" x14ac:dyDescent="0.25">
      <c r="A936" s="3" t="s">
        <v>573</v>
      </c>
      <c r="B936" s="3">
        <v>191</v>
      </c>
      <c r="C936" s="3">
        <v>51</v>
      </c>
      <c r="D936" s="3">
        <v>5</v>
      </c>
      <c r="E936" s="3" t="s">
        <v>899</v>
      </c>
      <c r="F936" s="3" t="s">
        <v>913</v>
      </c>
      <c r="G936" s="3" t="s">
        <v>902</v>
      </c>
      <c r="K936">
        <v>-1</v>
      </c>
    </row>
    <row r="937" spans="1:11" x14ac:dyDescent="0.25">
      <c r="A937" s="3" t="s">
        <v>427</v>
      </c>
      <c r="B937" s="3">
        <v>206</v>
      </c>
      <c r="C937" s="3">
        <v>18</v>
      </c>
      <c r="D937" s="3">
        <v>4</v>
      </c>
      <c r="E937" s="3" t="s">
        <v>899</v>
      </c>
      <c r="F937" s="3" t="s">
        <v>903</v>
      </c>
      <c r="G937" s="3" t="s">
        <v>911</v>
      </c>
      <c r="K937">
        <v>-2</v>
      </c>
    </row>
    <row r="938" spans="1:11" x14ac:dyDescent="0.25">
      <c r="A938" s="3" t="s">
        <v>387</v>
      </c>
      <c r="B938" s="3">
        <v>56</v>
      </c>
      <c r="C938" s="3">
        <v>0</v>
      </c>
      <c r="D938" s="3">
        <v>4</v>
      </c>
      <c r="E938" s="3" t="s">
        <v>899</v>
      </c>
      <c r="F938" s="3" t="s">
        <v>903</v>
      </c>
      <c r="G938" s="3" t="s">
        <v>891</v>
      </c>
      <c r="K938">
        <v>4</v>
      </c>
    </row>
    <row r="939" spans="1:11" x14ac:dyDescent="0.25">
      <c r="A939" s="3" t="s">
        <v>421</v>
      </c>
      <c r="B939" s="3">
        <v>88</v>
      </c>
      <c r="C939" s="3">
        <v>16</v>
      </c>
      <c r="D939" s="3">
        <v>4</v>
      </c>
      <c r="E939" s="3" t="s">
        <v>899</v>
      </c>
      <c r="F939" s="3" t="s">
        <v>907</v>
      </c>
      <c r="G939" s="3" t="s">
        <v>897</v>
      </c>
      <c r="K939">
        <v>-6</v>
      </c>
    </row>
    <row r="940" spans="1:11" x14ac:dyDescent="0.25">
      <c r="A940" s="3" t="s">
        <v>543</v>
      </c>
      <c r="B940" s="3">
        <v>224</v>
      </c>
      <c r="C940" s="3">
        <v>58</v>
      </c>
      <c r="D940" s="3">
        <v>3</v>
      </c>
      <c r="E940" s="3" t="s">
        <v>889</v>
      </c>
      <c r="F940" s="3" t="s">
        <v>898</v>
      </c>
      <c r="G940" s="3" t="s">
        <v>902</v>
      </c>
      <c r="K940">
        <v>2</v>
      </c>
    </row>
    <row r="941" spans="1:11" x14ac:dyDescent="0.25">
      <c r="A941" s="3" t="s">
        <v>569</v>
      </c>
      <c r="B941" s="3">
        <v>193</v>
      </c>
      <c r="C941" s="3">
        <v>8</v>
      </c>
      <c r="D941" s="3">
        <v>4</v>
      </c>
      <c r="E941" s="3" t="s">
        <v>899</v>
      </c>
      <c r="F941" s="3" t="s">
        <v>910</v>
      </c>
      <c r="G941" s="3" t="s">
        <v>902</v>
      </c>
      <c r="K941">
        <v>-6</v>
      </c>
    </row>
    <row r="942" spans="1:11" x14ac:dyDescent="0.25">
      <c r="A942" s="3" t="s">
        <v>177</v>
      </c>
      <c r="B942" s="3">
        <v>87</v>
      </c>
      <c r="C942" s="3">
        <v>36</v>
      </c>
      <c r="D942" s="3">
        <v>5</v>
      </c>
      <c r="E942" s="3" t="s">
        <v>899</v>
      </c>
      <c r="F942" s="3" t="s">
        <v>907</v>
      </c>
      <c r="G942" s="3" t="s">
        <v>897</v>
      </c>
      <c r="K942">
        <v>-4</v>
      </c>
    </row>
    <row r="943" spans="1:11" x14ac:dyDescent="0.25">
      <c r="A943" s="3" t="s">
        <v>478</v>
      </c>
      <c r="B943" s="3">
        <v>189</v>
      </c>
      <c r="C943" s="3">
        <v>4</v>
      </c>
      <c r="D943" s="3">
        <v>1</v>
      </c>
      <c r="E943" s="3" t="s">
        <v>899</v>
      </c>
      <c r="F943" s="3" t="s">
        <v>901</v>
      </c>
      <c r="G943" s="3" t="s">
        <v>902</v>
      </c>
      <c r="K943">
        <v>-2</v>
      </c>
    </row>
    <row r="944" spans="1:11" x14ac:dyDescent="0.25">
      <c r="A944" s="3" t="s">
        <v>118</v>
      </c>
      <c r="B944" s="3">
        <v>55</v>
      </c>
      <c r="C944" s="3">
        <v>-33</v>
      </c>
      <c r="D944" s="3">
        <v>2</v>
      </c>
      <c r="E944" s="3" t="s">
        <v>892</v>
      </c>
      <c r="F944" s="3" t="s">
        <v>893</v>
      </c>
      <c r="G944" s="3" t="s">
        <v>891</v>
      </c>
      <c r="K944">
        <v>-1</v>
      </c>
    </row>
    <row r="945" spans="1:11" x14ac:dyDescent="0.25">
      <c r="A945" s="3" t="s">
        <v>741</v>
      </c>
      <c r="B945" s="3">
        <v>85</v>
      </c>
      <c r="C945" s="3">
        <v>-1</v>
      </c>
      <c r="D945" s="3">
        <v>3</v>
      </c>
      <c r="E945" s="3" t="s">
        <v>899</v>
      </c>
      <c r="F945" s="3" t="s">
        <v>901</v>
      </c>
      <c r="G945" s="3" t="s">
        <v>897</v>
      </c>
      <c r="K945">
        <v>-3</v>
      </c>
    </row>
    <row r="946" spans="1:11" x14ac:dyDescent="0.25">
      <c r="A946" s="3" t="s">
        <v>311</v>
      </c>
      <c r="B946" s="3">
        <v>252</v>
      </c>
      <c r="C946" s="3">
        <v>56</v>
      </c>
      <c r="D946" s="3">
        <v>2</v>
      </c>
      <c r="E946" s="3" t="s">
        <v>889</v>
      </c>
      <c r="F946" s="3" t="s">
        <v>898</v>
      </c>
      <c r="G946" s="3" t="s">
        <v>902</v>
      </c>
      <c r="K946">
        <v>1</v>
      </c>
    </row>
    <row r="947" spans="1:11" x14ac:dyDescent="0.25">
      <c r="A947" s="3" t="s">
        <v>144</v>
      </c>
      <c r="B947" s="3">
        <v>197</v>
      </c>
      <c r="C947" s="3">
        <v>73</v>
      </c>
      <c r="D947" s="3">
        <v>1</v>
      </c>
      <c r="E947" s="3" t="s">
        <v>892</v>
      </c>
      <c r="F947" s="3" t="s">
        <v>895</v>
      </c>
      <c r="G947" s="3" t="s">
        <v>891</v>
      </c>
      <c r="K947">
        <v>0</v>
      </c>
    </row>
    <row r="948" spans="1:11" x14ac:dyDescent="0.25">
      <c r="A948" s="3" t="s">
        <v>539</v>
      </c>
      <c r="B948" s="3">
        <v>17</v>
      </c>
      <c r="C948" s="3">
        <v>-3</v>
      </c>
      <c r="D948" s="3">
        <v>2</v>
      </c>
      <c r="E948" s="3" t="s">
        <v>899</v>
      </c>
      <c r="F948" s="3" t="s">
        <v>907</v>
      </c>
      <c r="G948" s="3" t="s">
        <v>902</v>
      </c>
      <c r="K948">
        <v>-3</v>
      </c>
    </row>
    <row r="949" spans="1:11" x14ac:dyDescent="0.25">
      <c r="A949" s="3" t="s">
        <v>715</v>
      </c>
      <c r="B949" s="3">
        <v>100</v>
      </c>
      <c r="C949" s="3">
        <v>28</v>
      </c>
      <c r="D949" s="3">
        <v>2</v>
      </c>
      <c r="E949" s="3" t="s">
        <v>899</v>
      </c>
      <c r="F949" s="3" t="s">
        <v>903</v>
      </c>
      <c r="G949" s="3" t="s">
        <v>902</v>
      </c>
      <c r="K949">
        <v>-35</v>
      </c>
    </row>
    <row r="950" spans="1:11" x14ac:dyDescent="0.25">
      <c r="A950" s="3" t="s">
        <v>73</v>
      </c>
      <c r="B950" s="3">
        <v>80</v>
      </c>
      <c r="C950" s="3">
        <v>-19</v>
      </c>
      <c r="D950" s="3">
        <v>5</v>
      </c>
      <c r="E950" s="3" t="s">
        <v>899</v>
      </c>
      <c r="F950" s="3" t="s">
        <v>907</v>
      </c>
      <c r="G950" s="3" t="s">
        <v>902</v>
      </c>
      <c r="K950">
        <v>-2</v>
      </c>
    </row>
    <row r="951" spans="1:11" x14ac:dyDescent="0.25">
      <c r="A951" s="3" t="s">
        <v>353</v>
      </c>
      <c r="B951" s="3">
        <v>75</v>
      </c>
      <c r="C951" s="3">
        <v>29</v>
      </c>
      <c r="D951" s="3">
        <v>1</v>
      </c>
      <c r="E951" s="3" t="s">
        <v>899</v>
      </c>
      <c r="F951" s="3" t="s">
        <v>900</v>
      </c>
      <c r="G951" s="3" t="s">
        <v>902</v>
      </c>
    </row>
    <row r="952" spans="1:11" x14ac:dyDescent="0.25">
      <c r="A952" s="3" t="s">
        <v>73</v>
      </c>
      <c r="B952" s="3">
        <v>26</v>
      </c>
      <c r="C952" s="3">
        <v>4</v>
      </c>
      <c r="D952" s="3">
        <v>2</v>
      </c>
      <c r="E952" s="3" t="s">
        <v>899</v>
      </c>
      <c r="F952" s="3" t="s">
        <v>901</v>
      </c>
      <c r="G952" s="3" t="s">
        <v>902</v>
      </c>
    </row>
    <row r="953" spans="1:11" x14ac:dyDescent="0.25">
      <c r="A953" s="3" t="s">
        <v>789</v>
      </c>
      <c r="B953" s="3">
        <v>55</v>
      </c>
      <c r="C953" s="3">
        <v>12</v>
      </c>
      <c r="D953" s="3">
        <v>5</v>
      </c>
      <c r="E953" s="3" t="s">
        <v>899</v>
      </c>
      <c r="F953" s="3" t="s">
        <v>905</v>
      </c>
      <c r="G953" s="3" t="s">
        <v>891</v>
      </c>
    </row>
    <row r="954" spans="1:11" x14ac:dyDescent="0.25">
      <c r="A954" s="3" t="s">
        <v>612</v>
      </c>
      <c r="B954" s="3">
        <v>157</v>
      </c>
      <c r="C954" s="3">
        <v>5</v>
      </c>
      <c r="D954" s="3">
        <v>9</v>
      </c>
      <c r="E954" s="3" t="s">
        <v>899</v>
      </c>
      <c r="F954" s="3" t="s">
        <v>901</v>
      </c>
      <c r="G954" s="3" t="s">
        <v>902</v>
      </c>
    </row>
    <row r="955" spans="1:11" x14ac:dyDescent="0.25">
      <c r="A955" s="3" t="s">
        <v>260</v>
      </c>
      <c r="B955" s="3">
        <v>200</v>
      </c>
      <c r="C955" s="3">
        <v>-60</v>
      </c>
      <c r="D955" s="3">
        <v>4</v>
      </c>
      <c r="E955" s="3" t="s">
        <v>892</v>
      </c>
      <c r="F955" s="3" t="s">
        <v>895</v>
      </c>
      <c r="G955" s="3" t="s">
        <v>902</v>
      </c>
    </row>
    <row r="956" spans="1:11" x14ac:dyDescent="0.25">
      <c r="A956" s="3" t="s">
        <v>356</v>
      </c>
      <c r="B956" s="3">
        <v>230</v>
      </c>
      <c r="C956" s="3">
        <v>5</v>
      </c>
      <c r="D956" s="3">
        <v>2</v>
      </c>
      <c r="E956" s="3" t="s">
        <v>899</v>
      </c>
      <c r="F956" s="3" t="s">
        <v>901</v>
      </c>
      <c r="G956" s="3" t="s">
        <v>902</v>
      </c>
    </row>
    <row r="957" spans="1:11" x14ac:dyDescent="0.25">
      <c r="A957" s="3" t="s">
        <v>427</v>
      </c>
      <c r="B957" s="3">
        <v>213</v>
      </c>
      <c r="C957" s="3">
        <v>-145</v>
      </c>
      <c r="D957" s="3">
        <v>3</v>
      </c>
      <c r="E957" s="3" t="s">
        <v>892</v>
      </c>
      <c r="F957" s="3" t="s">
        <v>895</v>
      </c>
      <c r="G957" s="3" t="s">
        <v>911</v>
      </c>
    </row>
    <row r="958" spans="1:11" x14ac:dyDescent="0.25">
      <c r="A958" s="3" t="s">
        <v>787</v>
      </c>
      <c r="B958" s="3">
        <v>55</v>
      </c>
      <c r="C958" s="3">
        <v>4</v>
      </c>
      <c r="D958" s="3">
        <v>2</v>
      </c>
      <c r="E958" s="3" t="s">
        <v>899</v>
      </c>
      <c r="F958" s="3" t="s">
        <v>907</v>
      </c>
      <c r="G958" s="3" t="s">
        <v>891</v>
      </c>
    </row>
    <row r="959" spans="1:11" x14ac:dyDescent="0.25">
      <c r="A959" s="3" t="s">
        <v>545</v>
      </c>
      <c r="B959" s="3">
        <v>220</v>
      </c>
      <c r="C959" s="3">
        <v>-19</v>
      </c>
      <c r="D959" s="3">
        <v>2</v>
      </c>
      <c r="E959" s="3" t="s">
        <v>899</v>
      </c>
      <c r="F959" s="3" t="s">
        <v>901</v>
      </c>
      <c r="G959" s="3" t="s">
        <v>911</v>
      </c>
    </row>
    <row r="960" spans="1:11" x14ac:dyDescent="0.25">
      <c r="A960" s="3" t="s">
        <v>79</v>
      </c>
      <c r="B960" s="3">
        <v>150</v>
      </c>
      <c r="C960" s="3">
        <v>32</v>
      </c>
      <c r="D960" s="3">
        <v>3</v>
      </c>
      <c r="E960" s="3" t="s">
        <v>899</v>
      </c>
      <c r="F960" s="3" t="s">
        <v>903</v>
      </c>
      <c r="G960" s="3" t="s">
        <v>891</v>
      </c>
    </row>
    <row r="961" spans="1:7" x14ac:dyDescent="0.25">
      <c r="A961" s="3" t="s">
        <v>288</v>
      </c>
      <c r="B961" s="3">
        <v>203</v>
      </c>
      <c r="C961" s="3">
        <v>84</v>
      </c>
      <c r="D961" s="3">
        <v>2</v>
      </c>
      <c r="E961" s="3" t="s">
        <v>889</v>
      </c>
      <c r="F961" s="3" t="s">
        <v>896</v>
      </c>
      <c r="G961" s="3" t="s">
        <v>902</v>
      </c>
    </row>
    <row r="962" spans="1:7" x14ac:dyDescent="0.25">
      <c r="A962" s="3" t="s">
        <v>352</v>
      </c>
      <c r="B962" s="3">
        <v>93</v>
      </c>
      <c r="C962" s="3">
        <v>31</v>
      </c>
      <c r="D962" s="3">
        <v>3</v>
      </c>
      <c r="E962" s="3" t="s">
        <v>889</v>
      </c>
      <c r="F962" s="3" t="s">
        <v>909</v>
      </c>
      <c r="G962" s="3" t="s">
        <v>902</v>
      </c>
    </row>
    <row r="963" spans="1:7" x14ac:dyDescent="0.25">
      <c r="A963" s="3" t="s">
        <v>507</v>
      </c>
      <c r="B963" s="3">
        <v>290</v>
      </c>
      <c r="C963" s="3">
        <v>35</v>
      </c>
      <c r="D963" s="3">
        <v>6</v>
      </c>
      <c r="E963" s="3" t="s">
        <v>899</v>
      </c>
      <c r="F963" s="3" t="s">
        <v>903</v>
      </c>
      <c r="G963" s="3" t="s">
        <v>891</v>
      </c>
    </row>
    <row r="964" spans="1:7" x14ac:dyDescent="0.25">
      <c r="A964" s="3" t="s">
        <v>309</v>
      </c>
      <c r="B964" s="3">
        <v>48</v>
      </c>
      <c r="C964" s="3">
        <v>6</v>
      </c>
      <c r="D964" s="3">
        <v>1</v>
      </c>
      <c r="E964" s="3" t="s">
        <v>899</v>
      </c>
      <c r="F964" s="3" t="s">
        <v>901</v>
      </c>
      <c r="G964" s="3" t="s">
        <v>891</v>
      </c>
    </row>
    <row r="965" spans="1:7" x14ac:dyDescent="0.25">
      <c r="A965" s="3" t="s">
        <v>506</v>
      </c>
      <c r="B965" s="3">
        <v>221</v>
      </c>
      <c r="C965" s="3">
        <v>35</v>
      </c>
      <c r="D965" s="3">
        <v>4</v>
      </c>
      <c r="E965" s="3" t="s">
        <v>889</v>
      </c>
      <c r="F965" s="3" t="s">
        <v>909</v>
      </c>
      <c r="G965" s="3" t="s">
        <v>911</v>
      </c>
    </row>
    <row r="966" spans="1:7" x14ac:dyDescent="0.25">
      <c r="A966" s="3" t="s">
        <v>790</v>
      </c>
      <c r="B966" s="3">
        <v>55</v>
      </c>
      <c r="C966" s="3">
        <v>18</v>
      </c>
      <c r="D966" s="3">
        <v>2</v>
      </c>
      <c r="E966" s="3" t="s">
        <v>899</v>
      </c>
      <c r="F966" s="3" t="s">
        <v>904</v>
      </c>
      <c r="G966" s="3" t="s">
        <v>891</v>
      </c>
    </row>
    <row r="967" spans="1:7" x14ac:dyDescent="0.25">
      <c r="A967" s="3" t="s">
        <v>142</v>
      </c>
      <c r="B967" s="3">
        <v>227</v>
      </c>
      <c r="C967" s="3">
        <v>102</v>
      </c>
      <c r="D967" s="3">
        <v>8</v>
      </c>
      <c r="E967" s="3" t="s">
        <v>889</v>
      </c>
      <c r="F967" s="3" t="s">
        <v>909</v>
      </c>
      <c r="G967" s="3" t="s">
        <v>911</v>
      </c>
    </row>
    <row r="968" spans="1:7" x14ac:dyDescent="0.25">
      <c r="A968" s="3" t="s">
        <v>786</v>
      </c>
      <c r="B968" s="3">
        <v>55</v>
      </c>
      <c r="C968" s="3">
        <v>-39</v>
      </c>
      <c r="D968" s="3">
        <v>4</v>
      </c>
      <c r="E968" s="3" t="s">
        <v>899</v>
      </c>
      <c r="F968" s="3" t="s">
        <v>907</v>
      </c>
      <c r="G968" s="3" t="s">
        <v>891</v>
      </c>
    </row>
    <row r="969" spans="1:7" x14ac:dyDescent="0.25">
      <c r="A969" s="3" t="s">
        <v>507</v>
      </c>
      <c r="B969" s="3">
        <v>207</v>
      </c>
      <c r="C969" s="3">
        <v>33</v>
      </c>
      <c r="D969" s="3">
        <v>2</v>
      </c>
      <c r="E969" s="3" t="s">
        <v>889</v>
      </c>
      <c r="F969" s="3" t="s">
        <v>909</v>
      </c>
      <c r="G969" s="3" t="s">
        <v>902</v>
      </c>
    </row>
    <row r="970" spans="1:7" x14ac:dyDescent="0.25">
      <c r="A970" s="3" t="s">
        <v>768</v>
      </c>
      <c r="B970" s="3">
        <v>64</v>
      </c>
      <c r="C970" s="3">
        <v>6</v>
      </c>
      <c r="D970" s="3">
        <v>4</v>
      </c>
      <c r="E970" s="3" t="s">
        <v>899</v>
      </c>
      <c r="F970" s="3" t="s">
        <v>901</v>
      </c>
      <c r="G970" s="3" t="s">
        <v>891</v>
      </c>
    </row>
    <row r="971" spans="1:7" x14ac:dyDescent="0.25">
      <c r="A971" s="3" t="s">
        <v>166</v>
      </c>
      <c r="B971" s="3">
        <v>89</v>
      </c>
      <c r="C971" s="3">
        <v>6</v>
      </c>
      <c r="D971" s="3">
        <v>5</v>
      </c>
      <c r="E971" s="3" t="s">
        <v>899</v>
      </c>
      <c r="F971" s="3" t="s">
        <v>901</v>
      </c>
      <c r="G971" s="3" t="s">
        <v>891</v>
      </c>
    </row>
    <row r="972" spans="1:7" x14ac:dyDescent="0.25">
      <c r="A972" s="3" t="s">
        <v>93</v>
      </c>
      <c r="B972" s="3">
        <v>54</v>
      </c>
      <c r="C972" s="3">
        <v>27</v>
      </c>
      <c r="D972" s="3">
        <v>2</v>
      </c>
      <c r="E972" s="3" t="s">
        <v>899</v>
      </c>
      <c r="F972" s="3" t="s">
        <v>907</v>
      </c>
      <c r="G972" s="3" t="s">
        <v>891</v>
      </c>
    </row>
    <row r="973" spans="1:7" x14ac:dyDescent="0.25">
      <c r="A973" s="3" t="s">
        <v>290</v>
      </c>
      <c r="B973" s="3">
        <v>84</v>
      </c>
      <c r="C973" s="3">
        <v>41</v>
      </c>
      <c r="D973" s="3">
        <v>3</v>
      </c>
      <c r="E973" s="3" t="s">
        <v>899</v>
      </c>
      <c r="F973" s="3" t="s">
        <v>910</v>
      </c>
      <c r="G973" s="3" t="s">
        <v>897</v>
      </c>
    </row>
    <row r="974" spans="1:7" x14ac:dyDescent="0.25">
      <c r="A974" s="3" t="s">
        <v>530</v>
      </c>
      <c r="B974" s="3">
        <v>209</v>
      </c>
      <c r="C974" s="3">
        <v>-21</v>
      </c>
      <c r="D974" s="3">
        <v>2</v>
      </c>
      <c r="E974" s="3" t="s">
        <v>889</v>
      </c>
      <c r="F974" s="3" t="s">
        <v>890</v>
      </c>
      <c r="G974" s="3" t="s">
        <v>902</v>
      </c>
    </row>
    <row r="975" spans="1:7" x14ac:dyDescent="0.25">
      <c r="A975" s="3" t="s">
        <v>332</v>
      </c>
      <c r="B975" s="3">
        <v>79</v>
      </c>
      <c r="C975" s="3">
        <v>33</v>
      </c>
      <c r="D975" s="3">
        <v>4</v>
      </c>
      <c r="E975" s="3" t="s">
        <v>899</v>
      </c>
      <c r="F975" s="3" t="s">
        <v>907</v>
      </c>
      <c r="G975" s="3" t="s">
        <v>902</v>
      </c>
    </row>
    <row r="976" spans="1:7" x14ac:dyDescent="0.25">
      <c r="A976" s="3" t="s">
        <v>791</v>
      </c>
      <c r="B976" s="3">
        <v>54</v>
      </c>
      <c r="C976" s="3">
        <v>8</v>
      </c>
      <c r="D976" s="3">
        <v>4</v>
      </c>
      <c r="E976" s="3" t="s">
        <v>899</v>
      </c>
      <c r="F976" s="3" t="s">
        <v>910</v>
      </c>
      <c r="G976" s="3" t="s">
        <v>891</v>
      </c>
    </row>
    <row r="977" spans="1:7" x14ac:dyDescent="0.25">
      <c r="A977" s="3" t="s">
        <v>22</v>
      </c>
      <c r="B977" s="3">
        <v>229</v>
      </c>
      <c r="C977" s="3">
        <v>59</v>
      </c>
      <c r="D977" s="3">
        <v>9</v>
      </c>
      <c r="E977" s="3" t="s">
        <v>899</v>
      </c>
      <c r="F977" s="3" t="s">
        <v>901</v>
      </c>
      <c r="G977" s="3" t="s">
        <v>911</v>
      </c>
    </row>
    <row r="978" spans="1:7" x14ac:dyDescent="0.25">
      <c r="A978" s="3" t="s">
        <v>606</v>
      </c>
      <c r="B978" s="3">
        <v>158</v>
      </c>
      <c r="C978" s="3">
        <v>38</v>
      </c>
      <c r="D978" s="3">
        <v>3</v>
      </c>
      <c r="E978" s="3" t="s">
        <v>899</v>
      </c>
      <c r="F978" s="3" t="s">
        <v>903</v>
      </c>
      <c r="G978" s="3" t="s">
        <v>902</v>
      </c>
    </row>
    <row r="979" spans="1:7" x14ac:dyDescent="0.25">
      <c r="A979" s="3" t="s">
        <v>286</v>
      </c>
      <c r="B979" s="3">
        <v>248</v>
      </c>
      <c r="C979" s="3">
        <v>105</v>
      </c>
      <c r="D979" s="3">
        <v>2</v>
      </c>
      <c r="E979" s="3" t="s">
        <v>889</v>
      </c>
      <c r="F979" s="3" t="s">
        <v>898</v>
      </c>
      <c r="G979" s="3" t="s">
        <v>911</v>
      </c>
    </row>
    <row r="980" spans="1:7" x14ac:dyDescent="0.25">
      <c r="A980" s="3" t="s">
        <v>52</v>
      </c>
      <c r="B980" s="3">
        <v>199</v>
      </c>
      <c r="C980" s="3">
        <v>6</v>
      </c>
      <c r="D980" s="3">
        <v>2</v>
      </c>
      <c r="E980" s="3" t="s">
        <v>899</v>
      </c>
      <c r="F980" s="3" t="s">
        <v>901</v>
      </c>
      <c r="G980" s="3" t="s">
        <v>902</v>
      </c>
    </row>
    <row r="981" spans="1:7" x14ac:dyDescent="0.25">
      <c r="A981" s="3" t="s">
        <v>14</v>
      </c>
      <c r="B981" s="3">
        <v>253</v>
      </c>
      <c r="C981" s="3">
        <v>-11</v>
      </c>
      <c r="D981" s="3">
        <v>1</v>
      </c>
      <c r="E981" s="3" t="s">
        <v>899</v>
      </c>
      <c r="F981" s="3" t="s">
        <v>900</v>
      </c>
      <c r="G981" s="3" t="s">
        <v>911</v>
      </c>
    </row>
    <row r="982" spans="1:7" x14ac:dyDescent="0.25">
      <c r="A982" s="3" t="s">
        <v>124</v>
      </c>
      <c r="B982" s="3">
        <v>257</v>
      </c>
      <c r="C982" s="3">
        <v>-252</v>
      </c>
      <c r="D982" s="3">
        <v>4</v>
      </c>
      <c r="E982" s="3" t="s">
        <v>899</v>
      </c>
      <c r="F982" s="3" t="s">
        <v>901</v>
      </c>
      <c r="G982" s="3" t="s">
        <v>911</v>
      </c>
    </row>
    <row r="983" spans="1:7" x14ac:dyDescent="0.25">
      <c r="A983" s="3" t="s">
        <v>571</v>
      </c>
      <c r="B983" s="3">
        <v>193</v>
      </c>
      <c r="C983" s="3">
        <v>33</v>
      </c>
      <c r="D983" s="3">
        <v>5</v>
      </c>
      <c r="E983" s="3" t="s">
        <v>889</v>
      </c>
      <c r="F983" s="3" t="s">
        <v>909</v>
      </c>
      <c r="G983" s="3" t="s">
        <v>891</v>
      </c>
    </row>
    <row r="984" spans="1:7" x14ac:dyDescent="0.25">
      <c r="A984" s="3" t="s">
        <v>696</v>
      </c>
      <c r="B984" s="3">
        <v>109</v>
      </c>
      <c r="C984" s="3">
        <v>35</v>
      </c>
      <c r="D984" s="3">
        <v>6</v>
      </c>
      <c r="E984" s="3" t="s">
        <v>899</v>
      </c>
      <c r="F984" s="3" t="s">
        <v>910</v>
      </c>
      <c r="G984" s="3" t="s">
        <v>891</v>
      </c>
    </row>
    <row r="985" spans="1:7" x14ac:dyDescent="0.25">
      <c r="A985" s="3" t="s">
        <v>526</v>
      </c>
      <c r="B985" s="3">
        <v>214</v>
      </c>
      <c r="C985" s="3">
        <v>30</v>
      </c>
      <c r="D985" s="3">
        <v>3</v>
      </c>
      <c r="E985" s="3" t="s">
        <v>889</v>
      </c>
      <c r="F985" s="3" t="s">
        <v>909</v>
      </c>
      <c r="G985" s="3" t="s">
        <v>891</v>
      </c>
    </row>
    <row r="986" spans="1:7" x14ac:dyDescent="0.25">
      <c r="A986" s="3" t="s">
        <v>518</v>
      </c>
      <c r="B986" s="3">
        <v>141</v>
      </c>
      <c r="C986" s="3">
        <v>7</v>
      </c>
      <c r="D986" s="3">
        <v>7</v>
      </c>
      <c r="E986" s="3" t="s">
        <v>899</v>
      </c>
      <c r="F986" s="3" t="s">
        <v>901</v>
      </c>
      <c r="G986" s="3" t="s">
        <v>891</v>
      </c>
    </row>
    <row r="987" spans="1:7" x14ac:dyDescent="0.25">
      <c r="A987" s="3" t="s">
        <v>9</v>
      </c>
      <c r="B987" s="3">
        <v>201</v>
      </c>
      <c r="C987" s="3">
        <v>32</v>
      </c>
      <c r="D987" s="3">
        <v>4</v>
      </c>
      <c r="E987" s="3" t="s">
        <v>892</v>
      </c>
      <c r="F987" s="3" t="s">
        <v>912</v>
      </c>
      <c r="G987" s="3" t="s">
        <v>902</v>
      </c>
    </row>
    <row r="988" spans="1:7" x14ac:dyDescent="0.25">
      <c r="A988" s="3" t="s">
        <v>353</v>
      </c>
      <c r="B988" s="3">
        <v>54</v>
      </c>
      <c r="C988" s="3">
        <v>12</v>
      </c>
      <c r="D988" s="3">
        <v>4</v>
      </c>
      <c r="E988" s="3" t="s">
        <v>899</v>
      </c>
      <c r="F988" s="3" t="s">
        <v>913</v>
      </c>
      <c r="G988" s="3" t="s">
        <v>891</v>
      </c>
    </row>
    <row r="989" spans="1:7" x14ac:dyDescent="0.25">
      <c r="A989" s="3" t="s">
        <v>49</v>
      </c>
      <c r="B989" s="3">
        <v>83</v>
      </c>
      <c r="C989" s="3">
        <v>6</v>
      </c>
      <c r="D989" s="3">
        <v>6</v>
      </c>
      <c r="E989" s="3" t="s">
        <v>899</v>
      </c>
      <c r="F989" s="3" t="s">
        <v>913</v>
      </c>
      <c r="G989" s="3" t="s">
        <v>894</v>
      </c>
    </row>
    <row r="990" spans="1:7" x14ac:dyDescent="0.25">
      <c r="A990" s="3" t="s">
        <v>416</v>
      </c>
      <c r="B990" s="3">
        <v>54</v>
      </c>
      <c r="C990" s="3">
        <v>-3</v>
      </c>
      <c r="D990" s="3">
        <v>3</v>
      </c>
      <c r="E990" s="3" t="s">
        <v>899</v>
      </c>
      <c r="F990" s="3" t="s">
        <v>901</v>
      </c>
      <c r="G990" s="3" t="s">
        <v>891</v>
      </c>
    </row>
    <row r="991" spans="1:7" x14ac:dyDescent="0.25">
      <c r="A991" s="3" t="s">
        <v>232</v>
      </c>
      <c r="B991" s="3">
        <v>53</v>
      </c>
      <c r="C991" s="3">
        <v>5</v>
      </c>
      <c r="D991" s="3">
        <v>3</v>
      </c>
      <c r="E991" s="3" t="s">
        <v>899</v>
      </c>
      <c r="F991" s="3" t="s">
        <v>910</v>
      </c>
      <c r="G991" s="3" t="s">
        <v>891</v>
      </c>
    </row>
    <row r="992" spans="1:7" x14ac:dyDescent="0.25">
      <c r="A992" s="3" t="s">
        <v>265</v>
      </c>
      <c r="B992" s="3">
        <v>258</v>
      </c>
      <c r="C992" s="3">
        <v>-27</v>
      </c>
      <c r="D992" s="3">
        <v>2</v>
      </c>
      <c r="E992" s="3" t="s">
        <v>889</v>
      </c>
      <c r="F992" s="3" t="s">
        <v>898</v>
      </c>
      <c r="G992" s="3" t="s">
        <v>911</v>
      </c>
    </row>
    <row r="993" spans="1:7" x14ac:dyDescent="0.25">
      <c r="A993" s="3" t="s">
        <v>855</v>
      </c>
      <c r="B993" s="3">
        <v>199</v>
      </c>
      <c r="C993" s="3">
        <v>8</v>
      </c>
      <c r="D993" s="3">
        <v>2</v>
      </c>
      <c r="E993" s="3" t="s">
        <v>899</v>
      </c>
      <c r="F993" s="3" t="s">
        <v>901</v>
      </c>
      <c r="G993" s="3" t="s">
        <v>891</v>
      </c>
    </row>
    <row r="994" spans="1:7" x14ac:dyDescent="0.25">
      <c r="A994" s="3" t="s">
        <v>358</v>
      </c>
      <c r="B994" s="3">
        <v>82</v>
      </c>
      <c r="C994" s="3">
        <v>-27</v>
      </c>
      <c r="D994" s="3">
        <v>3</v>
      </c>
      <c r="E994" s="3" t="s">
        <v>899</v>
      </c>
      <c r="F994" s="3" t="s">
        <v>904</v>
      </c>
      <c r="G994" s="3" t="s">
        <v>894</v>
      </c>
    </row>
    <row r="995" spans="1:7" x14ac:dyDescent="0.25">
      <c r="A995" s="3" t="s">
        <v>360</v>
      </c>
      <c r="B995" s="3">
        <v>139</v>
      </c>
      <c r="C995" s="3">
        <v>36</v>
      </c>
      <c r="D995" s="3">
        <v>3</v>
      </c>
      <c r="E995" s="3" t="s">
        <v>899</v>
      </c>
      <c r="F995" s="3" t="s">
        <v>907</v>
      </c>
      <c r="G995" s="3" t="s">
        <v>891</v>
      </c>
    </row>
    <row r="996" spans="1:7" x14ac:dyDescent="0.25">
      <c r="A996" s="3" t="s">
        <v>18</v>
      </c>
      <c r="B996" s="3">
        <v>53</v>
      </c>
      <c r="C996" s="3">
        <v>15</v>
      </c>
      <c r="D996" s="3">
        <v>2</v>
      </c>
      <c r="E996" s="3" t="s">
        <v>899</v>
      </c>
      <c r="F996" s="3" t="s">
        <v>907</v>
      </c>
      <c r="G996" s="3" t="s">
        <v>891</v>
      </c>
    </row>
    <row r="997" spans="1:7" x14ac:dyDescent="0.25">
      <c r="A997" s="3" t="s">
        <v>608</v>
      </c>
      <c r="B997" s="3">
        <v>53</v>
      </c>
      <c r="C997" s="3">
        <v>1</v>
      </c>
      <c r="D997" s="3">
        <v>4</v>
      </c>
      <c r="E997" s="3" t="s">
        <v>899</v>
      </c>
      <c r="F997" s="3" t="s">
        <v>907</v>
      </c>
      <c r="G997" s="3" t="s">
        <v>891</v>
      </c>
    </row>
    <row r="998" spans="1:7" x14ac:dyDescent="0.25">
      <c r="A998" s="3" t="s">
        <v>709</v>
      </c>
      <c r="B998" s="3">
        <v>101</v>
      </c>
      <c r="C998" s="3">
        <v>38</v>
      </c>
      <c r="D998" s="3">
        <v>2</v>
      </c>
      <c r="E998" s="3" t="s">
        <v>892</v>
      </c>
      <c r="F998" s="3" t="s">
        <v>912</v>
      </c>
      <c r="G998" s="3" t="s">
        <v>891</v>
      </c>
    </row>
    <row r="999" spans="1:7" x14ac:dyDescent="0.25">
      <c r="A999" s="3" t="s">
        <v>488</v>
      </c>
      <c r="B999" s="3">
        <v>262</v>
      </c>
      <c r="C999" s="3">
        <v>215</v>
      </c>
      <c r="D999" s="3">
        <v>2</v>
      </c>
      <c r="E999" s="3" t="s">
        <v>889</v>
      </c>
      <c r="F999" s="3" t="s">
        <v>896</v>
      </c>
      <c r="G999" s="3" t="s">
        <v>911</v>
      </c>
    </row>
    <row r="1000" spans="1:7" x14ac:dyDescent="0.25">
      <c r="A1000" s="3" t="s">
        <v>337</v>
      </c>
      <c r="B1000" s="3">
        <v>82</v>
      </c>
      <c r="C1000" s="3">
        <v>-39</v>
      </c>
      <c r="D1000" s="3">
        <v>5</v>
      </c>
      <c r="E1000" s="3" t="s">
        <v>899</v>
      </c>
      <c r="F1000" s="3" t="s">
        <v>910</v>
      </c>
      <c r="G1000" s="3" t="s">
        <v>894</v>
      </c>
    </row>
    <row r="1001" spans="1:7" x14ac:dyDescent="0.25">
      <c r="A1001" s="3" t="s">
        <v>241</v>
      </c>
      <c r="B1001" s="3">
        <v>154</v>
      </c>
      <c r="C1001" s="3">
        <v>39</v>
      </c>
      <c r="D1001" s="3">
        <v>3</v>
      </c>
      <c r="E1001" s="3" t="s">
        <v>899</v>
      </c>
      <c r="F1001" s="3" t="s">
        <v>903</v>
      </c>
      <c r="G1001" s="3" t="s">
        <v>891</v>
      </c>
    </row>
    <row r="1002" spans="1:7" x14ac:dyDescent="0.25">
      <c r="A1002" s="3" t="s">
        <v>794</v>
      </c>
      <c r="B1002" s="3">
        <v>52</v>
      </c>
      <c r="C1002" s="3">
        <v>18</v>
      </c>
      <c r="D1002" s="3">
        <v>2</v>
      </c>
      <c r="E1002" s="3" t="s">
        <v>899</v>
      </c>
      <c r="F1002" s="3" t="s">
        <v>907</v>
      </c>
      <c r="G1002" s="3" t="s">
        <v>891</v>
      </c>
    </row>
    <row r="1003" spans="1:7" x14ac:dyDescent="0.25">
      <c r="A1003" s="3" t="s">
        <v>98</v>
      </c>
      <c r="B1003" s="3">
        <v>1599</v>
      </c>
      <c r="C1003" s="3">
        <v>37</v>
      </c>
      <c r="D1003" s="3">
        <v>6</v>
      </c>
      <c r="E1003" s="3" t="s">
        <v>889</v>
      </c>
      <c r="F1003" s="3" t="s">
        <v>890</v>
      </c>
      <c r="G1003" s="3" t="s">
        <v>902</v>
      </c>
    </row>
    <row r="1004" spans="1:7" x14ac:dyDescent="0.25">
      <c r="A1004" s="3" t="s">
        <v>469</v>
      </c>
      <c r="B1004" s="3">
        <v>338</v>
      </c>
      <c r="C1004" s="3">
        <v>41</v>
      </c>
      <c r="D1004" s="3">
        <v>7</v>
      </c>
      <c r="E1004" s="3" t="s">
        <v>899</v>
      </c>
      <c r="F1004" s="3" t="s">
        <v>903</v>
      </c>
      <c r="G1004" s="3" t="s">
        <v>902</v>
      </c>
    </row>
    <row r="1005" spans="1:7" x14ac:dyDescent="0.25">
      <c r="A1005" s="3" t="s">
        <v>271</v>
      </c>
      <c r="B1005" s="3">
        <v>51</v>
      </c>
      <c r="C1005" s="3">
        <v>-49</v>
      </c>
      <c r="D1005" s="3">
        <v>2</v>
      </c>
      <c r="E1005" s="3" t="s">
        <v>889</v>
      </c>
      <c r="F1005" s="3" t="s">
        <v>890</v>
      </c>
      <c r="G1005" s="3" t="s">
        <v>891</v>
      </c>
    </row>
    <row r="1006" spans="1:7" x14ac:dyDescent="0.25">
      <c r="A1006" s="3" t="s">
        <v>541</v>
      </c>
      <c r="B1006" s="3">
        <v>224</v>
      </c>
      <c r="C1006" s="3">
        <v>-81</v>
      </c>
      <c r="D1006" s="3">
        <v>3</v>
      </c>
      <c r="E1006" s="3" t="s">
        <v>892</v>
      </c>
      <c r="F1006" s="3" t="s">
        <v>893</v>
      </c>
      <c r="G1006" s="3" t="s">
        <v>891</v>
      </c>
    </row>
    <row r="1007" spans="1:7" x14ac:dyDescent="0.25">
      <c r="A1007" s="3" t="s">
        <v>42</v>
      </c>
      <c r="B1007" s="3">
        <v>207</v>
      </c>
      <c r="C1007" s="3">
        <v>37</v>
      </c>
      <c r="D1007" s="3">
        <v>4</v>
      </c>
      <c r="E1007" s="3" t="s">
        <v>899</v>
      </c>
      <c r="F1007" s="3" t="s">
        <v>903</v>
      </c>
      <c r="G1007" s="3" t="s">
        <v>891</v>
      </c>
    </row>
    <row r="1008" spans="1:7" x14ac:dyDescent="0.25">
      <c r="A1008" s="3" t="s">
        <v>796</v>
      </c>
      <c r="B1008" s="3">
        <v>51</v>
      </c>
      <c r="C1008" s="3">
        <v>14</v>
      </c>
      <c r="D1008" s="3">
        <v>2</v>
      </c>
      <c r="E1008" s="3" t="s">
        <v>899</v>
      </c>
      <c r="F1008" s="3" t="s">
        <v>907</v>
      </c>
      <c r="G1008" s="3" t="s">
        <v>891</v>
      </c>
    </row>
    <row r="1009" spans="1:7" x14ac:dyDescent="0.25">
      <c r="A1009" s="3" t="s">
        <v>392</v>
      </c>
      <c r="B1009" s="3">
        <v>82</v>
      </c>
      <c r="C1009" s="3">
        <v>8</v>
      </c>
      <c r="D1009" s="3">
        <v>3</v>
      </c>
      <c r="E1009" s="3" t="s">
        <v>889</v>
      </c>
      <c r="F1009" s="3" t="s">
        <v>909</v>
      </c>
      <c r="G1009" s="3" t="s">
        <v>894</v>
      </c>
    </row>
    <row r="1010" spans="1:7" x14ac:dyDescent="0.25">
      <c r="A1010" s="3" t="s">
        <v>802</v>
      </c>
      <c r="B1010" s="3">
        <v>50</v>
      </c>
      <c r="C1010" s="3">
        <v>-17</v>
      </c>
      <c r="D1010" s="3">
        <v>2</v>
      </c>
      <c r="E1010" s="3" t="s">
        <v>899</v>
      </c>
      <c r="F1010" s="3" t="s">
        <v>907</v>
      </c>
      <c r="G1010" s="3" t="s">
        <v>891</v>
      </c>
    </row>
    <row r="1011" spans="1:7" x14ac:dyDescent="0.25">
      <c r="A1011" s="3" t="s">
        <v>48</v>
      </c>
      <c r="B1011" s="3">
        <v>263</v>
      </c>
      <c r="C1011" s="3">
        <v>-31</v>
      </c>
      <c r="D1011" s="3">
        <v>9</v>
      </c>
      <c r="E1011" s="3" t="s">
        <v>889</v>
      </c>
      <c r="F1011" s="3" t="s">
        <v>890</v>
      </c>
      <c r="G1011" s="3" t="s">
        <v>911</v>
      </c>
    </row>
    <row r="1012" spans="1:7" x14ac:dyDescent="0.25">
      <c r="A1012" s="3" t="s">
        <v>526</v>
      </c>
      <c r="B1012" s="3">
        <v>50</v>
      </c>
      <c r="C1012" s="3">
        <v>7</v>
      </c>
      <c r="D1012" s="3">
        <v>6</v>
      </c>
      <c r="E1012" s="3" t="s">
        <v>899</v>
      </c>
      <c r="F1012" s="3" t="s">
        <v>905</v>
      </c>
      <c r="G1012" s="3" t="s">
        <v>891</v>
      </c>
    </row>
    <row r="1013" spans="1:7" x14ac:dyDescent="0.25">
      <c r="A1013" s="3" t="s">
        <v>423</v>
      </c>
      <c r="B1013" s="3">
        <v>245</v>
      </c>
      <c r="C1013" s="3">
        <v>-3</v>
      </c>
      <c r="D1013" s="3">
        <v>4</v>
      </c>
      <c r="E1013" s="3" t="s">
        <v>889</v>
      </c>
      <c r="F1013" s="3" t="s">
        <v>898</v>
      </c>
      <c r="G1013" s="3" t="s">
        <v>902</v>
      </c>
    </row>
    <row r="1014" spans="1:7" x14ac:dyDescent="0.25">
      <c r="A1014" s="3" t="s">
        <v>311</v>
      </c>
      <c r="B1014" s="3">
        <v>82</v>
      </c>
      <c r="C1014" s="3">
        <v>24</v>
      </c>
      <c r="D1014" s="3">
        <v>6</v>
      </c>
      <c r="E1014" s="3" t="s">
        <v>899</v>
      </c>
      <c r="F1014" s="3" t="s">
        <v>903</v>
      </c>
      <c r="G1014" s="3" t="s">
        <v>894</v>
      </c>
    </row>
    <row r="1015" spans="1:7" x14ac:dyDescent="0.25">
      <c r="A1015" s="3" t="s">
        <v>364</v>
      </c>
      <c r="B1015" s="3">
        <v>229</v>
      </c>
      <c r="C1015" s="3">
        <v>-41</v>
      </c>
      <c r="D1015" s="3">
        <v>8</v>
      </c>
      <c r="E1015" s="3" t="s">
        <v>889</v>
      </c>
      <c r="F1015" s="3" t="s">
        <v>909</v>
      </c>
      <c r="G1015" s="3" t="s">
        <v>891</v>
      </c>
    </row>
    <row r="1016" spans="1:7" x14ac:dyDescent="0.25">
      <c r="A1016" s="3" t="s">
        <v>286</v>
      </c>
      <c r="B1016" s="3">
        <v>50</v>
      </c>
      <c r="C1016" s="3">
        <v>14</v>
      </c>
      <c r="D1016" s="3">
        <v>1</v>
      </c>
      <c r="E1016" s="3" t="s">
        <v>889</v>
      </c>
      <c r="F1016" s="3" t="s">
        <v>890</v>
      </c>
      <c r="G1016" s="3" t="s">
        <v>891</v>
      </c>
    </row>
    <row r="1017" spans="1:7" x14ac:dyDescent="0.25">
      <c r="A1017" s="3" t="s">
        <v>427</v>
      </c>
      <c r="B1017" s="3">
        <v>220</v>
      </c>
      <c r="C1017" s="3">
        <v>40</v>
      </c>
      <c r="D1017" s="3">
        <v>2</v>
      </c>
      <c r="E1017" s="3" t="s">
        <v>889</v>
      </c>
      <c r="F1017" s="3" t="s">
        <v>909</v>
      </c>
      <c r="G1017" s="3" t="s">
        <v>891</v>
      </c>
    </row>
    <row r="1018" spans="1:7" x14ac:dyDescent="0.25">
      <c r="A1018" s="3" t="s">
        <v>206</v>
      </c>
      <c r="B1018" s="3">
        <v>263</v>
      </c>
      <c r="C1018" s="3">
        <v>-63</v>
      </c>
      <c r="D1018" s="3">
        <v>2</v>
      </c>
      <c r="E1018" s="3" t="s">
        <v>889</v>
      </c>
      <c r="F1018" s="3" t="s">
        <v>890</v>
      </c>
      <c r="G1018" s="3" t="s">
        <v>911</v>
      </c>
    </row>
    <row r="1019" spans="1:7" x14ac:dyDescent="0.25">
      <c r="A1019" s="3" t="s">
        <v>28</v>
      </c>
      <c r="B1019" s="3">
        <v>81</v>
      </c>
      <c r="C1019" s="3">
        <v>-41</v>
      </c>
      <c r="D1019" s="3">
        <v>5</v>
      </c>
      <c r="E1019" s="3" t="s">
        <v>899</v>
      </c>
      <c r="F1019" s="3" t="s">
        <v>908</v>
      </c>
      <c r="G1019" s="3" t="s">
        <v>894</v>
      </c>
    </row>
    <row r="1020" spans="1:7" x14ac:dyDescent="0.25">
      <c r="A1020" s="3" t="s">
        <v>798</v>
      </c>
      <c r="B1020" s="3">
        <v>50</v>
      </c>
      <c r="C1020" s="3">
        <v>-17</v>
      </c>
      <c r="D1020" s="3">
        <v>2</v>
      </c>
      <c r="E1020" s="3" t="s">
        <v>899</v>
      </c>
      <c r="F1020" s="3" t="s">
        <v>907</v>
      </c>
      <c r="G1020" s="3" t="s">
        <v>891</v>
      </c>
    </row>
    <row r="1021" spans="1:7" x14ac:dyDescent="0.25">
      <c r="A1021" s="3" t="s">
        <v>28</v>
      </c>
      <c r="B1021" s="3">
        <v>49</v>
      </c>
      <c r="C1021" s="3">
        <v>5</v>
      </c>
      <c r="D1021" s="3">
        <v>4</v>
      </c>
      <c r="E1021" s="3" t="s">
        <v>899</v>
      </c>
      <c r="F1021" s="3" t="s">
        <v>903</v>
      </c>
      <c r="G1021" s="3" t="s">
        <v>891</v>
      </c>
    </row>
    <row r="1022" spans="1:7" x14ac:dyDescent="0.25">
      <c r="A1022" s="3" t="s">
        <v>472</v>
      </c>
      <c r="B1022" s="3">
        <v>237</v>
      </c>
      <c r="C1022" s="3">
        <v>47</v>
      </c>
      <c r="D1022" s="3">
        <v>9</v>
      </c>
      <c r="E1022" s="3" t="s">
        <v>899</v>
      </c>
      <c r="F1022" s="3" t="s">
        <v>910</v>
      </c>
      <c r="G1022" s="3" t="s">
        <v>902</v>
      </c>
    </row>
    <row r="1023" spans="1:7" x14ac:dyDescent="0.25">
      <c r="A1023" s="3" t="s">
        <v>377</v>
      </c>
      <c r="B1023" s="3">
        <v>264</v>
      </c>
      <c r="C1023" s="3">
        <v>-30</v>
      </c>
      <c r="D1023" s="3">
        <v>3</v>
      </c>
      <c r="E1023" s="3" t="s">
        <v>892</v>
      </c>
      <c r="F1023" s="3" t="s">
        <v>912</v>
      </c>
      <c r="G1023" s="3" t="s">
        <v>911</v>
      </c>
    </row>
    <row r="1024" spans="1:7" x14ac:dyDescent="0.25">
      <c r="A1024" s="3" t="s">
        <v>260</v>
      </c>
      <c r="B1024" s="3">
        <v>49</v>
      </c>
      <c r="C1024" s="3">
        <v>3</v>
      </c>
      <c r="D1024" s="3">
        <v>1</v>
      </c>
      <c r="E1024" s="3" t="s">
        <v>899</v>
      </c>
      <c r="F1024" s="3" t="s">
        <v>913</v>
      </c>
      <c r="G1024" s="3" t="s">
        <v>891</v>
      </c>
    </row>
    <row r="1025" spans="1:7" x14ac:dyDescent="0.25">
      <c r="A1025" s="3" t="s">
        <v>124</v>
      </c>
      <c r="B1025" s="3">
        <v>63</v>
      </c>
      <c r="C1025" s="3">
        <v>-24</v>
      </c>
      <c r="D1025" s="3">
        <v>6</v>
      </c>
      <c r="E1025" s="3" t="s">
        <v>899</v>
      </c>
      <c r="F1025" s="3" t="s">
        <v>904</v>
      </c>
      <c r="G1025" s="3" t="s">
        <v>891</v>
      </c>
    </row>
    <row r="1026" spans="1:7" x14ac:dyDescent="0.25">
      <c r="A1026" s="3" t="s">
        <v>306</v>
      </c>
      <c r="B1026" s="3">
        <v>81</v>
      </c>
      <c r="C1026" s="3">
        <v>-51</v>
      </c>
      <c r="D1026" s="3">
        <v>7</v>
      </c>
      <c r="E1026" s="3" t="s">
        <v>899</v>
      </c>
      <c r="F1026" s="3" t="s">
        <v>907</v>
      </c>
      <c r="G1026" s="3" t="s">
        <v>894</v>
      </c>
    </row>
    <row r="1027" spans="1:7" x14ac:dyDescent="0.25">
      <c r="A1027" s="3" t="s">
        <v>326</v>
      </c>
      <c r="B1027" s="3">
        <v>264</v>
      </c>
      <c r="C1027" s="3">
        <v>71</v>
      </c>
      <c r="D1027" s="3">
        <v>10</v>
      </c>
      <c r="E1027" s="3" t="s">
        <v>892</v>
      </c>
      <c r="F1027" s="3" t="s">
        <v>912</v>
      </c>
      <c r="G1027" s="3" t="s">
        <v>911</v>
      </c>
    </row>
    <row r="1028" spans="1:7" x14ac:dyDescent="0.25">
      <c r="A1028" s="3" t="s">
        <v>237</v>
      </c>
      <c r="B1028" s="3">
        <v>48</v>
      </c>
      <c r="C1028" s="3">
        <v>11</v>
      </c>
      <c r="D1028" s="3">
        <v>2</v>
      </c>
      <c r="E1028" s="3" t="s">
        <v>899</v>
      </c>
      <c r="F1028" s="3" t="s">
        <v>913</v>
      </c>
      <c r="G1028" s="3" t="s">
        <v>891</v>
      </c>
    </row>
    <row r="1029" spans="1:7" x14ac:dyDescent="0.25">
      <c r="A1029" s="3" t="s">
        <v>44</v>
      </c>
      <c r="B1029" s="3">
        <v>48</v>
      </c>
      <c r="C1029" s="3">
        <v>15</v>
      </c>
      <c r="D1029" s="3">
        <v>1</v>
      </c>
      <c r="E1029" s="3" t="s">
        <v>899</v>
      </c>
      <c r="F1029" s="3" t="s">
        <v>903</v>
      </c>
      <c r="G1029" s="3" t="s">
        <v>891</v>
      </c>
    </row>
    <row r="1030" spans="1:7" x14ac:dyDescent="0.25">
      <c r="A1030" s="3" t="s">
        <v>226</v>
      </c>
      <c r="B1030" s="3">
        <v>245</v>
      </c>
      <c r="C1030" s="3">
        <v>-78</v>
      </c>
      <c r="D1030" s="3">
        <v>2</v>
      </c>
      <c r="E1030" s="3" t="s">
        <v>889</v>
      </c>
      <c r="F1030" s="3" t="s">
        <v>896</v>
      </c>
      <c r="G1030" s="3" t="s">
        <v>902</v>
      </c>
    </row>
    <row r="1031" spans="1:7" x14ac:dyDescent="0.25">
      <c r="A1031" s="3" t="s">
        <v>635</v>
      </c>
      <c r="B1031" s="3">
        <v>146</v>
      </c>
      <c r="C1031" s="3">
        <v>42</v>
      </c>
      <c r="D1031" s="3">
        <v>5</v>
      </c>
      <c r="E1031" s="3" t="s">
        <v>899</v>
      </c>
      <c r="F1031" s="3" t="s">
        <v>903</v>
      </c>
      <c r="G1031" s="3" t="s">
        <v>902</v>
      </c>
    </row>
    <row r="1032" spans="1:7" x14ac:dyDescent="0.25">
      <c r="A1032" s="3" t="s">
        <v>279</v>
      </c>
      <c r="B1032" s="3">
        <v>245</v>
      </c>
      <c r="C1032" s="3">
        <v>10</v>
      </c>
      <c r="D1032" s="3">
        <v>2</v>
      </c>
      <c r="E1032" s="3" t="s">
        <v>892</v>
      </c>
      <c r="F1032" s="3" t="s">
        <v>895</v>
      </c>
      <c r="G1032" s="3" t="s">
        <v>891</v>
      </c>
    </row>
    <row r="1033" spans="1:7" x14ac:dyDescent="0.25">
      <c r="A1033" s="3" t="s">
        <v>248</v>
      </c>
      <c r="B1033" s="3">
        <v>245</v>
      </c>
      <c r="C1033" s="3">
        <v>91</v>
      </c>
      <c r="D1033" s="3">
        <v>2</v>
      </c>
      <c r="E1033" s="3" t="s">
        <v>892</v>
      </c>
      <c r="F1033" s="3" t="s">
        <v>895</v>
      </c>
      <c r="G1033" s="3" t="s">
        <v>902</v>
      </c>
    </row>
    <row r="1034" spans="1:7" x14ac:dyDescent="0.25">
      <c r="A1034" s="3" t="s">
        <v>55</v>
      </c>
      <c r="B1034" s="3">
        <v>80</v>
      </c>
      <c r="C1034" s="3">
        <v>3</v>
      </c>
      <c r="D1034" s="3">
        <v>3</v>
      </c>
      <c r="E1034" s="3" t="s">
        <v>899</v>
      </c>
      <c r="F1034" s="3" t="s">
        <v>907</v>
      </c>
      <c r="G1034" s="3" t="s">
        <v>894</v>
      </c>
    </row>
    <row r="1035" spans="1:7" x14ac:dyDescent="0.25">
      <c r="A1035" s="3" t="s">
        <v>185</v>
      </c>
      <c r="B1035" s="3">
        <v>269</v>
      </c>
      <c r="C1035" s="3">
        <v>33</v>
      </c>
      <c r="D1035" s="3">
        <v>5</v>
      </c>
      <c r="E1035" s="3" t="s">
        <v>892</v>
      </c>
      <c r="F1035" s="3" t="s">
        <v>893</v>
      </c>
      <c r="G1035" s="3" t="s">
        <v>911</v>
      </c>
    </row>
    <row r="1036" spans="1:7" x14ac:dyDescent="0.25">
      <c r="A1036" s="3" t="s">
        <v>746</v>
      </c>
      <c r="B1036" s="3">
        <v>80</v>
      </c>
      <c r="C1036" s="3">
        <v>22</v>
      </c>
      <c r="D1036" s="3">
        <v>3</v>
      </c>
      <c r="E1036" s="3" t="s">
        <v>899</v>
      </c>
      <c r="F1036" s="3" t="s">
        <v>907</v>
      </c>
      <c r="G1036" s="3" t="s">
        <v>894</v>
      </c>
    </row>
    <row r="1037" spans="1:7" x14ac:dyDescent="0.25">
      <c r="A1037" s="3" t="s">
        <v>397</v>
      </c>
      <c r="B1037" s="3">
        <v>284</v>
      </c>
      <c r="C1037" s="3">
        <v>44</v>
      </c>
      <c r="D1037" s="3">
        <v>6</v>
      </c>
      <c r="E1037" s="3" t="s">
        <v>899</v>
      </c>
      <c r="F1037" s="3" t="s">
        <v>903</v>
      </c>
      <c r="G1037" s="3" t="s">
        <v>891</v>
      </c>
    </row>
    <row r="1038" spans="1:7" x14ac:dyDescent="0.25">
      <c r="A1038" s="3" t="s">
        <v>493</v>
      </c>
      <c r="B1038" s="3">
        <v>313</v>
      </c>
      <c r="C1038" s="3">
        <v>44</v>
      </c>
      <c r="D1038" s="3">
        <v>3</v>
      </c>
      <c r="E1038" s="3" t="s">
        <v>889</v>
      </c>
      <c r="F1038" s="3" t="s">
        <v>890</v>
      </c>
      <c r="G1038" s="3" t="s">
        <v>891</v>
      </c>
    </row>
    <row r="1039" spans="1:7" x14ac:dyDescent="0.25">
      <c r="A1039" s="3" t="s">
        <v>744</v>
      </c>
      <c r="B1039" s="3">
        <v>80</v>
      </c>
      <c r="C1039" s="3">
        <v>-26</v>
      </c>
      <c r="D1039" s="3">
        <v>9</v>
      </c>
      <c r="E1039" s="3" t="s">
        <v>899</v>
      </c>
      <c r="F1039" s="3" t="s">
        <v>905</v>
      </c>
      <c r="G1039" s="3" t="s">
        <v>894</v>
      </c>
    </row>
    <row r="1040" spans="1:7" x14ac:dyDescent="0.25">
      <c r="A1040" s="3" t="s">
        <v>803</v>
      </c>
      <c r="B1040" s="3">
        <v>48</v>
      </c>
      <c r="C1040" s="3">
        <v>-8</v>
      </c>
      <c r="D1040" s="3">
        <v>8</v>
      </c>
      <c r="E1040" s="3" t="s">
        <v>899</v>
      </c>
      <c r="F1040" s="3" t="s">
        <v>907</v>
      </c>
      <c r="G1040" s="3" t="s">
        <v>891</v>
      </c>
    </row>
    <row r="1041" spans="1:7" x14ac:dyDescent="0.25">
      <c r="A1041" s="3" t="s">
        <v>733</v>
      </c>
      <c r="B1041" s="3">
        <v>87</v>
      </c>
      <c r="C1041" s="3">
        <v>16</v>
      </c>
      <c r="D1041" s="3">
        <v>2</v>
      </c>
      <c r="E1041" s="3" t="s">
        <v>899</v>
      </c>
      <c r="F1041" s="3" t="s">
        <v>901</v>
      </c>
      <c r="G1041" s="3" t="s">
        <v>902</v>
      </c>
    </row>
    <row r="1042" spans="1:7" x14ac:dyDescent="0.25">
      <c r="A1042" s="3" t="s">
        <v>214</v>
      </c>
      <c r="B1042" s="3">
        <v>47</v>
      </c>
      <c r="C1042" s="3">
        <v>-114</v>
      </c>
      <c r="D1042" s="3">
        <v>5</v>
      </c>
      <c r="E1042" s="3" t="s">
        <v>892</v>
      </c>
      <c r="F1042" s="3" t="s">
        <v>912</v>
      </c>
      <c r="G1042" s="3" t="s">
        <v>891</v>
      </c>
    </row>
    <row r="1043" spans="1:7" x14ac:dyDescent="0.25">
      <c r="A1043" s="3" t="s">
        <v>402</v>
      </c>
      <c r="B1043" s="3">
        <v>140</v>
      </c>
      <c r="C1043" s="3">
        <v>28</v>
      </c>
      <c r="D1043" s="3">
        <v>2</v>
      </c>
      <c r="E1043" s="3" t="s">
        <v>889</v>
      </c>
      <c r="F1043" s="3" t="s">
        <v>898</v>
      </c>
      <c r="G1043" s="3" t="s">
        <v>891</v>
      </c>
    </row>
    <row r="1044" spans="1:7" x14ac:dyDescent="0.25">
      <c r="A1044" s="3" t="s">
        <v>478</v>
      </c>
      <c r="B1044" s="3">
        <v>47</v>
      </c>
      <c r="C1044" s="3">
        <v>1</v>
      </c>
      <c r="D1044" s="3">
        <v>2</v>
      </c>
      <c r="E1044" s="3" t="s">
        <v>899</v>
      </c>
      <c r="F1044" s="3" t="s">
        <v>907</v>
      </c>
      <c r="G1044" s="3" t="s">
        <v>891</v>
      </c>
    </row>
    <row r="1045" spans="1:7" x14ac:dyDescent="0.25">
      <c r="A1045" s="3" t="s">
        <v>509</v>
      </c>
      <c r="B1045" s="3">
        <v>79</v>
      </c>
      <c r="C1045" s="3">
        <v>-2</v>
      </c>
      <c r="D1045" s="3">
        <v>2</v>
      </c>
      <c r="E1045" s="3" t="s">
        <v>892</v>
      </c>
      <c r="F1045" s="3" t="s">
        <v>912</v>
      </c>
      <c r="G1045" s="3" t="s">
        <v>894</v>
      </c>
    </row>
    <row r="1046" spans="1:7" x14ac:dyDescent="0.25">
      <c r="A1046" s="3" t="s">
        <v>339</v>
      </c>
      <c r="B1046" s="3">
        <v>78</v>
      </c>
      <c r="C1046" s="3">
        <v>-64</v>
      </c>
      <c r="D1046" s="3">
        <v>7</v>
      </c>
      <c r="E1046" s="3" t="s">
        <v>899</v>
      </c>
      <c r="F1046" s="3" t="s">
        <v>907</v>
      </c>
      <c r="G1046" s="3" t="s">
        <v>894</v>
      </c>
    </row>
    <row r="1047" spans="1:7" x14ac:dyDescent="0.25">
      <c r="A1047" s="3" t="s">
        <v>30</v>
      </c>
      <c r="B1047" s="3">
        <v>47</v>
      </c>
      <c r="C1047" s="3">
        <v>-3</v>
      </c>
      <c r="D1047" s="3">
        <v>2</v>
      </c>
      <c r="E1047" s="3" t="s">
        <v>899</v>
      </c>
      <c r="F1047" s="3" t="s">
        <v>907</v>
      </c>
      <c r="G1047" s="3" t="s">
        <v>891</v>
      </c>
    </row>
    <row r="1048" spans="1:7" x14ac:dyDescent="0.25">
      <c r="A1048" s="3" t="s">
        <v>580</v>
      </c>
      <c r="B1048" s="3">
        <v>185</v>
      </c>
      <c r="C1048" s="3">
        <v>48</v>
      </c>
      <c r="D1048" s="3">
        <v>4</v>
      </c>
      <c r="E1048" s="3" t="s">
        <v>899</v>
      </c>
      <c r="F1048" s="3" t="s">
        <v>907</v>
      </c>
      <c r="G1048" s="3" t="s">
        <v>902</v>
      </c>
    </row>
    <row r="1049" spans="1:7" x14ac:dyDescent="0.25">
      <c r="A1049" s="3" t="s">
        <v>164</v>
      </c>
      <c r="B1049" s="3">
        <v>77</v>
      </c>
      <c r="C1049" s="3">
        <v>36</v>
      </c>
      <c r="D1049" s="3">
        <v>2</v>
      </c>
      <c r="E1049" s="3" t="s">
        <v>899</v>
      </c>
      <c r="F1049" s="3" t="s">
        <v>913</v>
      </c>
      <c r="G1049" s="3" t="s">
        <v>894</v>
      </c>
    </row>
    <row r="1050" spans="1:7" x14ac:dyDescent="0.25">
      <c r="A1050" s="3" t="s">
        <v>524</v>
      </c>
      <c r="B1050" s="3">
        <v>259</v>
      </c>
      <c r="C1050" s="3">
        <v>47</v>
      </c>
      <c r="D1050" s="3">
        <v>5</v>
      </c>
      <c r="E1050" s="3" t="s">
        <v>899</v>
      </c>
      <c r="F1050" s="3" t="s">
        <v>903</v>
      </c>
      <c r="G1050" s="3" t="s">
        <v>902</v>
      </c>
    </row>
    <row r="1051" spans="1:7" x14ac:dyDescent="0.25">
      <c r="A1051" s="3" t="s">
        <v>757</v>
      </c>
      <c r="B1051" s="3">
        <v>75</v>
      </c>
      <c r="C1051" s="3">
        <v>0</v>
      </c>
      <c r="D1051" s="3">
        <v>7</v>
      </c>
      <c r="E1051" s="3" t="s">
        <v>899</v>
      </c>
      <c r="F1051" s="3" t="s">
        <v>901</v>
      </c>
      <c r="G1051" s="3" t="s">
        <v>894</v>
      </c>
    </row>
    <row r="1052" spans="1:7" x14ac:dyDescent="0.25">
      <c r="A1052" s="3" t="s">
        <v>219</v>
      </c>
      <c r="B1052" s="3">
        <v>75</v>
      </c>
      <c r="C1052" s="3">
        <v>0</v>
      </c>
      <c r="D1052" s="3">
        <v>3</v>
      </c>
      <c r="E1052" s="3" t="s">
        <v>899</v>
      </c>
      <c r="F1052" s="3" t="s">
        <v>913</v>
      </c>
      <c r="G1052" s="3" t="s">
        <v>894</v>
      </c>
    </row>
    <row r="1053" spans="1:7" x14ac:dyDescent="0.25">
      <c r="A1053" s="3" t="s">
        <v>787</v>
      </c>
      <c r="B1053" s="3">
        <v>46</v>
      </c>
      <c r="C1053" s="3">
        <v>0</v>
      </c>
      <c r="D1053" s="3">
        <v>4</v>
      </c>
      <c r="E1053" s="3" t="s">
        <v>899</v>
      </c>
      <c r="F1053" s="3" t="s">
        <v>908</v>
      </c>
      <c r="G1053" s="3" t="s">
        <v>891</v>
      </c>
    </row>
    <row r="1054" spans="1:7" x14ac:dyDescent="0.25">
      <c r="A1054" s="3" t="s">
        <v>495</v>
      </c>
      <c r="B1054" s="3">
        <v>46</v>
      </c>
      <c r="C1054" s="3">
        <v>13</v>
      </c>
      <c r="D1054" s="3">
        <v>3</v>
      </c>
      <c r="E1054" s="3" t="s">
        <v>899</v>
      </c>
      <c r="F1054" s="3" t="s">
        <v>903</v>
      </c>
      <c r="G1054" s="3" t="s">
        <v>891</v>
      </c>
    </row>
    <row r="1055" spans="1:7" x14ac:dyDescent="0.25">
      <c r="A1055" s="3" t="s">
        <v>25</v>
      </c>
      <c r="B1055" s="3">
        <v>200</v>
      </c>
      <c r="C1055" s="3">
        <v>13</v>
      </c>
      <c r="D1055" s="3">
        <v>5</v>
      </c>
      <c r="E1055" s="3" t="s">
        <v>889</v>
      </c>
      <c r="F1055" s="3" t="s">
        <v>898</v>
      </c>
      <c r="G1055" s="3" t="s">
        <v>891</v>
      </c>
    </row>
    <row r="1056" spans="1:7" x14ac:dyDescent="0.25">
      <c r="A1056" s="3" t="s">
        <v>196</v>
      </c>
      <c r="B1056" s="3">
        <v>46</v>
      </c>
      <c r="C1056" s="3">
        <v>-14</v>
      </c>
      <c r="D1056" s="3">
        <v>1</v>
      </c>
      <c r="E1056" s="3" t="s">
        <v>889</v>
      </c>
      <c r="F1056" s="3" t="s">
        <v>898</v>
      </c>
      <c r="G1056" s="3" t="s">
        <v>891</v>
      </c>
    </row>
    <row r="1057" spans="1:7" x14ac:dyDescent="0.25">
      <c r="A1057" s="3" t="s">
        <v>668</v>
      </c>
      <c r="B1057" s="3">
        <v>126</v>
      </c>
      <c r="C1057" s="3">
        <v>52</v>
      </c>
      <c r="D1057" s="3">
        <v>4</v>
      </c>
      <c r="E1057" s="3" t="s">
        <v>899</v>
      </c>
      <c r="F1057" s="3" t="s">
        <v>903</v>
      </c>
      <c r="G1057" s="3" t="s">
        <v>902</v>
      </c>
    </row>
    <row r="1058" spans="1:7" x14ac:dyDescent="0.25">
      <c r="A1058" s="3" t="s">
        <v>309</v>
      </c>
      <c r="B1058" s="3">
        <v>74</v>
      </c>
      <c r="C1058" s="3">
        <v>29</v>
      </c>
      <c r="D1058" s="3">
        <v>3</v>
      </c>
      <c r="E1058" s="3" t="s">
        <v>899</v>
      </c>
      <c r="F1058" s="3" t="s">
        <v>907</v>
      </c>
      <c r="G1058" s="3" t="s">
        <v>894</v>
      </c>
    </row>
    <row r="1059" spans="1:7" x14ac:dyDescent="0.25">
      <c r="A1059" s="3" t="s">
        <v>809</v>
      </c>
      <c r="B1059" s="3">
        <v>45</v>
      </c>
      <c r="C1059" s="3">
        <v>13</v>
      </c>
      <c r="D1059" s="3">
        <v>4</v>
      </c>
      <c r="E1059" s="3" t="s">
        <v>899</v>
      </c>
      <c r="F1059" s="3" t="s">
        <v>905</v>
      </c>
      <c r="G1059" s="3" t="s">
        <v>891</v>
      </c>
    </row>
    <row r="1060" spans="1:7" x14ac:dyDescent="0.25">
      <c r="A1060" s="3" t="s">
        <v>424</v>
      </c>
      <c r="B1060" s="3">
        <v>74</v>
      </c>
      <c r="C1060" s="3">
        <v>9</v>
      </c>
      <c r="D1060" s="3">
        <v>3</v>
      </c>
      <c r="E1060" s="3" t="s">
        <v>899</v>
      </c>
      <c r="F1060" s="3" t="s">
        <v>913</v>
      </c>
      <c r="G1060" s="3" t="s">
        <v>902</v>
      </c>
    </row>
    <row r="1061" spans="1:7" x14ac:dyDescent="0.25">
      <c r="A1061" s="3" t="s">
        <v>271</v>
      </c>
      <c r="B1061" s="3">
        <v>129</v>
      </c>
      <c r="C1061" s="3">
        <v>11</v>
      </c>
      <c r="D1061" s="3">
        <v>2</v>
      </c>
      <c r="E1061" s="3" t="s">
        <v>889</v>
      </c>
      <c r="F1061" s="3" t="s">
        <v>898</v>
      </c>
      <c r="G1061" s="3" t="s">
        <v>902</v>
      </c>
    </row>
    <row r="1062" spans="1:7" x14ac:dyDescent="0.25">
      <c r="A1062" s="3" t="s">
        <v>580</v>
      </c>
      <c r="B1062" s="3">
        <v>122</v>
      </c>
      <c r="C1062" s="3">
        <v>50</v>
      </c>
      <c r="D1062" s="3">
        <v>7</v>
      </c>
      <c r="E1062" s="3" t="s">
        <v>899</v>
      </c>
      <c r="F1062" s="3" t="s">
        <v>907</v>
      </c>
      <c r="G1062" s="3" t="s">
        <v>902</v>
      </c>
    </row>
    <row r="1063" spans="1:7" x14ac:dyDescent="0.25">
      <c r="A1063" s="3" t="s">
        <v>387</v>
      </c>
      <c r="B1063" s="3">
        <v>74</v>
      </c>
      <c r="C1063" s="3">
        <v>-51</v>
      </c>
      <c r="D1063" s="3">
        <v>3</v>
      </c>
      <c r="E1063" s="3" t="s">
        <v>899</v>
      </c>
      <c r="F1063" s="3" t="s">
        <v>907</v>
      </c>
      <c r="G1063" s="3" t="s">
        <v>902</v>
      </c>
    </row>
    <row r="1064" spans="1:7" x14ac:dyDescent="0.25">
      <c r="A1064" s="3" t="s">
        <v>434</v>
      </c>
      <c r="B1064" s="3">
        <v>278</v>
      </c>
      <c r="C1064" s="3">
        <v>39</v>
      </c>
      <c r="D1064" s="3">
        <v>5</v>
      </c>
      <c r="E1064" s="3" t="s">
        <v>892</v>
      </c>
      <c r="F1064" s="3" t="s">
        <v>893</v>
      </c>
      <c r="G1064" s="3" t="s">
        <v>911</v>
      </c>
    </row>
    <row r="1065" spans="1:7" x14ac:dyDescent="0.25">
      <c r="A1065" s="3" t="s">
        <v>512</v>
      </c>
      <c r="B1065" s="3">
        <v>282</v>
      </c>
      <c r="C1065" s="3">
        <v>14</v>
      </c>
      <c r="D1065" s="3">
        <v>4</v>
      </c>
      <c r="E1065" s="3" t="s">
        <v>899</v>
      </c>
      <c r="F1065" s="3" t="s">
        <v>900</v>
      </c>
      <c r="G1065" s="3" t="s">
        <v>911</v>
      </c>
    </row>
    <row r="1066" spans="1:7" x14ac:dyDescent="0.25">
      <c r="A1066" s="3" t="s">
        <v>349</v>
      </c>
      <c r="B1066" s="3">
        <v>45</v>
      </c>
      <c r="C1066" s="3">
        <v>0</v>
      </c>
      <c r="D1066" s="3">
        <v>2</v>
      </c>
      <c r="E1066" s="3" t="s">
        <v>899</v>
      </c>
      <c r="F1066" s="3" t="s">
        <v>910</v>
      </c>
      <c r="G1066" s="3" t="s">
        <v>891</v>
      </c>
    </row>
    <row r="1067" spans="1:7" x14ac:dyDescent="0.25">
      <c r="A1067" s="3" t="s">
        <v>189</v>
      </c>
      <c r="B1067" s="3">
        <v>45</v>
      </c>
      <c r="C1067" s="3">
        <v>6</v>
      </c>
      <c r="D1067" s="3">
        <v>3</v>
      </c>
      <c r="E1067" s="3" t="s">
        <v>899</v>
      </c>
      <c r="F1067" s="3" t="s">
        <v>913</v>
      </c>
      <c r="G1067" s="3" t="s">
        <v>891</v>
      </c>
    </row>
    <row r="1068" spans="1:7" x14ac:dyDescent="0.25">
      <c r="A1068" s="3" t="s">
        <v>770</v>
      </c>
      <c r="B1068" s="3">
        <v>45</v>
      </c>
      <c r="C1068" s="3">
        <v>16</v>
      </c>
      <c r="D1068" s="3">
        <v>3</v>
      </c>
      <c r="E1068" s="3" t="s">
        <v>899</v>
      </c>
      <c r="F1068" s="3" t="s">
        <v>907</v>
      </c>
      <c r="G1068" s="3" t="s">
        <v>891</v>
      </c>
    </row>
    <row r="1069" spans="1:7" x14ac:dyDescent="0.25">
      <c r="A1069" s="3" t="s">
        <v>760</v>
      </c>
      <c r="B1069" s="3">
        <v>73</v>
      </c>
      <c r="C1069" s="3">
        <v>-36</v>
      </c>
      <c r="D1069" s="3">
        <v>3</v>
      </c>
      <c r="E1069" s="3" t="s">
        <v>892</v>
      </c>
      <c r="F1069" s="3" t="s">
        <v>893</v>
      </c>
      <c r="G1069" s="3" t="s">
        <v>902</v>
      </c>
    </row>
    <row r="1070" spans="1:7" x14ac:dyDescent="0.25">
      <c r="A1070" s="3" t="s">
        <v>246</v>
      </c>
      <c r="B1070" s="3">
        <v>45</v>
      </c>
      <c r="C1070" s="3">
        <v>12</v>
      </c>
      <c r="D1070" s="3">
        <v>4</v>
      </c>
      <c r="E1070" s="3" t="s">
        <v>899</v>
      </c>
      <c r="F1070" s="3" t="s">
        <v>903</v>
      </c>
      <c r="G1070" s="3" t="s">
        <v>891</v>
      </c>
    </row>
    <row r="1071" spans="1:7" x14ac:dyDescent="0.25">
      <c r="A1071" s="3" t="s">
        <v>202</v>
      </c>
      <c r="B1071" s="3">
        <v>72</v>
      </c>
      <c r="C1071" s="3">
        <v>-6</v>
      </c>
      <c r="D1071" s="3">
        <v>3</v>
      </c>
      <c r="E1071" s="3" t="s">
        <v>899</v>
      </c>
      <c r="F1071" s="3" t="s">
        <v>901</v>
      </c>
      <c r="G1071" s="3" t="s">
        <v>902</v>
      </c>
    </row>
    <row r="1072" spans="1:7" x14ac:dyDescent="0.25">
      <c r="A1072" s="3" t="s">
        <v>593</v>
      </c>
      <c r="B1072" s="3">
        <v>71</v>
      </c>
      <c r="C1072" s="3">
        <v>-44</v>
      </c>
      <c r="D1072" s="3">
        <v>5</v>
      </c>
      <c r="E1072" s="3" t="s">
        <v>889</v>
      </c>
      <c r="F1072" s="3" t="s">
        <v>909</v>
      </c>
      <c r="G1072" s="3" t="s">
        <v>902</v>
      </c>
    </row>
    <row r="1073" spans="1:7" x14ac:dyDescent="0.25">
      <c r="A1073" s="3" t="s">
        <v>377</v>
      </c>
      <c r="B1073" s="3">
        <v>45</v>
      </c>
      <c r="C1073" s="3">
        <v>-2</v>
      </c>
      <c r="D1073" s="3">
        <v>4</v>
      </c>
      <c r="E1073" s="3" t="s">
        <v>899</v>
      </c>
      <c r="F1073" s="3" t="s">
        <v>913</v>
      </c>
      <c r="G1073" s="3" t="s">
        <v>891</v>
      </c>
    </row>
    <row r="1074" spans="1:7" x14ac:dyDescent="0.25">
      <c r="A1074" s="3" t="s">
        <v>478</v>
      </c>
      <c r="B1074" s="3">
        <v>286</v>
      </c>
      <c r="C1074" s="3">
        <v>140</v>
      </c>
      <c r="D1074" s="3">
        <v>6</v>
      </c>
      <c r="E1074" s="3" t="s">
        <v>899</v>
      </c>
      <c r="F1074" s="3" t="s">
        <v>913</v>
      </c>
      <c r="G1074" s="3" t="s">
        <v>911</v>
      </c>
    </row>
    <row r="1075" spans="1:7" x14ac:dyDescent="0.25">
      <c r="A1075" s="3" t="s">
        <v>505</v>
      </c>
      <c r="B1075" s="3">
        <v>294</v>
      </c>
      <c r="C1075" s="3">
        <v>138</v>
      </c>
      <c r="D1075" s="3">
        <v>2</v>
      </c>
      <c r="E1075" s="3" t="s">
        <v>889</v>
      </c>
      <c r="F1075" s="3" t="s">
        <v>896</v>
      </c>
      <c r="G1075" s="3" t="s">
        <v>911</v>
      </c>
    </row>
    <row r="1076" spans="1:7" x14ac:dyDescent="0.25">
      <c r="A1076" s="3" t="s">
        <v>323</v>
      </c>
      <c r="B1076" s="3">
        <v>223</v>
      </c>
      <c r="C1076" s="3">
        <v>4</v>
      </c>
      <c r="D1076" s="3">
        <v>3</v>
      </c>
      <c r="E1076" s="3" t="s">
        <v>889</v>
      </c>
      <c r="F1076" s="3" t="s">
        <v>898</v>
      </c>
      <c r="G1076" s="3" t="s">
        <v>891</v>
      </c>
    </row>
    <row r="1077" spans="1:7" x14ac:dyDescent="0.25">
      <c r="A1077" s="3" t="s">
        <v>859</v>
      </c>
      <c r="B1077" s="3">
        <v>20</v>
      </c>
      <c r="C1077" s="3">
        <v>-2</v>
      </c>
      <c r="D1077" s="3">
        <v>1</v>
      </c>
      <c r="E1077" s="3" t="s">
        <v>889</v>
      </c>
      <c r="F1077" s="3" t="s">
        <v>909</v>
      </c>
      <c r="G1077" s="3" t="s">
        <v>902</v>
      </c>
    </row>
    <row r="1078" spans="1:7" x14ac:dyDescent="0.25">
      <c r="A1078" s="3" t="s">
        <v>451</v>
      </c>
      <c r="B1078" s="3">
        <v>302</v>
      </c>
      <c r="C1078" s="3">
        <v>75</v>
      </c>
      <c r="D1078" s="3">
        <v>6</v>
      </c>
      <c r="E1078" s="3" t="s">
        <v>892</v>
      </c>
      <c r="F1078" s="3" t="s">
        <v>912</v>
      </c>
      <c r="G1078" s="3" t="s">
        <v>911</v>
      </c>
    </row>
    <row r="1079" spans="1:7" x14ac:dyDescent="0.25">
      <c r="A1079" s="3" t="s">
        <v>518</v>
      </c>
      <c r="B1079" s="3">
        <v>113</v>
      </c>
      <c r="C1079" s="3">
        <v>28</v>
      </c>
      <c r="D1079" s="3">
        <v>2</v>
      </c>
      <c r="E1079" s="3" t="s">
        <v>899</v>
      </c>
      <c r="F1079" s="3" t="s">
        <v>901</v>
      </c>
      <c r="G1079" s="3" t="s">
        <v>902</v>
      </c>
    </row>
    <row r="1080" spans="1:7" x14ac:dyDescent="0.25">
      <c r="A1080" s="3" t="s">
        <v>177</v>
      </c>
      <c r="B1080" s="3">
        <v>44</v>
      </c>
      <c r="C1080" s="3">
        <v>2</v>
      </c>
      <c r="D1080" s="3">
        <v>3</v>
      </c>
      <c r="E1080" s="3" t="s">
        <v>899</v>
      </c>
      <c r="F1080" s="3" t="s">
        <v>903</v>
      </c>
      <c r="G1080" s="3" t="s">
        <v>891</v>
      </c>
    </row>
    <row r="1081" spans="1:7" x14ac:dyDescent="0.25">
      <c r="A1081" s="3" t="s">
        <v>496</v>
      </c>
      <c r="B1081" s="3">
        <v>305</v>
      </c>
      <c r="C1081" s="3">
        <v>-270</v>
      </c>
      <c r="D1081" s="3">
        <v>5</v>
      </c>
      <c r="E1081" s="3" t="s">
        <v>889</v>
      </c>
      <c r="F1081" s="3" t="s">
        <v>890</v>
      </c>
      <c r="G1081" s="3" t="s">
        <v>911</v>
      </c>
    </row>
    <row r="1082" spans="1:7" x14ac:dyDescent="0.25">
      <c r="A1082" s="3" t="s">
        <v>219</v>
      </c>
      <c r="B1082" s="3">
        <v>306</v>
      </c>
      <c r="C1082" s="3">
        <v>-147</v>
      </c>
      <c r="D1082" s="3">
        <v>3</v>
      </c>
      <c r="E1082" s="3" t="s">
        <v>899</v>
      </c>
      <c r="F1082" s="3" t="s">
        <v>901</v>
      </c>
      <c r="G1082" s="3" t="s">
        <v>911</v>
      </c>
    </row>
    <row r="1083" spans="1:7" x14ac:dyDescent="0.25">
      <c r="A1083" s="3" t="s">
        <v>559</v>
      </c>
      <c r="B1083" s="3">
        <v>70</v>
      </c>
      <c r="C1083" s="3">
        <v>-64</v>
      </c>
      <c r="D1083" s="3">
        <v>5</v>
      </c>
      <c r="E1083" s="3" t="s">
        <v>899</v>
      </c>
      <c r="F1083" s="3" t="s">
        <v>907</v>
      </c>
      <c r="G1083" s="3" t="s">
        <v>902</v>
      </c>
    </row>
    <row r="1084" spans="1:7" x14ac:dyDescent="0.25">
      <c r="A1084" s="3" t="s">
        <v>562</v>
      </c>
      <c r="B1084" s="3">
        <v>44</v>
      </c>
      <c r="C1084" s="3">
        <v>11</v>
      </c>
      <c r="D1084" s="3">
        <v>4</v>
      </c>
      <c r="E1084" s="3" t="s">
        <v>899</v>
      </c>
      <c r="F1084" s="3" t="s">
        <v>907</v>
      </c>
      <c r="G1084" s="3" t="s">
        <v>891</v>
      </c>
    </row>
    <row r="1085" spans="1:7" x14ac:dyDescent="0.25">
      <c r="A1085" s="3" t="s">
        <v>221</v>
      </c>
      <c r="B1085" s="3">
        <v>44</v>
      </c>
      <c r="C1085" s="3">
        <v>14</v>
      </c>
      <c r="D1085" s="3">
        <v>3</v>
      </c>
      <c r="E1085" s="3" t="s">
        <v>899</v>
      </c>
      <c r="F1085" s="3" t="s">
        <v>903</v>
      </c>
      <c r="G1085" s="3" t="s">
        <v>891</v>
      </c>
    </row>
    <row r="1086" spans="1:7" x14ac:dyDescent="0.25">
      <c r="A1086" s="3" t="s">
        <v>488</v>
      </c>
      <c r="B1086" s="3">
        <v>319</v>
      </c>
      <c r="C1086" s="3">
        <v>312</v>
      </c>
      <c r="D1086" s="3">
        <v>5</v>
      </c>
      <c r="E1086" s="3" t="s">
        <v>899</v>
      </c>
      <c r="F1086" s="3" t="s">
        <v>901</v>
      </c>
      <c r="G1086" s="3" t="s">
        <v>911</v>
      </c>
    </row>
    <row r="1087" spans="1:7" x14ac:dyDescent="0.25">
      <c r="A1087" s="3" t="s">
        <v>452</v>
      </c>
      <c r="B1087" s="3">
        <v>287</v>
      </c>
      <c r="C1087" s="3">
        <v>-280</v>
      </c>
      <c r="D1087" s="3">
        <v>12</v>
      </c>
      <c r="E1087" s="3" t="s">
        <v>892</v>
      </c>
      <c r="F1087" s="3" t="s">
        <v>893</v>
      </c>
      <c r="G1087" s="3" t="s">
        <v>902</v>
      </c>
    </row>
    <row r="1088" spans="1:7" x14ac:dyDescent="0.25">
      <c r="A1088" s="3" t="s">
        <v>237</v>
      </c>
      <c r="B1088" s="3">
        <v>44</v>
      </c>
      <c r="C1088" s="3">
        <v>10</v>
      </c>
      <c r="D1088" s="3">
        <v>3</v>
      </c>
      <c r="E1088" s="3" t="s">
        <v>899</v>
      </c>
      <c r="F1088" s="3" t="s">
        <v>907</v>
      </c>
      <c r="G1088" s="3" t="s">
        <v>891</v>
      </c>
    </row>
    <row r="1089" spans="1:7" x14ac:dyDescent="0.25">
      <c r="A1089" s="3" t="s">
        <v>213</v>
      </c>
      <c r="B1089" s="3">
        <v>288</v>
      </c>
      <c r="C1089" s="3">
        <v>-180</v>
      </c>
      <c r="D1089" s="3">
        <v>4</v>
      </c>
      <c r="E1089" s="3" t="s">
        <v>892</v>
      </c>
      <c r="F1089" s="3" t="s">
        <v>893</v>
      </c>
      <c r="G1089" s="3" t="s">
        <v>891</v>
      </c>
    </row>
    <row r="1090" spans="1:7" x14ac:dyDescent="0.25">
      <c r="A1090" s="3" t="s">
        <v>768</v>
      </c>
      <c r="B1090" s="3">
        <v>49</v>
      </c>
      <c r="C1090" s="3">
        <v>-31</v>
      </c>
      <c r="D1090" s="3">
        <v>2</v>
      </c>
      <c r="E1090" s="3" t="s">
        <v>899</v>
      </c>
      <c r="F1090" s="3" t="s">
        <v>907</v>
      </c>
      <c r="G1090" s="3" t="s">
        <v>891</v>
      </c>
    </row>
    <row r="1091" spans="1:7" x14ac:dyDescent="0.25">
      <c r="A1091" s="3" t="s">
        <v>313</v>
      </c>
      <c r="B1091" s="3">
        <v>43</v>
      </c>
      <c r="C1091" s="3">
        <v>-10</v>
      </c>
      <c r="D1091" s="3">
        <v>4</v>
      </c>
      <c r="E1091" s="3" t="s">
        <v>899</v>
      </c>
      <c r="F1091" s="3" t="s">
        <v>905</v>
      </c>
      <c r="G1091" s="3" t="s">
        <v>891</v>
      </c>
    </row>
    <row r="1092" spans="1:7" x14ac:dyDescent="0.25">
      <c r="A1092" s="3" t="s">
        <v>296</v>
      </c>
      <c r="B1092" s="3">
        <v>43</v>
      </c>
      <c r="C1092" s="3">
        <v>5</v>
      </c>
      <c r="D1092" s="3">
        <v>3</v>
      </c>
      <c r="E1092" s="3" t="s">
        <v>899</v>
      </c>
      <c r="F1092" s="3" t="s">
        <v>907</v>
      </c>
      <c r="G1092" s="3" t="s">
        <v>891</v>
      </c>
    </row>
    <row r="1093" spans="1:7" x14ac:dyDescent="0.25">
      <c r="A1093" s="3" t="s">
        <v>87</v>
      </c>
      <c r="B1093" s="3">
        <v>68</v>
      </c>
      <c r="C1093" s="3">
        <v>-27</v>
      </c>
      <c r="D1093" s="3">
        <v>3</v>
      </c>
      <c r="E1093" s="3" t="s">
        <v>889</v>
      </c>
      <c r="F1093" s="3" t="s">
        <v>909</v>
      </c>
      <c r="G1093" s="3" t="s">
        <v>902</v>
      </c>
    </row>
    <row r="1094" spans="1:7" x14ac:dyDescent="0.25">
      <c r="A1094" s="3" t="s">
        <v>246</v>
      </c>
      <c r="B1094" s="3">
        <v>320</v>
      </c>
      <c r="C1094" s="3">
        <v>144</v>
      </c>
      <c r="D1094" s="3">
        <v>1</v>
      </c>
      <c r="E1094" s="3" t="s">
        <v>889</v>
      </c>
      <c r="F1094" s="3" t="s">
        <v>896</v>
      </c>
      <c r="G1094" s="3" t="s">
        <v>911</v>
      </c>
    </row>
    <row r="1095" spans="1:7" x14ac:dyDescent="0.25">
      <c r="A1095" s="3" t="s">
        <v>187</v>
      </c>
      <c r="B1095" s="3">
        <v>67</v>
      </c>
      <c r="C1095" s="3">
        <v>2</v>
      </c>
      <c r="D1095" s="3">
        <v>4</v>
      </c>
      <c r="E1095" s="3" t="s">
        <v>899</v>
      </c>
      <c r="F1095" s="3" t="s">
        <v>910</v>
      </c>
      <c r="G1095" s="3" t="s">
        <v>902</v>
      </c>
    </row>
    <row r="1096" spans="1:7" x14ac:dyDescent="0.25">
      <c r="A1096" s="3" t="s">
        <v>160</v>
      </c>
      <c r="B1096" s="3">
        <v>66</v>
      </c>
      <c r="C1096" s="3">
        <v>-12</v>
      </c>
      <c r="D1096" s="3">
        <v>5</v>
      </c>
      <c r="E1096" s="3" t="s">
        <v>899</v>
      </c>
      <c r="F1096" s="3" t="s">
        <v>907</v>
      </c>
      <c r="G1096" s="3" t="s">
        <v>902</v>
      </c>
    </row>
    <row r="1097" spans="1:7" x14ac:dyDescent="0.25">
      <c r="A1097" s="3" t="s">
        <v>486</v>
      </c>
      <c r="B1097" s="3">
        <v>321</v>
      </c>
      <c r="C1097" s="3">
        <v>26</v>
      </c>
      <c r="D1097" s="3">
        <v>3</v>
      </c>
      <c r="E1097" s="3" t="s">
        <v>889</v>
      </c>
      <c r="F1097" s="3" t="s">
        <v>896</v>
      </c>
      <c r="G1097" s="3" t="s">
        <v>911</v>
      </c>
    </row>
    <row r="1098" spans="1:7" x14ac:dyDescent="0.25">
      <c r="A1098" s="3" t="s">
        <v>375</v>
      </c>
      <c r="B1098" s="3">
        <v>43</v>
      </c>
      <c r="C1098" s="3">
        <v>-5</v>
      </c>
      <c r="D1098" s="3">
        <v>2</v>
      </c>
      <c r="E1098" s="3" t="s">
        <v>899</v>
      </c>
      <c r="F1098" s="3" t="s">
        <v>901</v>
      </c>
      <c r="G1098" s="3" t="s">
        <v>891</v>
      </c>
    </row>
    <row r="1099" spans="1:7" x14ac:dyDescent="0.25">
      <c r="A1099" s="3" t="s">
        <v>643</v>
      </c>
      <c r="B1099" s="3">
        <v>114</v>
      </c>
      <c r="C1099" s="3">
        <v>-39</v>
      </c>
      <c r="D1099" s="3">
        <v>5</v>
      </c>
      <c r="E1099" s="3" t="s">
        <v>899</v>
      </c>
      <c r="F1099" s="3" t="s">
        <v>904</v>
      </c>
      <c r="G1099" s="3" t="s">
        <v>891</v>
      </c>
    </row>
    <row r="1100" spans="1:7" x14ac:dyDescent="0.25">
      <c r="A1100" s="3" t="s">
        <v>250</v>
      </c>
      <c r="B1100" s="3">
        <v>43</v>
      </c>
      <c r="C1100" s="3">
        <v>17</v>
      </c>
      <c r="D1100" s="3">
        <v>1</v>
      </c>
      <c r="E1100" s="3" t="s">
        <v>899</v>
      </c>
      <c r="F1100" s="3" t="s">
        <v>901</v>
      </c>
      <c r="G1100" s="3" t="s">
        <v>891</v>
      </c>
    </row>
    <row r="1101" spans="1:7" x14ac:dyDescent="0.25">
      <c r="A1101" s="3" t="s">
        <v>375</v>
      </c>
      <c r="B1101" s="3">
        <v>43</v>
      </c>
      <c r="C1101" s="3">
        <v>21</v>
      </c>
      <c r="D1101" s="3">
        <v>3</v>
      </c>
      <c r="E1101" s="3" t="s">
        <v>899</v>
      </c>
      <c r="F1101" s="3" t="s">
        <v>913</v>
      </c>
      <c r="G1101" s="3" t="s">
        <v>891</v>
      </c>
    </row>
    <row r="1102" spans="1:7" x14ac:dyDescent="0.25">
      <c r="A1102" s="3" t="s">
        <v>332</v>
      </c>
      <c r="B1102" s="3">
        <v>637</v>
      </c>
      <c r="C1102" s="3">
        <v>50</v>
      </c>
      <c r="D1102" s="3">
        <v>5</v>
      </c>
      <c r="E1102" s="3" t="s">
        <v>899</v>
      </c>
      <c r="F1102" s="3" t="s">
        <v>901</v>
      </c>
      <c r="G1102" s="3" t="s">
        <v>891</v>
      </c>
    </row>
    <row r="1103" spans="1:7" x14ac:dyDescent="0.25">
      <c r="A1103" s="3" t="s">
        <v>472</v>
      </c>
      <c r="B1103" s="3">
        <v>300</v>
      </c>
      <c r="C1103" s="3">
        <v>42</v>
      </c>
      <c r="D1103" s="3">
        <v>2</v>
      </c>
      <c r="E1103" s="3" t="s">
        <v>889</v>
      </c>
      <c r="F1103" s="3" t="s">
        <v>896</v>
      </c>
      <c r="G1103" s="3" t="s">
        <v>891</v>
      </c>
    </row>
    <row r="1104" spans="1:7" x14ac:dyDescent="0.25">
      <c r="A1104" s="3" t="s">
        <v>466</v>
      </c>
      <c r="B1104" s="3">
        <v>341</v>
      </c>
      <c r="C1104" s="3">
        <v>44</v>
      </c>
      <c r="D1104" s="3">
        <v>7</v>
      </c>
      <c r="E1104" s="3" t="s">
        <v>892</v>
      </c>
      <c r="F1104" s="3" t="s">
        <v>912</v>
      </c>
      <c r="G1104" s="3" t="s">
        <v>902</v>
      </c>
    </row>
    <row r="1105" spans="1:7" x14ac:dyDescent="0.25">
      <c r="A1105" s="3" t="s">
        <v>666</v>
      </c>
      <c r="B1105" s="3">
        <v>102</v>
      </c>
      <c r="C1105" s="3">
        <v>0</v>
      </c>
      <c r="D1105" s="3">
        <v>3</v>
      </c>
      <c r="E1105" s="3" t="s">
        <v>889</v>
      </c>
      <c r="F1105" s="3" t="s">
        <v>898</v>
      </c>
      <c r="G1105" s="3" t="s">
        <v>891</v>
      </c>
    </row>
    <row r="1106" spans="1:7" x14ac:dyDescent="0.25">
      <c r="A1106" s="3" t="s">
        <v>48</v>
      </c>
      <c r="B1106" s="3">
        <v>328</v>
      </c>
      <c r="C1106" s="3">
        <v>-15</v>
      </c>
      <c r="D1106" s="3">
        <v>3</v>
      </c>
      <c r="E1106" s="3" t="s">
        <v>889</v>
      </c>
      <c r="F1106" s="3" t="s">
        <v>890</v>
      </c>
      <c r="G1106" s="3" t="s">
        <v>911</v>
      </c>
    </row>
    <row r="1107" spans="1:7" x14ac:dyDescent="0.25">
      <c r="A1107" s="3" t="s">
        <v>204</v>
      </c>
      <c r="B1107" s="3">
        <v>341</v>
      </c>
      <c r="C1107" s="3">
        <v>160</v>
      </c>
      <c r="D1107" s="3">
        <v>7</v>
      </c>
      <c r="E1107" s="3" t="s">
        <v>899</v>
      </c>
      <c r="F1107" s="3" t="s">
        <v>907</v>
      </c>
      <c r="G1107" s="3" t="s">
        <v>911</v>
      </c>
    </row>
    <row r="1108" spans="1:7" x14ac:dyDescent="0.25">
      <c r="A1108" s="3" t="s">
        <v>772</v>
      </c>
      <c r="B1108" s="3">
        <v>62</v>
      </c>
      <c r="C1108" s="3">
        <v>11</v>
      </c>
      <c r="D1108" s="3">
        <v>7</v>
      </c>
      <c r="E1108" s="3" t="s">
        <v>899</v>
      </c>
      <c r="F1108" s="3" t="s">
        <v>903</v>
      </c>
      <c r="G1108" s="3" t="s">
        <v>902</v>
      </c>
    </row>
    <row r="1109" spans="1:7" x14ac:dyDescent="0.25">
      <c r="A1109" s="3" t="s">
        <v>248</v>
      </c>
      <c r="B1109" s="3">
        <v>42</v>
      </c>
      <c r="C1109" s="3">
        <v>13</v>
      </c>
      <c r="D1109" s="3">
        <v>3</v>
      </c>
      <c r="E1109" s="3" t="s">
        <v>899</v>
      </c>
      <c r="F1109" s="3" t="s">
        <v>908</v>
      </c>
      <c r="G1109" s="3" t="s">
        <v>891</v>
      </c>
    </row>
    <row r="1110" spans="1:7" x14ac:dyDescent="0.25">
      <c r="A1110" s="3" t="s">
        <v>580</v>
      </c>
      <c r="B1110" s="3">
        <v>62</v>
      </c>
      <c r="C1110" s="3">
        <v>28</v>
      </c>
      <c r="D1110" s="3">
        <v>5</v>
      </c>
      <c r="E1110" s="3" t="s">
        <v>899</v>
      </c>
      <c r="F1110" s="3" t="s">
        <v>903</v>
      </c>
      <c r="G1110" s="3" t="s">
        <v>902</v>
      </c>
    </row>
    <row r="1111" spans="1:7" x14ac:dyDescent="0.25">
      <c r="A1111" s="3" t="s">
        <v>509</v>
      </c>
      <c r="B1111" s="3">
        <v>42</v>
      </c>
      <c r="C1111" s="3">
        <v>7</v>
      </c>
      <c r="D1111" s="3">
        <v>2</v>
      </c>
      <c r="E1111" s="3" t="s">
        <v>899</v>
      </c>
      <c r="F1111" s="3" t="s">
        <v>904</v>
      </c>
      <c r="G1111" s="3" t="s">
        <v>891</v>
      </c>
    </row>
    <row r="1112" spans="1:7" x14ac:dyDescent="0.25">
      <c r="A1112" s="3" t="s">
        <v>813</v>
      </c>
      <c r="B1112" s="3">
        <v>42</v>
      </c>
      <c r="C1112" s="3">
        <v>-3</v>
      </c>
      <c r="D1112" s="3">
        <v>1</v>
      </c>
      <c r="E1112" s="3" t="s">
        <v>889</v>
      </c>
      <c r="F1112" s="3" t="s">
        <v>890</v>
      </c>
      <c r="G1112" s="3" t="s">
        <v>891</v>
      </c>
    </row>
    <row r="1113" spans="1:7" x14ac:dyDescent="0.25">
      <c r="A1113" s="3" t="s">
        <v>492</v>
      </c>
      <c r="B1113" s="3">
        <v>313</v>
      </c>
      <c r="C1113" s="3">
        <v>-13</v>
      </c>
      <c r="D1113" s="3">
        <v>5</v>
      </c>
      <c r="E1113" s="3" t="s">
        <v>892</v>
      </c>
      <c r="F1113" s="3" t="s">
        <v>895</v>
      </c>
      <c r="G1113" s="3" t="s">
        <v>902</v>
      </c>
    </row>
    <row r="1114" spans="1:7" x14ac:dyDescent="0.25">
      <c r="A1114" s="3" t="s">
        <v>216</v>
      </c>
      <c r="B1114" s="3">
        <v>109</v>
      </c>
      <c r="C1114" s="3">
        <v>52</v>
      </c>
      <c r="D1114" s="3">
        <v>2</v>
      </c>
      <c r="E1114" s="3" t="s">
        <v>899</v>
      </c>
      <c r="F1114" s="3" t="s">
        <v>907</v>
      </c>
      <c r="G1114" s="3" t="s">
        <v>902</v>
      </c>
    </row>
    <row r="1115" spans="1:7" x14ac:dyDescent="0.25">
      <c r="A1115" s="3" t="s">
        <v>14</v>
      </c>
      <c r="B1115" s="3">
        <v>226</v>
      </c>
      <c r="C1115" s="3">
        <v>58</v>
      </c>
      <c r="D1115" s="3">
        <v>3</v>
      </c>
      <c r="E1115" s="3" t="s">
        <v>889</v>
      </c>
      <c r="F1115" s="3" t="s">
        <v>909</v>
      </c>
      <c r="G1115" s="3" t="s">
        <v>891</v>
      </c>
    </row>
    <row r="1116" spans="1:7" x14ac:dyDescent="0.25">
      <c r="A1116" s="3" t="s">
        <v>191</v>
      </c>
      <c r="B1116" s="3">
        <v>62</v>
      </c>
      <c r="C1116" s="3">
        <v>-1</v>
      </c>
      <c r="D1116" s="3">
        <v>1</v>
      </c>
      <c r="E1116" s="3" t="s">
        <v>889</v>
      </c>
      <c r="F1116" s="3" t="s">
        <v>898</v>
      </c>
      <c r="G1116" s="3" t="s">
        <v>902</v>
      </c>
    </row>
    <row r="1117" spans="1:7" x14ac:dyDescent="0.25">
      <c r="A1117" s="3" t="s">
        <v>200</v>
      </c>
      <c r="B1117" s="3">
        <v>61</v>
      </c>
      <c r="C1117" s="3">
        <v>-25</v>
      </c>
      <c r="D1117" s="3">
        <v>4</v>
      </c>
      <c r="E1117" s="3" t="s">
        <v>889</v>
      </c>
      <c r="F1117" s="3" t="s">
        <v>909</v>
      </c>
      <c r="G1117" s="3" t="s">
        <v>902</v>
      </c>
    </row>
    <row r="1118" spans="1:7" x14ac:dyDescent="0.25">
      <c r="A1118" s="3" t="s">
        <v>271</v>
      </c>
      <c r="B1118" s="3">
        <v>222</v>
      </c>
      <c r="C1118" s="3">
        <v>74</v>
      </c>
      <c r="D1118" s="3">
        <v>5</v>
      </c>
      <c r="E1118" s="3" t="s">
        <v>899</v>
      </c>
      <c r="F1118" s="3" t="s">
        <v>903</v>
      </c>
      <c r="G1118" s="3" t="s">
        <v>891</v>
      </c>
    </row>
    <row r="1119" spans="1:7" x14ac:dyDescent="0.25">
      <c r="A1119" s="3" t="s">
        <v>421</v>
      </c>
      <c r="B1119" s="3">
        <v>342</v>
      </c>
      <c r="C1119" s="3">
        <v>-154</v>
      </c>
      <c r="D1119" s="3">
        <v>7</v>
      </c>
      <c r="E1119" s="3" t="s">
        <v>892</v>
      </c>
      <c r="F1119" s="3" t="s">
        <v>912</v>
      </c>
      <c r="G1119" s="3" t="s">
        <v>911</v>
      </c>
    </row>
    <row r="1120" spans="1:7" x14ac:dyDescent="0.25">
      <c r="A1120" s="3" t="s">
        <v>211</v>
      </c>
      <c r="B1120" s="3">
        <v>344</v>
      </c>
      <c r="C1120" s="3">
        <v>-34</v>
      </c>
      <c r="D1120" s="3">
        <v>3</v>
      </c>
      <c r="E1120" s="3" t="s">
        <v>899</v>
      </c>
      <c r="F1120" s="3" t="s">
        <v>901</v>
      </c>
      <c r="G1120" s="3" t="s">
        <v>911</v>
      </c>
    </row>
    <row r="1121" spans="1:7" x14ac:dyDescent="0.25">
      <c r="A1121" s="3" t="s">
        <v>464</v>
      </c>
      <c r="B1121" s="3">
        <v>345</v>
      </c>
      <c r="C1121" s="3">
        <v>38</v>
      </c>
      <c r="D1121" s="3">
        <v>7</v>
      </c>
      <c r="E1121" s="3" t="s">
        <v>899</v>
      </c>
      <c r="F1121" s="3" t="s">
        <v>903</v>
      </c>
      <c r="G1121" s="3" t="s">
        <v>911</v>
      </c>
    </row>
    <row r="1122" spans="1:7" x14ac:dyDescent="0.25">
      <c r="A1122" s="3" t="s">
        <v>808</v>
      </c>
      <c r="B1122" s="3">
        <v>46</v>
      </c>
      <c r="C1122" s="3">
        <v>0</v>
      </c>
      <c r="D1122" s="3">
        <v>2</v>
      </c>
      <c r="E1122" s="3" t="s">
        <v>889</v>
      </c>
      <c r="F1122" s="3" t="s">
        <v>890</v>
      </c>
      <c r="G1122" s="3" t="s">
        <v>891</v>
      </c>
    </row>
    <row r="1123" spans="1:7" x14ac:dyDescent="0.25">
      <c r="A1123" s="3" t="s">
        <v>526</v>
      </c>
      <c r="B1123" s="3">
        <v>255</v>
      </c>
      <c r="C1123" s="3">
        <v>74</v>
      </c>
      <c r="D1123" s="3">
        <v>5</v>
      </c>
      <c r="E1123" s="3" t="s">
        <v>899</v>
      </c>
      <c r="F1123" s="3" t="s">
        <v>903</v>
      </c>
      <c r="G1123" s="3" t="s">
        <v>891</v>
      </c>
    </row>
    <row r="1124" spans="1:7" x14ac:dyDescent="0.25">
      <c r="A1124" s="3" t="s">
        <v>457</v>
      </c>
      <c r="B1124" s="3">
        <v>360</v>
      </c>
      <c r="C1124" s="3">
        <v>32</v>
      </c>
      <c r="D1124" s="3">
        <v>3</v>
      </c>
      <c r="E1124" s="3" t="s">
        <v>899</v>
      </c>
      <c r="F1124" s="3" t="s">
        <v>901</v>
      </c>
      <c r="G1124" s="3" t="s">
        <v>902</v>
      </c>
    </row>
    <row r="1125" spans="1:7" x14ac:dyDescent="0.25">
      <c r="A1125" s="3" t="s">
        <v>310</v>
      </c>
      <c r="B1125" s="3">
        <v>372</v>
      </c>
      <c r="C1125" s="3">
        <v>59</v>
      </c>
      <c r="D1125" s="3">
        <v>3</v>
      </c>
      <c r="E1125" s="3" t="s">
        <v>889</v>
      </c>
      <c r="F1125" s="3" t="s">
        <v>896</v>
      </c>
      <c r="G1125" s="3" t="s">
        <v>902</v>
      </c>
    </row>
    <row r="1126" spans="1:7" x14ac:dyDescent="0.25">
      <c r="A1126" s="3" t="s">
        <v>144</v>
      </c>
      <c r="B1126" s="3">
        <v>61</v>
      </c>
      <c r="C1126" s="3">
        <v>30</v>
      </c>
      <c r="D1126" s="3">
        <v>2</v>
      </c>
      <c r="E1126" s="3" t="s">
        <v>899</v>
      </c>
      <c r="F1126" s="3" t="s">
        <v>903</v>
      </c>
      <c r="G1126" s="3" t="s">
        <v>902</v>
      </c>
    </row>
    <row r="1127" spans="1:7" x14ac:dyDescent="0.25">
      <c r="A1127" s="3" t="s">
        <v>691</v>
      </c>
      <c r="B1127" s="3">
        <v>42</v>
      </c>
      <c r="C1127" s="3">
        <v>12</v>
      </c>
      <c r="D1127" s="3">
        <v>5</v>
      </c>
      <c r="E1127" s="3" t="s">
        <v>899</v>
      </c>
      <c r="F1127" s="3" t="s">
        <v>903</v>
      </c>
      <c r="G1127" s="3" t="s">
        <v>891</v>
      </c>
    </row>
    <row r="1128" spans="1:7" x14ac:dyDescent="0.25">
      <c r="A1128" s="3" t="s">
        <v>643</v>
      </c>
      <c r="B1128" s="3">
        <v>42</v>
      </c>
      <c r="C1128" s="3">
        <v>-26</v>
      </c>
      <c r="D1128" s="3">
        <v>2</v>
      </c>
      <c r="E1128" s="3" t="s">
        <v>899</v>
      </c>
      <c r="F1128" s="3" t="s">
        <v>904</v>
      </c>
      <c r="G1128" s="3" t="s">
        <v>891</v>
      </c>
    </row>
    <row r="1129" spans="1:7" x14ac:dyDescent="0.25">
      <c r="A1129" s="3" t="s">
        <v>773</v>
      </c>
      <c r="B1129" s="3">
        <v>61</v>
      </c>
      <c r="C1129" s="3">
        <v>25</v>
      </c>
      <c r="D1129" s="3">
        <v>4</v>
      </c>
      <c r="E1129" s="3" t="s">
        <v>899</v>
      </c>
      <c r="F1129" s="3" t="s">
        <v>901</v>
      </c>
      <c r="G1129" s="3" t="s">
        <v>902</v>
      </c>
    </row>
    <row r="1130" spans="1:7" x14ac:dyDescent="0.25">
      <c r="A1130" s="3" t="s">
        <v>59</v>
      </c>
      <c r="B1130" s="3">
        <v>41</v>
      </c>
      <c r="C1130" s="3">
        <v>11</v>
      </c>
      <c r="D1130" s="3">
        <v>6</v>
      </c>
      <c r="E1130" s="3" t="s">
        <v>899</v>
      </c>
      <c r="F1130" s="3" t="s">
        <v>903</v>
      </c>
      <c r="G1130" s="3" t="s">
        <v>891</v>
      </c>
    </row>
    <row r="1131" spans="1:7" x14ac:dyDescent="0.25">
      <c r="A1131" s="3" t="s">
        <v>350</v>
      </c>
      <c r="B1131" s="3">
        <v>40</v>
      </c>
      <c r="C1131" s="3">
        <v>13</v>
      </c>
      <c r="D1131" s="3">
        <v>3</v>
      </c>
      <c r="E1131" s="3" t="s">
        <v>899</v>
      </c>
      <c r="F1131" s="3" t="s">
        <v>910</v>
      </c>
      <c r="G1131" s="3" t="s">
        <v>891</v>
      </c>
    </row>
    <row r="1132" spans="1:7" x14ac:dyDescent="0.25">
      <c r="A1132" s="3" t="s">
        <v>550</v>
      </c>
      <c r="B1132" s="3">
        <v>59</v>
      </c>
      <c r="C1132" s="3">
        <v>21</v>
      </c>
      <c r="D1132" s="3">
        <v>2</v>
      </c>
      <c r="E1132" s="3" t="s">
        <v>899</v>
      </c>
      <c r="F1132" s="3" t="s">
        <v>907</v>
      </c>
      <c r="G1132" s="3" t="s">
        <v>902</v>
      </c>
    </row>
    <row r="1133" spans="1:7" x14ac:dyDescent="0.25">
      <c r="A1133" s="3" t="s">
        <v>358</v>
      </c>
      <c r="B1133" s="3">
        <v>57</v>
      </c>
      <c r="C1133" s="3">
        <v>27</v>
      </c>
      <c r="D1133" s="3">
        <v>2</v>
      </c>
      <c r="E1133" s="3" t="s">
        <v>899</v>
      </c>
      <c r="F1133" s="3" t="s">
        <v>913</v>
      </c>
      <c r="G1133" s="3" t="s">
        <v>902</v>
      </c>
    </row>
    <row r="1134" spans="1:7" x14ac:dyDescent="0.25">
      <c r="A1134" s="3" t="s">
        <v>444</v>
      </c>
      <c r="B1134" s="3">
        <v>17</v>
      </c>
      <c r="C1134" s="3">
        <v>6</v>
      </c>
      <c r="D1134" s="3">
        <v>1</v>
      </c>
      <c r="E1134" s="3" t="s">
        <v>899</v>
      </c>
      <c r="F1134" s="3" t="s">
        <v>907</v>
      </c>
      <c r="G1134" s="3" t="s">
        <v>902</v>
      </c>
    </row>
    <row r="1135" spans="1:7" x14ac:dyDescent="0.25">
      <c r="A1135" s="3" t="s">
        <v>495</v>
      </c>
      <c r="B1135" s="3">
        <v>40</v>
      </c>
      <c r="C1135" s="3">
        <v>10</v>
      </c>
      <c r="D1135" s="3">
        <v>2</v>
      </c>
      <c r="E1135" s="3" t="s">
        <v>899</v>
      </c>
      <c r="F1135" s="3" t="s">
        <v>907</v>
      </c>
      <c r="G1135" s="3" t="s">
        <v>891</v>
      </c>
    </row>
    <row r="1136" spans="1:7" x14ac:dyDescent="0.25">
      <c r="A1136" s="3" t="s">
        <v>275</v>
      </c>
      <c r="B1136" s="3">
        <v>349</v>
      </c>
      <c r="C1136" s="3">
        <v>-24</v>
      </c>
      <c r="D1136" s="3">
        <v>2</v>
      </c>
      <c r="E1136" s="3" t="s">
        <v>899</v>
      </c>
      <c r="F1136" s="3" t="s">
        <v>901</v>
      </c>
      <c r="G1136" s="3" t="s">
        <v>911</v>
      </c>
    </row>
    <row r="1137" spans="1:7" x14ac:dyDescent="0.25">
      <c r="A1137" s="3" t="s">
        <v>474</v>
      </c>
      <c r="B1137" s="3">
        <v>335</v>
      </c>
      <c r="C1137" s="3">
        <v>-22</v>
      </c>
      <c r="D1137" s="3">
        <v>7</v>
      </c>
      <c r="E1137" s="3" t="s">
        <v>892</v>
      </c>
      <c r="F1137" s="3" t="s">
        <v>893</v>
      </c>
      <c r="G1137" s="3" t="s">
        <v>902</v>
      </c>
    </row>
    <row r="1138" spans="1:7" x14ac:dyDescent="0.25">
      <c r="A1138" s="3" t="s">
        <v>421</v>
      </c>
      <c r="B1138" s="3">
        <v>40</v>
      </c>
      <c r="C1138" s="3">
        <v>16</v>
      </c>
      <c r="D1138" s="3">
        <v>3</v>
      </c>
      <c r="E1138" s="3" t="s">
        <v>899</v>
      </c>
      <c r="F1138" s="3" t="s">
        <v>903</v>
      </c>
      <c r="G1138" s="3" t="s">
        <v>891</v>
      </c>
    </row>
    <row r="1139" spans="1:7" x14ac:dyDescent="0.25">
      <c r="A1139" s="3" t="s">
        <v>121</v>
      </c>
      <c r="B1139" s="3">
        <v>40</v>
      </c>
      <c r="C1139" s="3">
        <v>17</v>
      </c>
      <c r="D1139" s="3">
        <v>2</v>
      </c>
      <c r="E1139" s="3" t="s">
        <v>899</v>
      </c>
      <c r="F1139" s="3" t="s">
        <v>907</v>
      </c>
      <c r="G1139" s="3" t="s">
        <v>891</v>
      </c>
    </row>
    <row r="1140" spans="1:7" x14ac:dyDescent="0.25">
      <c r="A1140" s="3" t="s">
        <v>643</v>
      </c>
      <c r="B1140" s="3">
        <v>40</v>
      </c>
      <c r="C1140" s="3">
        <v>-7</v>
      </c>
      <c r="D1140" s="3">
        <v>3</v>
      </c>
      <c r="E1140" s="3" t="s">
        <v>899</v>
      </c>
      <c r="F1140" s="3" t="s">
        <v>907</v>
      </c>
      <c r="G1140" s="3" t="s">
        <v>891</v>
      </c>
    </row>
    <row r="1141" spans="1:7" x14ac:dyDescent="0.25">
      <c r="A1141" s="3" t="s">
        <v>271</v>
      </c>
      <c r="B1141" s="3">
        <v>352</v>
      </c>
      <c r="C1141" s="3">
        <v>74</v>
      </c>
      <c r="D1141" s="3">
        <v>8</v>
      </c>
      <c r="E1141" s="3" t="s">
        <v>899</v>
      </c>
      <c r="F1141" s="3" t="s">
        <v>907</v>
      </c>
      <c r="G1141" s="3" t="s">
        <v>911</v>
      </c>
    </row>
    <row r="1142" spans="1:7" x14ac:dyDescent="0.25">
      <c r="A1142" s="3" t="s">
        <v>661</v>
      </c>
      <c r="B1142" s="3">
        <v>55</v>
      </c>
      <c r="C1142" s="3">
        <v>-26</v>
      </c>
      <c r="D1142" s="3">
        <v>4</v>
      </c>
      <c r="E1142" s="3" t="s">
        <v>899</v>
      </c>
      <c r="F1142" s="3" t="s">
        <v>901</v>
      </c>
      <c r="G1142" s="3" t="s">
        <v>902</v>
      </c>
    </row>
    <row r="1143" spans="1:7" x14ac:dyDescent="0.25">
      <c r="A1143" s="3" t="s">
        <v>221</v>
      </c>
      <c r="B1143" s="3">
        <v>352</v>
      </c>
      <c r="C1143" s="3">
        <v>18</v>
      </c>
      <c r="D1143" s="3">
        <v>5</v>
      </c>
      <c r="E1143" s="3" t="s">
        <v>899</v>
      </c>
      <c r="F1143" s="3" t="s">
        <v>900</v>
      </c>
      <c r="G1143" s="3" t="s">
        <v>911</v>
      </c>
    </row>
    <row r="1144" spans="1:7" x14ac:dyDescent="0.25">
      <c r="A1144" s="3" t="s">
        <v>343</v>
      </c>
      <c r="B1144" s="3">
        <v>53</v>
      </c>
      <c r="C1144" s="3">
        <v>-18</v>
      </c>
      <c r="D1144" s="3">
        <v>4</v>
      </c>
      <c r="E1144" s="3" t="s">
        <v>899</v>
      </c>
      <c r="F1144" s="3" t="s">
        <v>910</v>
      </c>
      <c r="G1144" s="3" t="s">
        <v>902</v>
      </c>
    </row>
    <row r="1145" spans="1:7" x14ac:dyDescent="0.25">
      <c r="A1145" s="3" t="s">
        <v>377</v>
      </c>
      <c r="B1145" s="3">
        <v>51</v>
      </c>
      <c r="C1145" s="3">
        <v>7</v>
      </c>
      <c r="D1145" s="3">
        <v>2</v>
      </c>
      <c r="E1145" s="3" t="s">
        <v>892</v>
      </c>
      <c r="F1145" s="3" t="s">
        <v>912</v>
      </c>
      <c r="G1145" s="3" t="s">
        <v>902</v>
      </c>
    </row>
    <row r="1146" spans="1:7" x14ac:dyDescent="0.25">
      <c r="A1146" s="3" t="s">
        <v>777</v>
      </c>
      <c r="B1146" s="3">
        <v>40</v>
      </c>
      <c r="C1146" s="3">
        <v>-37</v>
      </c>
      <c r="D1146" s="3">
        <v>3</v>
      </c>
      <c r="E1146" s="3" t="s">
        <v>899</v>
      </c>
      <c r="F1146" s="3" t="s">
        <v>907</v>
      </c>
      <c r="G1146" s="3" t="s">
        <v>891</v>
      </c>
    </row>
    <row r="1147" spans="1:7" x14ac:dyDescent="0.25">
      <c r="A1147" s="3" t="s">
        <v>12</v>
      </c>
      <c r="B1147" s="3">
        <v>39</v>
      </c>
      <c r="C1147" s="3">
        <v>14</v>
      </c>
      <c r="D1147" s="3">
        <v>5</v>
      </c>
      <c r="E1147" s="3" t="s">
        <v>899</v>
      </c>
      <c r="F1147" s="3" t="s">
        <v>908</v>
      </c>
      <c r="G1147" s="3" t="s">
        <v>891</v>
      </c>
    </row>
    <row r="1148" spans="1:7" x14ac:dyDescent="0.25">
      <c r="A1148" s="3" t="s">
        <v>459</v>
      </c>
      <c r="B1148" s="3">
        <v>355</v>
      </c>
      <c r="C1148" s="3">
        <v>-4</v>
      </c>
      <c r="D1148" s="3">
        <v>2</v>
      </c>
      <c r="E1148" s="3" t="s">
        <v>899</v>
      </c>
      <c r="F1148" s="3" t="s">
        <v>901</v>
      </c>
      <c r="G1148" s="3" t="s">
        <v>911</v>
      </c>
    </row>
    <row r="1149" spans="1:7" x14ac:dyDescent="0.25">
      <c r="A1149" s="3" t="s">
        <v>444</v>
      </c>
      <c r="B1149" s="3">
        <v>357</v>
      </c>
      <c r="C1149" s="3">
        <v>139</v>
      </c>
      <c r="D1149" s="3">
        <v>2</v>
      </c>
      <c r="E1149" s="3" t="s">
        <v>899</v>
      </c>
      <c r="F1149" s="3" t="s">
        <v>901</v>
      </c>
      <c r="G1149" s="3" t="s">
        <v>911</v>
      </c>
    </row>
    <row r="1150" spans="1:7" x14ac:dyDescent="0.25">
      <c r="A1150" s="3" t="s">
        <v>136</v>
      </c>
      <c r="B1150" s="3">
        <v>38</v>
      </c>
      <c r="C1150" s="3">
        <v>18</v>
      </c>
      <c r="D1150" s="3">
        <v>1</v>
      </c>
      <c r="E1150" s="3" t="s">
        <v>899</v>
      </c>
      <c r="F1150" s="3" t="s">
        <v>904</v>
      </c>
      <c r="G1150" s="3" t="s">
        <v>891</v>
      </c>
    </row>
    <row r="1151" spans="1:7" x14ac:dyDescent="0.25">
      <c r="A1151" s="3" t="s">
        <v>397</v>
      </c>
      <c r="B1151" s="3">
        <v>38</v>
      </c>
      <c r="C1151" s="3">
        <v>9</v>
      </c>
      <c r="D1151" s="3">
        <v>2</v>
      </c>
      <c r="E1151" s="3" t="s">
        <v>899</v>
      </c>
      <c r="F1151" s="3" t="s">
        <v>907</v>
      </c>
      <c r="G1151" s="3" t="s">
        <v>891</v>
      </c>
    </row>
    <row r="1152" spans="1:7" x14ac:dyDescent="0.25">
      <c r="A1152" s="3" t="s">
        <v>543</v>
      </c>
      <c r="B1152" s="3">
        <v>141</v>
      </c>
      <c r="C1152" s="3">
        <v>10</v>
      </c>
      <c r="D1152" s="3">
        <v>4</v>
      </c>
      <c r="E1152" s="3" t="s">
        <v>899</v>
      </c>
      <c r="F1152" s="3" t="s">
        <v>913</v>
      </c>
      <c r="G1152" s="3" t="s">
        <v>902</v>
      </c>
    </row>
    <row r="1153" spans="1:7" x14ac:dyDescent="0.25">
      <c r="A1153" s="3" t="s">
        <v>770</v>
      </c>
      <c r="B1153" s="3">
        <v>36</v>
      </c>
      <c r="C1153" s="3">
        <v>4</v>
      </c>
      <c r="D1153" s="3">
        <v>9</v>
      </c>
      <c r="E1153" s="3" t="s">
        <v>899</v>
      </c>
      <c r="F1153" s="3" t="s">
        <v>903</v>
      </c>
      <c r="G1153" s="3" t="s">
        <v>891</v>
      </c>
    </row>
    <row r="1154" spans="1:7" x14ac:dyDescent="0.25">
      <c r="A1154" s="3" t="s">
        <v>350</v>
      </c>
      <c r="B1154" s="3">
        <v>351</v>
      </c>
      <c r="C1154" s="3">
        <v>-94</v>
      </c>
      <c r="D1154" s="3">
        <v>5</v>
      </c>
      <c r="E1154" s="3" t="s">
        <v>889</v>
      </c>
      <c r="F1154" s="3" t="s">
        <v>890</v>
      </c>
      <c r="G1154" s="3" t="s">
        <v>891</v>
      </c>
    </row>
    <row r="1155" spans="1:7" x14ac:dyDescent="0.25">
      <c r="A1155" s="3" t="s">
        <v>380</v>
      </c>
      <c r="B1155" s="3">
        <v>369</v>
      </c>
      <c r="C1155" s="3">
        <v>15</v>
      </c>
      <c r="D1155" s="3">
        <v>3</v>
      </c>
      <c r="E1155" s="3" t="s">
        <v>889</v>
      </c>
      <c r="F1155" s="3" t="s">
        <v>890</v>
      </c>
      <c r="G1155" s="3" t="s">
        <v>911</v>
      </c>
    </row>
    <row r="1156" spans="1:7" x14ac:dyDescent="0.25">
      <c r="A1156" s="3" t="s">
        <v>472</v>
      </c>
      <c r="B1156" s="3">
        <v>53</v>
      </c>
      <c r="C1156" s="3">
        <v>24</v>
      </c>
      <c r="D1156" s="3">
        <v>6</v>
      </c>
      <c r="E1156" s="3" t="s">
        <v>899</v>
      </c>
      <c r="F1156" s="3" t="s">
        <v>903</v>
      </c>
      <c r="G1156" s="3" t="s">
        <v>894</v>
      </c>
    </row>
    <row r="1157" spans="1:7" x14ac:dyDescent="0.25">
      <c r="A1157" s="3" t="s">
        <v>410</v>
      </c>
      <c r="B1157" s="3">
        <v>371</v>
      </c>
      <c r="C1157" s="3">
        <v>115</v>
      </c>
      <c r="D1157" s="3">
        <v>1</v>
      </c>
      <c r="E1157" s="3" t="s">
        <v>892</v>
      </c>
      <c r="F1157" s="3" t="s">
        <v>895</v>
      </c>
      <c r="G1157" s="3" t="s">
        <v>911</v>
      </c>
    </row>
    <row r="1158" spans="1:7" x14ac:dyDescent="0.25">
      <c r="A1158" s="3" t="s">
        <v>232</v>
      </c>
      <c r="B1158" s="3">
        <v>499</v>
      </c>
      <c r="C1158" s="3">
        <v>33</v>
      </c>
      <c r="D1158" s="3">
        <v>4</v>
      </c>
      <c r="E1158" s="3" t="s">
        <v>899</v>
      </c>
      <c r="F1158" s="3" t="s">
        <v>901</v>
      </c>
      <c r="G1158" s="3" t="s">
        <v>891</v>
      </c>
    </row>
    <row r="1159" spans="1:7" x14ac:dyDescent="0.25">
      <c r="A1159" s="3" t="s">
        <v>310</v>
      </c>
      <c r="B1159" s="3">
        <v>223</v>
      </c>
      <c r="C1159" s="3">
        <v>62</v>
      </c>
      <c r="D1159" s="3">
        <v>7</v>
      </c>
      <c r="E1159" s="3" t="s">
        <v>899</v>
      </c>
      <c r="F1159" s="3" t="s">
        <v>913</v>
      </c>
      <c r="G1159" s="3" t="s">
        <v>891</v>
      </c>
    </row>
    <row r="1160" spans="1:7" x14ac:dyDescent="0.25">
      <c r="A1160" s="3" t="s">
        <v>356</v>
      </c>
      <c r="B1160" s="3">
        <v>50</v>
      </c>
      <c r="C1160" s="3">
        <v>-4</v>
      </c>
      <c r="D1160" s="3">
        <v>6</v>
      </c>
      <c r="E1160" s="3" t="s">
        <v>899</v>
      </c>
      <c r="F1160" s="3" t="s">
        <v>910</v>
      </c>
      <c r="G1160" s="3" t="s">
        <v>894</v>
      </c>
    </row>
    <row r="1161" spans="1:7" x14ac:dyDescent="0.25">
      <c r="A1161" s="3" t="s">
        <v>427</v>
      </c>
      <c r="B1161" s="3">
        <v>391</v>
      </c>
      <c r="C1161" s="3">
        <v>90</v>
      </c>
      <c r="D1161" s="3">
        <v>6</v>
      </c>
      <c r="E1161" s="3" t="s">
        <v>889</v>
      </c>
      <c r="F1161" s="3" t="s">
        <v>898</v>
      </c>
      <c r="G1161" s="3" t="s">
        <v>911</v>
      </c>
    </row>
    <row r="1162" spans="1:7" x14ac:dyDescent="0.25">
      <c r="A1162" s="3" t="s">
        <v>430</v>
      </c>
      <c r="B1162" s="3">
        <v>416</v>
      </c>
      <c r="C1162" s="3">
        <v>137</v>
      </c>
      <c r="D1162" s="3">
        <v>3</v>
      </c>
      <c r="E1162" s="3" t="s">
        <v>889</v>
      </c>
      <c r="F1162" s="3" t="s">
        <v>898</v>
      </c>
      <c r="G1162" s="3" t="s">
        <v>911</v>
      </c>
    </row>
    <row r="1163" spans="1:7" x14ac:dyDescent="0.25">
      <c r="A1163" s="3" t="s">
        <v>219</v>
      </c>
      <c r="B1163" s="3">
        <v>424</v>
      </c>
      <c r="C1163" s="3">
        <v>-17</v>
      </c>
      <c r="D1163" s="3">
        <v>9</v>
      </c>
      <c r="E1163" s="3" t="s">
        <v>892</v>
      </c>
      <c r="F1163" s="3" t="s">
        <v>893</v>
      </c>
      <c r="G1163" s="3" t="s">
        <v>911</v>
      </c>
    </row>
    <row r="1164" spans="1:7" x14ac:dyDescent="0.25">
      <c r="A1164" s="3" t="s">
        <v>456</v>
      </c>
      <c r="B1164" s="3">
        <v>362</v>
      </c>
      <c r="C1164" s="3">
        <v>127</v>
      </c>
      <c r="D1164" s="3">
        <v>1</v>
      </c>
      <c r="E1164" s="3" t="s">
        <v>892</v>
      </c>
      <c r="F1164" s="3" t="s">
        <v>895</v>
      </c>
      <c r="G1164" s="3" t="s">
        <v>891</v>
      </c>
    </row>
    <row r="1165" spans="1:7" x14ac:dyDescent="0.25">
      <c r="A1165" s="3" t="s">
        <v>206</v>
      </c>
      <c r="B1165" s="3">
        <v>36</v>
      </c>
      <c r="C1165" s="3">
        <v>-7</v>
      </c>
      <c r="D1165" s="3">
        <v>1</v>
      </c>
      <c r="E1165" s="3" t="s">
        <v>889</v>
      </c>
      <c r="F1165" s="3" t="s">
        <v>890</v>
      </c>
      <c r="G1165" s="3" t="s">
        <v>891</v>
      </c>
    </row>
    <row r="1166" spans="1:7" x14ac:dyDescent="0.25">
      <c r="A1166" s="3" t="s">
        <v>419</v>
      </c>
      <c r="B1166" s="3">
        <v>34</v>
      </c>
      <c r="C1166" s="3">
        <v>-10</v>
      </c>
      <c r="D1166" s="3">
        <v>3</v>
      </c>
      <c r="E1166" s="3" t="s">
        <v>899</v>
      </c>
      <c r="F1166" s="3" t="s">
        <v>905</v>
      </c>
      <c r="G1166" s="3" t="s">
        <v>891</v>
      </c>
    </row>
    <row r="1167" spans="1:7" x14ac:dyDescent="0.25">
      <c r="A1167" s="3" t="s">
        <v>162</v>
      </c>
      <c r="B1167" s="3">
        <v>367</v>
      </c>
      <c r="C1167" s="3">
        <v>73</v>
      </c>
      <c r="D1167" s="3">
        <v>3</v>
      </c>
      <c r="E1167" s="3" t="s">
        <v>889</v>
      </c>
      <c r="F1167" s="3" t="s">
        <v>890</v>
      </c>
      <c r="G1167" s="3" t="s">
        <v>902</v>
      </c>
    </row>
    <row r="1168" spans="1:7" x14ac:dyDescent="0.25">
      <c r="A1168" s="3" t="s">
        <v>352</v>
      </c>
      <c r="B1168" s="3">
        <v>425</v>
      </c>
      <c r="C1168" s="3">
        <v>208</v>
      </c>
      <c r="D1168" s="3">
        <v>7</v>
      </c>
      <c r="E1168" s="3" t="s">
        <v>899</v>
      </c>
      <c r="F1168" s="3" t="s">
        <v>901</v>
      </c>
      <c r="G1168" s="3" t="s">
        <v>911</v>
      </c>
    </row>
    <row r="1169" spans="1:7" x14ac:dyDescent="0.25">
      <c r="A1169" s="3" t="s">
        <v>423</v>
      </c>
      <c r="B1169" s="3">
        <v>433</v>
      </c>
      <c r="C1169" s="3">
        <v>26</v>
      </c>
      <c r="D1169" s="3">
        <v>3</v>
      </c>
      <c r="E1169" s="3" t="s">
        <v>889</v>
      </c>
      <c r="F1169" s="3" t="s">
        <v>896</v>
      </c>
      <c r="G1169" s="3" t="s">
        <v>911</v>
      </c>
    </row>
    <row r="1170" spans="1:7" x14ac:dyDescent="0.25">
      <c r="A1170" s="3" t="s">
        <v>410</v>
      </c>
      <c r="B1170" s="3">
        <v>460</v>
      </c>
      <c r="C1170" s="3">
        <v>31</v>
      </c>
      <c r="D1170" s="3">
        <v>3</v>
      </c>
      <c r="E1170" s="3" t="s">
        <v>892</v>
      </c>
      <c r="F1170" s="3" t="s">
        <v>895</v>
      </c>
      <c r="G1170" s="3" t="s">
        <v>911</v>
      </c>
    </row>
    <row r="1171" spans="1:7" x14ac:dyDescent="0.25">
      <c r="A1171" s="3" t="s">
        <v>214</v>
      </c>
      <c r="B1171" s="3">
        <v>62</v>
      </c>
      <c r="C1171" s="3">
        <v>-56</v>
      </c>
      <c r="D1171" s="3">
        <v>5</v>
      </c>
      <c r="E1171" s="3" t="s">
        <v>899</v>
      </c>
      <c r="F1171" s="3" t="s">
        <v>904</v>
      </c>
      <c r="G1171" s="3" t="s">
        <v>891</v>
      </c>
    </row>
    <row r="1172" spans="1:7" x14ac:dyDescent="0.25">
      <c r="A1172" s="3" t="s">
        <v>246</v>
      </c>
      <c r="B1172" s="3">
        <v>50</v>
      </c>
      <c r="C1172" s="3">
        <v>16</v>
      </c>
      <c r="D1172" s="3">
        <v>1</v>
      </c>
      <c r="E1172" s="3" t="s">
        <v>899</v>
      </c>
      <c r="F1172" s="3" t="s">
        <v>907</v>
      </c>
      <c r="G1172" s="3" t="s">
        <v>894</v>
      </c>
    </row>
    <row r="1173" spans="1:7" x14ac:dyDescent="0.25">
      <c r="A1173" s="3" t="s">
        <v>411</v>
      </c>
      <c r="B1173" s="3">
        <v>460</v>
      </c>
      <c r="C1173" s="3">
        <v>-143</v>
      </c>
      <c r="D1173" s="3">
        <v>3</v>
      </c>
      <c r="E1173" s="3" t="s">
        <v>892</v>
      </c>
      <c r="F1173" s="3" t="s">
        <v>893</v>
      </c>
      <c r="G1173" s="3" t="s">
        <v>911</v>
      </c>
    </row>
    <row r="1174" spans="1:7" x14ac:dyDescent="0.25">
      <c r="A1174" s="3" t="s">
        <v>640</v>
      </c>
      <c r="B1174" s="3">
        <v>34</v>
      </c>
      <c r="C1174" s="3">
        <v>3</v>
      </c>
      <c r="D1174" s="3">
        <v>3</v>
      </c>
      <c r="E1174" s="3" t="s">
        <v>899</v>
      </c>
      <c r="F1174" s="3" t="s">
        <v>901</v>
      </c>
      <c r="G1174" s="3" t="s">
        <v>891</v>
      </c>
    </row>
    <row r="1175" spans="1:7" x14ac:dyDescent="0.25">
      <c r="A1175" s="3" t="s">
        <v>347</v>
      </c>
      <c r="B1175" s="3">
        <v>227</v>
      </c>
      <c r="C1175" s="3">
        <v>59</v>
      </c>
      <c r="D1175" s="3">
        <v>2</v>
      </c>
      <c r="E1175" s="3" t="s">
        <v>892</v>
      </c>
      <c r="F1175" s="3" t="s">
        <v>912</v>
      </c>
      <c r="G1175" s="3" t="s">
        <v>902</v>
      </c>
    </row>
    <row r="1176" spans="1:7" x14ac:dyDescent="0.25">
      <c r="A1176" s="3" t="s">
        <v>405</v>
      </c>
      <c r="B1176" s="3">
        <v>469</v>
      </c>
      <c r="C1176" s="3">
        <v>33</v>
      </c>
      <c r="D1176" s="3">
        <v>4</v>
      </c>
      <c r="E1176" s="3" t="s">
        <v>889</v>
      </c>
      <c r="F1176" s="3" t="s">
        <v>890</v>
      </c>
      <c r="G1176" s="3" t="s">
        <v>911</v>
      </c>
    </row>
    <row r="1177" spans="1:7" x14ac:dyDescent="0.25">
      <c r="A1177" s="3" t="s">
        <v>472</v>
      </c>
      <c r="B1177" s="3">
        <v>103</v>
      </c>
      <c r="C1177" s="3">
        <v>46</v>
      </c>
      <c r="D1177" s="3">
        <v>2</v>
      </c>
      <c r="E1177" s="3" t="s">
        <v>899</v>
      </c>
      <c r="F1177" s="3" t="s">
        <v>901</v>
      </c>
      <c r="G1177" s="3" t="s">
        <v>902</v>
      </c>
    </row>
    <row r="1178" spans="1:7" x14ac:dyDescent="0.25">
      <c r="A1178" s="3" t="s">
        <v>718</v>
      </c>
      <c r="B1178" s="3">
        <v>34</v>
      </c>
      <c r="C1178" s="3">
        <v>-13</v>
      </c>
      <c r="D1178" s="3">
        <v>5</v>
      </c>
      <c r="E1178" s="3" t="s">
        <v>899</v>
      </c>
      <c r="F1178" s="3" t="s">
        <v>908</v>
      </c>
      <c r="G1178" s="3" t="s">
        <v>891</v>
      </c>
    </row>
    <row r="1179" spans="1:7" x14ac:dyDescent="0.25">
      <c r="A1179" s="3" t="s">
        <v>362</v>
      </c>
      <c r="B1179" s="3">
        <v>137</v>
      </c>
      <c r="C1179" s="3">
        <v>63</v>
      </c>
      <c r="D1179" s="3">
        <v>3</v>
      </c>
      <c r="E1179" s="3" t="s">
        <v>899</v>
      </c>
      <c r="F1179" s="3" t="s">
        <v>907</v>
      </c>
      <c r="G1179" s="3" t="s">
        <v>891</v>
      </c>
    </row>
    <row r="1180" spans="1:7" x14ac:dyDescent="0.25">
      <c r="A1180" s="3" t="s">
        <v>826</v>
      </c>
      <c r="B1180" s="3">
        <v>34</v>
      </c>
      <c r="C1180" s="3">
        <v>12</v>
      </c>
      <c r="D1180" s="3">
        <v>2</v>
      </c>
      <c r="E1180" s="3" t="s">
        <v>899</v>
      </c>
      <c r="F1180" s="3" t="s">
        <v>907</v>
      </c>
      <c r="G1180" s="3" t="s">
        <v>891</v>
      </c>
    </row>
    <row r="1181" spans="1:7" x14ac:dyDescent="0.25">
      <c r="A1181" s="3" t="s">
        <v>402</v>
      </c>
      <c r="B1181" s="3">
        <v>474</v>
      </c>
      <c r="C1181" s="3">
        <v>56</v>
      </c>
      <c r="D1181" s="3">
        <v>4</v>
      </c>
      <c r="E1181" s="3" t="s">
        <v>889</v>
      </c>
      <c r="F1181" s="3" t="s">
        <v>898</v>
      </c>
      <c r="G1181" s="3" t="s">
        <v>911</v>
      </c>
    </row>
    <row r="1182" spans="1:7" x14ac:dyDescent="0.25">
      <c r="A1182" s="3" t="s">
        <v>546</v>
      </c>
      <c r="B1182" s="3">
        <v>50</v>
      </c>
      <c r="C1182" s="3">
        <v>3</v>
      </c>
      <c r="D1182" s="3">
        <v>2</v>
      </c>
      <c r="E1182" s="3" t="s">
        <v>899</v>
      </c>
      <c r="F1182" s="3" t="s">
        <v>907</v>
      </c>
      <c r="G1182" s="3" t="s">
        <v>894</v>
      </c>
    </row>
    <row r="1183" spans="1:7" x14ac:dyDescent="0.25">
      <c r="A1183" s="3" t="s">
        <v>200</v>
      </c>
      <c r="B1183" s="3">
        <v>69</v>
      </c>
      <c r="C1183" s="3">
        <v>-67</v>
      </c>
      <c r="D1183" s="3">
        <v>4</v>
      </c>
      <c r="E1183" s="3" t="s">
        <v>899</v>
      </c>
      <c r="F1183" s="3" t="s">
        <v>904</v>
      </c>
      <c r="G1183" s="3" t="s">
        <v>902</v>
      </c>
    </row>
    <row r="1184" spans="1:7" x14ac:dyDescent="0.25">
      <c r="A1184" s="3" t="s">
        <v>440</v>
      </c>
      <c r="B1184" s="3">
        <v>389</v>
      </c>
      <c r="C1184" s="3">
        <v>-83</v>
      </c>
      <c r="D1184" s="3">
        <v>3</v>
      </c>
      <c r="E1184" s="3" t="s">
        <v>892</v>
      </c>
      <c r="F1184" s="3" t="s">
        <v>893</v>
      </c>
      <c r="G1184" s="3" t="s">
        <v>902</v>
      </c>
    </row>
    <row r="1185" spans="1:7" x14ac:dyDescent="0.25">
      <c r="A1185" s="3" t="s">
        <v>214</v>
      </c>
      <c r="B1185" s="3">
        <v>77</v>
      </c>
      <c r="C1185" s="3">
        <v>-43</v>
      </c>
      <c r="D1185" s="3">
        <v>8</v>
      </c>
      <c r="E1185" s="3" t="s">
        <v>899</v>
      </c>
      <c r="F1185" s="3" t="s">
        <v>907</v>
      </c>
      <c r="G1185" s="3" t="s">
        <v>891</v>
      </c>
    </row>
    <row r="1186" spans="1:7" x14ac:dyDescent="0.25">
      <c r="A1186" s="3" t="s">
        <v>444</v>
      </c>
      <c r="B1186" s="3">
        <v>51</v>
      </c>
      <c r="C1186" s="3">
        <v>21</v>
      </c>
      <c r="D1186" s="3">
        <v>3</v>
      </c>
      <c r="E1186" s="3" t="s">
        <v>899</v>
      </c>
      <c r="F1186" s="3" t="s">
        <v>910</v>
      </c>
      <c r="G1186" s="3" t="s">
        <v>891</v>
      </c>
    </row>
    <row r="1187" spans="1:7" x14ac:dyDescent="0.25">
      <c r="A1187" s="3" t="s">
        <v>294</v>
      </c>
      <c r="B1187" s="3">
        <v>394</v>
      </c>
      <c r="C1187" s="3">
        <v>146</v>
      </c>
      <c r="D1187" s="3">
        <v>2</v>
      </c>
      <c r="E1187" s="3" t="s">
        <v>892</v>
      </c>
      <c r="F1187" s="3" t="s">
        <v>895</v>
      </c>
      <c r="G1187" s="3" t="s">
        <v>902</v>
      </c>
    </row>
    <row r="1188" spans="1:7" x14ac:dyDescent="0.25">
      <c r="A1188" s="3" t="s">
        <v>499</v>
      </c>
      <c r="B1188" s="3">
        <v>48</v>
      </c>
      <c r="C1188" s="3">
        <v>-22</v>
      </c>
      <c r="D1188" s="3">
        <v>2</v>
      </c>
      <c r="E1188" s="3" t="s">
        <v>899</v>
      </c>
      <c r="F1188" s="3" t="s">
        <v>901</v>
      </c>
      <c r="G1188" s="3" t="s">
        <v>894</v>
      </c>
    </row>
    <row r="1189" spans="1:7" x14ac:dyDescent="0.25">
      <c r="A1189" s="3" t="s">
        <v>419</v>
      </c>
      <c r="B1189" s="3">
        <v>34</v>
      </c>
      <c r="C1189" s="3">
        <v>-12</v>
      </c>
      <c r="D1189" s="3">
        <v>5</v>
      </c>
      <c r="E1189" s="3" t="s">
        <v>899</v>
      </c>
      <c r="F1189" s="3" t="s">
        <v>908</v>
      </c>
      <c r="G1189" s="3" t="s">
        <v>891</v>
      </c>
    </row>
    <row r="1190" spans="1:7" x14ac:dyDescent="0.25">
      <c r="A1190" s="3" t="s">
        <v>14</v>
      </c>
      <c r="B1190" s="3">
        <v>484</v>
      </c>
      <c r="C1190" s="3">
        <v>28</v>
      </c>
      <c r="D1190" s="3">
        <v>3</v>
      </c>
      <c r="E1190" s="3" t="s">
        <v>889</v>
      </c>
      <c r="F1190" s="3" t="s">
        <v>896</v>
      </c>
      <c r="G1190" s="3" t="s">
        <v>911</v>
      </c>
    </row>
    <row r="1191" spans="1:7" x14ac:dyDescent="0.25">
      <c r="A1191" s="3" t="s">
        <v>559</v>
      </c>
      <c r="B1191" s="3">
        <v>47</v>
      </c>
      <c r="C1191" s="3">
        <v>-27</v>
      </c>
      <c r="D1191" s="3">
        <v>4</v>
      </c>
      <c r="E1191" s="3" t="s">
        <v>899</v>
      </c>
      <c r="F1191" s="3" t="s">
        <v>901</v>
      </c>
      <c r="G1191" s="3" t="s">
        <v>894</v>
      </c>
    </row>
    <row r="1192" spans="1:7" x14ac:dyDescent="0.25">
      <c r="A1192" s="3" t="s">
        <v>25</v>
      </c>
      <c r="B1192" s="3">
        <v>45</v>
      </c>
      <c r="C1192" s="3">
        <v>8</v>
      </c>
      <c r="D1192" s="3">
        <v>4</v>
      </c>
      <c r="E1192" s="3" t="s">
        <v>899</v>
      </c>
      <c r="F1192" s="3" t="s">
        <v>905</v>
      </c>
      <c r="G1192" s="3" t="s">
        <v>894</v>
      </c>
    </row>
    <row r="1193" spans="1:7" x14ac:dyDescent="0.25">
      <c r="A1193" s="3" t="s">
        <v>665</v>
      </c>
      <c r="B1193" s="3">
        <v>128</v>
      </c>
      <c r="C1193" s="3">
        <v>55</v>
      </c>
      <c r="D1193" s="3">
        <v>1</v>
      </c>
      <c r="E1193" s="3" t="s">
        <v>899</v>
      </c>
      <c r="F1193" s="3" t="s">
        <v>901</v>
      </c>
      <c r="G1193" s="3" t="s">
        <v>891</v>
      </c>
    </row>
    <row r="1194" spans="1:7" x14ac:dyDescent="0.25">
      <c r="A1194" s="3" t="s">
        <v>138</v>
      </c>
      <c r="B1194" s="3">
        <v>669</v>
      </c>
      <c r="C1194" s="3">
        <v>74</v>
      </c>
      <c r="D1194" s="3">
        <v>5</v>
      </c>
      <c r="E1194" s="3" t="s">
        <v>892</v>
      </c>
      <c r="F1194" s="3" t="s">
        <v>895</v>
      </c>
      <c r="G1194" s="3" t="s">
        <v>891</v>
      </c>
    </row>
    <row r="1195" spans="1:7" x14ac:dyDescent="0.25">
      <c r="A1195" s="3" t="s">
        <v>824</v>
      </c>
      <c r="B1195" s="3">
        <v>34</v>
      </c>
      <c r="C1195" s="3">
        <v>13</v>
      </c>
      <c r="D1195" s="3">
        <v>2</v>
      </c>
      <c r="E1195" s="3" t="s">
        <v>899</v>
      </c>
      <c r="F1195" s="3" t="s">
        <v>901</v>
      </c>
      <c r="G1195" s="3" t="s">
        <v>891</v>
      </c>
    </row>
    <row r="1196" spans="1:7" x14ac:dyDescent="0.25">
      <c r="A1196" s="3" t="s">
        <v>469</v>
      </c>
      <c r="B1196" s="3">
        <v>44</v>
      </c>
      <c r="C1196" s="3">
        <v>14</v>
      </c>
      <c r="D1196" s="3">
        <v>3</v>
      </c>
      <c r="E1196" s="3" t="s">
        <v>899</v>
      </c>
      <c r="F1196" s="3" t="s">
        <v>903</v>
      </c>
      <c r="G1196" s="3" t="s">
        <v>897</v>
      </c>
    </row>
    <row r="1197" spans="1:7" x14ac:dyDescent="0.25">
      <c r="A1197" s="3" t="s">
        <v>91</v>
      </c>
      <c r="B1197" s="3">
        <v>33</v>
      </c>
      <c r="C1197" s="3">
        <v>1</v>
      </c>
      <c r="D1197" s="3">
        <v>2</v>
      </c>
      <c r="E1197" s="3" t="s">
        <v>899</v>
      </c>
      <c r="F1197" s="3" t="s">
        <v>913</v>
      </c>
      <c r="G1197" s="3" t="s">
        <v>891</v>
      </c>
    </row>
    <row r="1198" spans="1:7" x14ac:dyDescent="0.25">
      <c r="A1198" s="3" t="s">
        <v>402</v>
      </c>
      <c r="B1198" s="3">
        <v>33</v>
      </c>
      <c r="C1198" s="3">
        <v>10</v>
      </c>
      <c r="D1198" s="3">
        <v>3</v>
      </c>
      <c r="E1198" s="3" t="s">
        <v>899</v>
      </c>
      <c r="F1198" s="3" t="s">
        <v>903</v>
      </c>
      <c r="G1198" s="3" t="s">
        <v>891</v>
      </c>
    </row>
    <row r="1199" spans="1:7" x14ac:dyDescent="0.25">
      <c r="A1199" s="3" t="s">
        <v>228</v>
      </c>
      <c r="B1199" s="3">
        <v>487</v>
      </c>
      <c r="C1199" s="3">
        <v>-23</v>
      </c>
      <c r="D1199" s="3">
        <v>3</v>
      </c>
      <c r="E1199" s="3" t="s">
        <v>889</v>
      </c>
      <c r="F1199" s="3" t="s">
        <v>896</v>
      </c>
      <c r="G1199" s="3" t="s">
        <v>911</v>
      </c>
    </row>
    <row r="1200" spans="1:7" x14ac:dyDescent="0.25">
      <c r="A1200" s="3" t="s">
        <v>392</v>
      </c>
      <c r="B1200" s="3">
        <v>497</v>
      </c>
      <c r="C1200" s="3">
        <v>179</v>
      </c>
      <c r="D1200" s="3">
        <v>3</v>
      </c>
      <c r="E1200" s="3" t="s">
        <v>892</v>
      </c>
      <c r="F1200" s="3" t="s">
        <v>893</v>
      </c>
      <c r="G1200" s="3" t="s">
        <v>911</v>
      </c>
    </row>
    <row r="1201" spans="1:7" x14ac:dyDescent="0.25">
      <c r="A1201" s="3" t="s">
        <v>216</v>
      </c>
      <c r="B1201" s="3">
        <v>508</v>
      </c>
      <c r="C1201" s="3">
        <v>203</v>
      </c>
      <c r="D1201" s="3">
        <v>2</v>
      </c>
      <c r="E1201" s="3" t="s">
        <v>889</v>
      </c>
      <c r="F1201" s="3" t="s">
        <v>909</v>
      </c>
      <c r="G1201" s="3" t="s">
        <v>911</v>
      </c>
    </row>
    <row r="1202" spans="1:7" x14ac:dyDescent="0.25">
      <c r="A1202" s="3" t="s">
        <v>237</v>
      </c>
      <c r="B1202" s="3">
        <v>524</v>
      </c>
      <c r="C1202" s="3">
        <v>-25</v>
      </c>
      <c r="D1202" s="3">
        <v>2</v>
      </c>
      <c r="E1202" s="3" t="s">
        <v>889</v>
      </c>
      <c r="F1202" s="3" t="s">
        <v>890</v>
      </c>
      <c r="G1202" s="3" t="s">
        <v>911</v>
      </c>
    </row>
    <row r="1203" spans="1:7" x14ac:dyDescent="0.25">
      <c r="A1203" s="3" t="s">
        <v>426</v>
      </c>
      <c r="B1203" s="3">
        <v>425</v>
      </c>
      <c r="C1203" s="3">
        <v>183</v>
      </c>
      <c r="D1203" s="3">
        <v>5</v>
      </c>
      <c r="E1203" s="3" t="s">
        <v>889</v>
      </c>
      <c r="F1203" s="3" t="s">
        <v>909</v>
      </c>
      <c r="G1203" s="3" t="s">
        <v>902</v>
      </c>
    </row>
    <row r="1204" spans="1:7" x14ac:dyDescent="0.25">
      <c r="A1204" s="3" t="s">
        <v>89</v>
      </c>
      <c r="B1204" s="3">
        <v>168</v>
      </c>
      <c r="C1204" s="3">
        <v>56</v>
      </c>
      <c r="D1204" s="3">
        <v>3</v>
      </c>
      <c r="E1204" s="3" t="s">
        <v>899</v>
      </c>
      <c r="F1204" s="3" t="s">
        <v>901</v>
      </c>
      <c r="G1204" s="3" t="s">
        <v>891</v>
      </c>
    </row>
    <row r="1205" spans="1:7" x14ac:dyDescent="0.25">
      <c r="A1205" s="3" t="s">
        <v>646</v>
      </c>
      <c r="B1205" s="3">
        <v>141</v>
      </c>
      <c r="C1205" s="3">
        <v>28</v>
      </c>
      <c r="D1205" s="3">
        <v>7</v>
      </c>
      <c r="E1205" s="3" t="s">
        <v>892</v>
      </c>
      <c r="F1205" s="3" t="s">
        <v>912</v>
      </c>
      <c r="G1205" s="3" t="s">
        <v>902</v>
      </c>
    </row>
    <row r="1206" spans="1:7" x14ac:dyDescent="0.25">
      <c r="A1206" s="3" t="s">
        <v>311</v>
      </c>
      <c r="B1206" s="3">
        <v>429</v>
      </c>
      <c r="C1206" s="3">
        <v>17</v>
      </c>
      <c r="D1206" s="3">
        <v>3</v>
      </c>
      <c r="E1206" s="3" t="s">
        <v>892</v>
      </c>
      <c r="F1206" s="3" t="s">
        <v>893</v>
      </c>
      <c r="G1206" s="3" t="s">
        <v>902</v>
      </c>
    </row>
    <row r="1207" spans="1:7" x14ac:dyDescent="0.25">
      <c r="A1207" s="3" t="s">
        <v>317</v>
      </c>
      <c r="B1207" s="3">
        <v>44</v>
      </c>
      <c r="C1207" s="3">
        <v>-8</v>
      </c>
      <c r="D1207" s="3">
        <v>3</v>
      </c>
      <c r="E1207" s="3" t="s">
        <v>899</v>
      </c>
      <c r="F1207" s="3" t="s">
        <v>907</v>
      </c>
      <c r="G1207" s="3" t="s">
        <v>897</v>
      </c>
    </row>
    <row r="1208" spans="1:7" x14ac:dyDescent="0.25">
      <c r="A1208" s="3" t="s">
        <v>403</v>
      </c>
      <c r="B1208" s="3">
        <v>149</v>
      </c>
      <c r="C1208" s="3">
        <v>136</v>
      </c>
      <c r="D1208" s="3">
        <v>3</v>
      </c>
      <c r="E1208" s="3" t="s">
        <v>899</v>
      </c>
      <c r="F1208" s="3" t="s">
        <v>907</v>
      </c>
      <c r="G1208" s="3" t="s">
        <v>902</v>
      </c>
    </row>
    <row r="1209" spans="1:7" x14ac:dyDescent="0.25">
      <c r="A1209" s="3" t="s">
        <v>63</v>
      </c>
      <c r="B1209" s="3">
        <v>44</v>
      </c>
      <c r="C1209" s="3">
        <v>-34</v>
      </c>
      <c r="D1209" s="3">
        <v>3</v>
      </c>
      <c r="E1209" s="3" t="s">
        <v>899</v>
      </c>
      <c r="F1209" s="3" t="s">
        <v>907</v>
      </c>
      <c r="G1209" s="3" t="s">
        <v>897</v>
      </c>
    </row>
    <row r="1210" spans="1:7" x14ac:dyDescent="0.25">
      <c r="A1210" s="3" t="s">
        <v>296</v>
      </c>
      <c r="B1210" s="3">
        <v>33</v>
      </c>
      <c r="C1210" s="3">
        <v>10</v>
      </c>
      <c r="D1210" s="3">
        <v>3</v>
      </c>
      <c r="E1210" s="3" t="s">
        <v>899</v>
      </c>
      <c r="F1210" s="3" t="s">
        <v>903</v>
      </c>
      <c r="G1210" s="3" t="s">
        <v>891</v>
      </c>
    </row>
    <row r="1211" spans="1:7" x14ac:dyDescent="0.25">
      <c r="A1211" s="3" t="s">
        <v>427</v>
      </c>
      <c r="B1211" s="3">
        <v>33</v>
      </c>
      <c r="C1211" s="3">
        <v>9</v>
      </c>
      <c r="D1211" s="3">
        <v>2</v>
      </c>
      <c r="E1211" s="3" t="s">
        <v>899</v>
      </c>
      <c r="F1211" s="3" t="s">
        <v>903</v>
      </c>
      <c r="G1211" s="3" t="s">
        <v>891</v>
      </c>
    </row>
    <row r="1212" spans="1:7" x14ac:dyDescent="0.25">
      <c r="A1212" s="3" t="s">
        <v>144</v>
      </c>
      <c r="B1212" s="3">
        <v>442</v>
      </c>
      <c r="C1212" s="3">
        <v>31</v>
      </c>
      <c r="D1212" s="3">
        <v>2</v>
      </c>
      <c r="E1212" s="3" t="s">
        <v>889</v>
      </c>
      <c r="F1212" s="3" t="s">
        <v>890</v>
      </c>
      <c r="G1212" s="3" t="s">
        <v>902</v>
      </c>
    </row>
    <row r="1213" spans="1:7" x14ac:dyDescent="0.25">
      <c r="A1213" s="3" t="s">
        <v>211</v>
      </c>
      <c r="B1213" s="3">
        <v>41</v>
      </c>
      <c r="C1213" s="3">
        <v>6</v>
      </c>
      <c r="D1213" s="3">
        <v>5</v>
      </c>
      <c r="E1213" s="3" t="s">
        <v>899</v>
      </c>
      <c r="F1213" s="3" t="s">
        <v>905</v>
      </c>
      <c r="G1213" s="3" t="s">
        <v>897</v>
      </c>
    </row>
    <row r="1214" spans="1:7" x14ac:dyDescent="0.25">
      <c r="A1214" s="3" t="s">
        <v>722</v>
      </c>
      <c r="B1214" s="3">
        <v>33</v>
      </c>
      <c r="C1214" s="3">
        <v>-12</v>
      </c>
      <c r="D1214" s="3">
        <v>5</v>
      </c>
      <c r="E1214" s="3" t="s">
        <v>899</v>
      </c>
      <c r="F1214" s="3" t="s">
        <v>903</v>
      </c>
      <c r="G1214" s="3" t="s">
        <v>891</v>
      </c>
    </row>
    <row r="1215" spans="1:7" x14ac:dyDescent="0.25">
      <c r="A1215" s="3" t="s">
        <v>829</v>
      </c>
      <c r="B1215" s="3">
        <v>32</v>
      </c>
      <c r="C1215" s="3">
        <v>3</v>
      </c>
      <c r="D1215" s="3">
        <v>8</v>
      </c>
      <c r="E1215" s="3" t="s">
        <v>899</v>
      </c>
      <c r="F1215" s="3" t="s">
        <v>903</v>
      </c>
      <c r="G1215" s="3" t="s">
        <v>891</v>
      </c>
    </row>
    <row r="1216" spans="1:7" x14ac:dyDescent="0.25">
      <c r="A1216" s="3" t="s">
        <v>168</v>
      </c>
      <c r="B1216" s="3">
        <v>32</v>
      </c>
      <c r="C1216" s="3">
        <v>6</v>
      </c>
      <c r="D1216" s="3">
        <v>3</v>
      </c>
      <c r="E1216" s="3" t="s">
        <v>899</v>
      </c>
      <c r="F1216" s="3" t="s">
        <v>913</v>
      </c>
      <c r="G1216" s="3" t="s">
        <v>891</v>
      </c>
    </row>
    <row r="1217" spans="1:7" x14ac:dyDescent="0.25">
      <c r="A1217" s="3" t="s">
        <v>451</v>
      </c>
      <c r="B1217" s="3">
        <v>179</v>
      </c>
      <c r="C1217" s="3">
        <v>77</v>
      </c>
      <c r="D1217" s="3">
        <v>1</v>
      </c>
      <c r="E1217" s="3" t="s">
        <v>899</v>
      </c>
      <c r="F1217" s="3" t="s">
        <v>901</v>
      </c>
      <c r="G1217" s="3" t="s">
        <v>902</v>
      </c>
    </row>
    <row r="1218" spans="1:7" x14ac:dyDescent="0.25">
      <c r="A1218" s="3" t="s">
        <v>686</v>
      </c>
      <c r="B1218" s="3">
        <v>31</v>
      </c>
      <c r="C1218" s="3">
        <v>10</v>
      </c>
      <c r="D1218" s="3">
        <v>1</v>
      </c>
      <c r="E1218" s="3" t="s">
        <v>899</v>
      </c>
      <c r="F1218" s="3" t="s">
        <v>904</v>
      </c>
      <c r="G1218" s="3" t="s">
        <v>891</v>
      </c>
    </row>
    <row r="1219" spans="1:7" x14ac:dyDescent="0.25">
      <c r="A1219" s="3" t="s">
        <v>552</v>
      </c>
      <c r="B1219" s="3">
        <v>140</v>
      </c>
      <c r="C1219" s="3">
        <v>68</v>
      </c>
      <c r="D1219" s="3">
        <v>5</v>
      </c>
      <c r="E1219" s="3" t="s">
        <v>899</v>
      </c>
      <c r="F1219" s="3" t="s">
        <v>910</v>
      </c>
      <c r="G1219" s="3" t="s">
        <v>891</v>
      </c>
    </row>
    <row r="1220" spans="1:7" x14ac:dyDescent="0.25">
      <c r="A1220" s="3" t="s">
        <v>377</v>
      </c>
      <c r="B1220" s="3">
        <v>529</v>
      </c>
      <c r="C1220" s="3">
        <v>137</v>
      </c>
      <c r="D1220" s="3">
        <v>3</v>
      </c>
      <c r="E1220" s="3" t="s">
        <v>889</v>
      </c>
      <c r="F1220" s="3" t="s">
        <v>898</v>
      </c>
      <c r="G1220" s="3" t="s">
        <v>911</v>
      </c>
    </row>
    <row r="1221" spans="1:7" x14ac:dyDescent="0.25">
      <c r="A1221" s="3" t="s">
        <v>373</v>
      </c>
      <c r="B1221" s="3">
        <v>534</v>
      </c>
      <c r="C1221" s="3">
        <v>0</v>
      </c>
      <c r="D1221" s="3">
        <v>3</v>
      </c>
      <c r="E1221" s="3" t="s">
        <v>899</v>
      </c>
      <c r="F1221" s="3" t="s">
        <v>901</v>
      </c>
      <c r="G1221" s="3" t="s">
        <v>911</v>
      </c>
    </row>
    <row r="1222" spans="1:7" x14ac:dyDescent="0.25">
      <c r="A1222" s="3" t="s">
        <v>815</v>
      </c>
      <c r="B1222" s="3">
        <v>41</v>
      </c>
      <c r="C1222" s="3">
        <v>-6</v>
      </c>
      <c r="D1222" s="3">
        <v>1</v>
      </c>
      <c r="E1222" s="3" t="s">
        <v>892</v>
      </c>
      <c r="F1222" s="3" t="s">
        <v>893</v>
      </c>
      <c r="G1222" s="3" t="s">
        <v>897</v>
      </c>
    </row>
    <row r="1223" spans="1:7" x14ac:dyDescent="0.25">
      <c r="A1223" s="3" t="s">
        <v>30</v>
      </c>
      <c r="B1223" s="3">
        <v>379</v>
      </c>
      <c r="C1223" s="3">
        <v>63</v>
      </c>
      <c r="D1223" s="3">
        <v>2</v>
      </c>
      <c r="E1223" s="3" t="s">
        <v>899</v>
      </c>
      <c r="F1223" s="3" t="s">
        <v>901</v>
      </c>
      <c r="G1223" s="3" t="s">
        <v>891</v>
      </c>
    </row>
    <row r="1224" spans="1:7" x14ac:dyDescent="0.25">
      <c r="A1224" s="3" t="s">
        <v>432</v>
      </c>
      <c r="B1224" s="3">
        <v>81</v>
      </c>
      <c r="C1224" s="3">
        <v>-44</v>
      </c>
      <c r="D1224" s="3">
        <v>3</v>
      </c>
      <c r="E1224" s="3" t="s">
        <v>899</v>
      </c>
      <c r="F1224" s="3" t="s">
        <v>907</v>
      </c>
      <c r="G1224" s="3" t="s">
        <v>891</v>
      </c>
    </row>
    <row r="1225" spans="1:7" x14ac:dyDescent="0.25">
      <c r="A1225" s="3" t="s">
        <v>124</v>
      </c>
      <c r="B1225" s="3">
        <v>40</v>
      </c>
      <c r="C1225" s="3">
        <v>-33</v>
      </c>
      <c r="D1225" s="3">
        <v>5</v>
      </c>
      <c r="E1225" s="3" t="s">
        <v>899</v>
      </c>
      <c r="F1225" s="3" t="s">
        <v>903</v>
      </c>
      <c r="G1225" s="3" t="s">
        <v>897</v>
      </c>
    </row>
    <row r="1226" spans="1:7" x14ac:dyDescent="0.25">
      <c r="A1226" s="3" t="s">
        <v>286</v>
      </c>
      <c r="B1226" s="3">
        <v>40</v>
      </c>
      <c r="C1226" s="3">
        <v>18</v>
      </c>
      <c r="D1226" s="3">
        <v>1</v>
      </c>
      <c r="E1226" s="3" t="s">
        <v>889</v>
      </c>
      <c r="F1226" s="3" t="s">
        <v>909</v>
      </c>
      <c r="G1226" s="3" t="s">
        <v>897</v>
      </c>
    </row>
    <row r="1227" spans="1:7" x14ac:dyDescent="0.25">
      <c r="A1227" s="3" t="s">
        <v>126</v>
      </c>
      <c r="B1227" s="3">
        <v>534</v>
      </c>
      <c r="C1227" s="3">
        <v>0</v>
      </c>
      <c r="D1227" s="3">
        <v>3</v>
      </c>
      <c r="E1227" s="3" t="s">
        <v>899</v>
      </c>
      <c r="F1227" s="3" t="s">
        <v>901</v>
      </c>
      <c r="G1227" s="3" t="s">
        <v>911</v>
      </c>
    </row>
    <row r="1228" spans="1:7" x14ac:dyDescent="0.25">
      <c r="A1228" s="3" t="s">
        <v>427</v>
      </c>
      <c r="B1228" s="3">
        <v>31</v>
      </c>
      <c r="C1228" s="3">
        <v>9</v>
      </c>
      <c r="D1228" s="3">
        <v>2</v>
      </c>
      <c r="E1228" s="3" t="s">
        <v>899</v>
      </c>
      <c r="F1228" s="3" t="s">
        <v>903</v>
      </c>
      <c r="G1228" s="3" t="s">
        <v>891</v>
      </c>
    </row>
    <row r="1229" spans="1:7" x14ac:dyDescent="0.25">
      <c r="A1229" s="3" t="s">
        <v>252</v>
      </c>
      <c r="B1229" s="3">
        <v>473</v>
      </c>
      <c r="C1229" s="3">
        <v>-113</v>
      </c>
      <c r="D1229" s="3">
        <v>9</v>
      </c>
      <c r="E1229" s="3" t="s">
        <v>899</v>
      </c>
      <c r="F1229" s="3" t="s">
        <v>903</v>
      </c>
      <c r="G1229" s="3" t="s">
        <v>902</v>
      </c>
    </row>
    <row r="1230" spans="1:7" x14ac:dyDescent="0.25">
      <c r="A1230" s="3" t="s">
        <v>830</v>
      </c>
      <c r="B1230" s="3">
        <v>31</v>
      </c>
      <c r="C1230" s="3">
        <v>-10</v>
      </c>
      <c r="D1230" s="3">
        <v>3</v>
      </c>
      <c r="E1230" s="3" t="s">
        <v>899</v>
      </c>
      <c r="F1230" s="3" t="s">
        <v>905</v>
      </c>
      <c r="G1230" s="3" t="s">
        <v>891</v>
      </c>
    </row>
    <row r="1231" spans="1:7" x14ac:dyDescent="0.25">
      <c r="A1231" s="3" t="s">
        <v>219</v>
      </c>
      <c r="B1231" s="3">
        <v>31</v>
      </c>
      <c r="C1231" s="3">
        <v>-3</v>
      </c>
      <c r="D1231" s="3">
        <v>4</v>
      </c>
      <c r="E1231" s="3" t="s">
        <v>899</v>
      </c>
      <c r="F1231" s="3" t="s">
        <v>901</v>
      </c>
      <c r="G1231" s="3" t="s">
        <v>891</v>
      </c>
    </row>
    <row r="1232" spans="1:7" x14ac:dyDescent="0.25">
      <c r="A1232" s="3" t="s">
        <v>132</v>
      </c>
      <c r="B1232" s="3">
        <v>91</v>
      </c>
      <c r="C1232" s="3">
        <v>15</v>
      </c>
      <c r="D1232" s="3">
        <v>6</v>
      </c>
      <c r="E1232" s="3" t="s">
        <v>899</v>
      </c>
      <c r="F1232" s="3" t="s">
        <v>910</v>
      </c>
      <c r="G1232" s="3" t="s">
        <v>902</v>
      </c>
    </row>
    <row r="1233" spans="1:7" x14ac:dyDescent="0.25">
      <c r="A1233" s="3" t="s">
        <v>273</v>
      </c>
      <c r="B1233" s="3">
        <v>30</v>
      </c>
      <c r="C1233" s="3">
        <v>-25</v>
      </c>
      <c r="D1233" s="3">
        <v>2</v>
      </c>
      <c r="E1233" s="3" t="s">
        <v>899</v>
      </c>
      <c r="F1233" s="3" t="s">
        <v>910</v>
      </c>
      <c r="G1233" s="3" t="s">
        <v>891</v>
      </c>
    </row>
    <row r="1234" spans="1:7" x14ac:dyDescent="0.25">
      <c r="A1234" s="3" t="s">
        <v>662</v>
      </c>
      <c r="B1234" s="3">
        <v>30</v>
      </c>
      <c r="C1234" s="3">
        <v>6</v>
      </c>
      <c r="D1234" s="3">
        <v>1</v>
      </c>
      <c r="E1234" s="3" t="s">
        <v>899</v>
      </c>
      <c r="F1234" s="3" t="s">
        <v>910</v>
      </c>
      <c r="G1234" s="3" t="s">
        <v>891</v>
      </c>
    </row>
    <row r="1235" spans="1:7" x14ac:dyDescent="0.25">
      <c r="A1235" s="3" t="s">
        <v>48</v>
      </c>
      <c r="B1235" s="3">
        <v>40</v>
      </c>
      <c r="C1235" s="3">
        <v>0</v>
      </c>
      <c r="D1235" s="3">
        <v>3</v>
      </c>
      <c r="E1235" s="3" t="s">
        <v>899</v>
      </c>
      <c r="F1235" s="3" t="s">
        <v>901</v>
      </c>
      <c r="G1235" s="3" t="s">
        <v>897</v>
      </c>
    </row>
    <row r="1236" spans="1:7" x14ac:dyDescent="0.25">
      <c r="A1236" s="3" t="s">
        <v>375</v>
      </c>
      <c r="B1236" s="3">
        <v>534</v>
      </c>
      <c r="C1236" s="3">
        <v>5</v>
      </c>
      <c r="D1236" s="3">
        <v>2</v>
      </c>
      <c r="E1236" s="3" t="s">
        <v>889</v>
      </c>
      <c r="F1236" s="3" t="s">
        <v>890</v>
      </c>
      <c r="G1236" s="3" t="s">
        <v>911</v>
      </c>
    </row>
    <row r="1237" spans="1:7" x14ac:dyDescent="0.25">
      <c r="A1237" s="3" t="s">
        <v>369</v>
      </c>
      <c r="B1237" s="3">
        <v>539</v>
      </c>
      <c r="C1237" s="3">
        <v>-146</v>
      </c>
      <c r="D1237" s="3">
        <v>7</v>
      </c>
      <c r="E1237" s="3" t="s">
        <v>892</v>
      </c>
      <c r="F1237" s="3" t="s">
        <v>912</v>
      </c>
      <c r="G1237" s="3" t="s">
        <v>911</v>
      </c>
    </row>
    <row r="1238" spans="1:7" x14ac:dyDescent="0.25">
      <c r="A1238" s="3" t="s">
        <v>395</v>
      </c>
      <c r="B1238" s="3">
        <v>490</v>
      </c>
      <c r="C1238" s="3">
        <v>-128</v>
      </c>
      <c r="D1238" s="3">
        <v>8</v>
      </c>
      <c r="E1238" s="3" t="s">
        <v>892</v>
      </c>
      <c r="F1238" s="3" t="s">
        <v>895</v>
      </c>
      <c r="G1238" s="3" t="s">
        <v>902</v>
      </c>
    </row>
    <row r="1239" spans="1:7" x14ac:dyDescent="0.25">
      <c r="A1239" s="3" t="s">
        <v>122</v>
      </c>
      <c r="B1239" s="3">
        <v>163</v>
      </c>
      <c r="C1239" s="3">
        <v>81</v>
      </c>
      <c r="D1239" s="3">
        <v>2</v>
      </c>
      <c r="E1239" s="3" t="s">
        <v>889</v>
      </c>
      <c r="F1239" s="3" t="s">
        <v>909</v>
      </c>
      <c r="G1239" s="3" t="s">
        <v>891</v>
      </c>
    </row>
    <row r="1240" spans="1:7" x14ac:dyDescent="0.25">
      <c r="A1240" s="3" t="s">
        <v>138</v>
      </c>
      <c r="B1240" s="3">
        <v>184</v>
      </c>
      <c r="C1240" s="3">
        <v>85</v>
      </c>
      <c r="D1240" s="3">
        <v>6</v>
      </c>
      <c r="E1240" s="3" t="s">
        <v>899</v>
      </c>
      <c r="F1240" s="3" t="s">
        <v>910</v>
      </c>
      <c r="G1240" s="3" t="s">
        <v>902</v>
      </c>
    </row>
    <row r="1241" spans="1:7" x14ac:dyDescent="0.25">
      <c r="A1241" s="3" t="s">
        <v>393</v>
      </c>
      <c r="B1241" s="3">
        <v>494</v>
      </c>
      <c r="C1241" s="3">
        <v>54</v>
      </c>
      <c r="D1241" s="3">
        <v>4</v>
      </c>
      <c r="E1241" s="3" t="s">
        <v>892</v>
      </c>
      <c r="F1241" s="3" t="s">
        <v>895</v>
      </c>
      <c r="G1241" s="3" t="s">
        <v>891</v>
      </c>
    </row>
    <row r="1242" spans="1:7" x14ac:dyDescent="0.25">
      <c r="A1242" s="3" t="s">
        <v>838</v>
      </c>
      <c r="B1242" s="3">
        <v>30</v>
      </c>
      <c r="C1242" s="3">
        <v>11</v>
      </c>
      <c r="D1242" s="3">
        <v>5</v>
      </c>
      <c r="E1242" s="3" t="s">
        <v>899</v>
      </c>
      <c r="F1242" s="3" t="s">
        <v>903</v>
      </c>
      <c r="G1242" s="3" t="s">
        <v>891</v>
      </c>
    </row>
    <row r="1243" spans="1:7" x14ac:dyDescent="0.25">
      <c r="A1243" s="3" t="s">
        <v>492</v>
      </c>
      <c r="B1243" s="3">
        <v>30</v>
      </c>
      <c r="C1243" s="3">
        <v>0</v>
      </c>
      <c r="D1243" s="3">
        <v>1</v>
      </c>
      <c r="E1243" s="3" t="s">
        <v>899</v>
      </c>
      <c r="F1243" s="3" t="s">
        <v>904</v>
      </c>
      <c r="G1243" s="3" t="s">
        <v>891</v>
      </c>
    </row>
    <row r="1244" spans="1:7" x14ac:dyDescent="0.25">
      <c r="A1244" s="3" t="s">
        <v>315</v>
      </c>
      <c r="B1244" s="3">
        <v>39</v>
      </c>
      <c r="C1244" s="3">
        <v>-18</v>
      </c>
      <c r="D1244" s="3">
        <v>2</v>
      </c>
      <c r="E1244" s="3" t="s">
        <v>899</v>
      </c>
      <c r="F1244" s="3" t="s">
        <v>908</v>
      </c>
      <c r="G1244" s="3" t="s">
        <v>897</v>
      </c>
    </row>
    <row r="1245" spans="1:7" x14ac:dyDescent="0.25">
      <c r="A1245" s="3" t="s">
        <v>77</v>
      </c>
      <c r="B1245" s="3">
        <v>1700</v>
      </c>
      <c r="C1245" s="3">
        <v>85</v>
      </c>
      <c r="D1245" s="3">
        <v>3</v>
      </c>
      <c r="E1245" s="3" t="s">
        <v>899</v>
      </c>
      <c r="F1245" s="3" t="s">
        <v>900</v>
      </c>
      <c r="G1245" s="3" t="s">
        <v>891</v>
      </c>
    </row>
    <row r="1246" spans="1:7" x14ac:dyDescent="0.25">
      <c r="A1246" s="3" t="s">
        <v>213</v>
      </c>
      <c r="B1246" s="3">
        <v>332</v>
      </c>
      <c r="C1246" s="3">
        <v>-43</v>
      </c>
      <c r="D1246" s="3">
        <v>6</v>
      </c>
      <c r="E1246" s="3" t="s">
        <v>889</v>
      </c>
      <c r="F1246" s="3" t="s">
        <v>898</v>
      </c>
      <c r="G1246" s="3" t="s">
        <v>902</v>
      </c>
    </row>
    <row r="1247" spans="1:7" x14ac:dyDescent="0.25">
      <c r="A1247" s="3" t="s">
        <v>421</v>
      </c>
      <c r="B1247" s="3">
        <v>436</v>
      </c>
      <c r="C1247" s="3">
        <v>131</v>
      </c>
      <c r="D1247" s="3">
        <v>9</v>
      </c>
      <c r="E1247" s="3" t="s">
        <v>899</v>
      </c>
      <c r="F1247" s="3" t="s">
        <v>903</v>
      </c>
      <c r="G1247" s="3" t="s">
        <v>902</v>
      </c>
    </row>
    <row r="1248" spans="1:7" x14ac:dyDescent="0.25">
      <c r="A1248" s="3" t="s">
        <v>199</v>
      </c>
      <c r="B1248" s="3">
        <v>30</v>
      </c>
      <c r="C1248" s="3">
        <v>-5</v>
      </c>
      <c r="D1248" s="3">
        <v>2</v>
      </c>
      <c r="E1248" s="3" t="s">
        <v>892</v>
      </c>
      <c r="F1248" s="3" t="s">
        <v>912</v>
      </c>
      <c r="G1248" s="3" t="s">
        <v>891</v>
      </c>
    </row>
    <row r="1249" spans="1:7" x14ac:dyDescent="0.25">
      <c r="A1249" s="3" t="s">
        <v>810</v>
      </c>
      <c r="B1249" s="3">
        <v>30</v>
      </c>
      <c r="C1249" s="3">
        <v>-10</v>
      </c>
      <c r="D1249" s="3">
        <v>2</v>
      </c>
      <c r="E1249" s="3" t="s">
        <v>899</v>
      </c>
      <c r="F1249" s="3" t="s">
        <v>907</v>
      </c>
      <c r="G1249" s="3" t="s">
        <v>891</v>
      </c>
    </row>
    <row r="1250" spans="1:7" x14ac:dyDescent="0.25">
      <c r="A1250" s="3" t="s">
        <v>30</v>
      </c>
      <c r="B1250" s="3">
        <v>38</v>
      </c>
      <c r="C1250" s="3">
        <v>-13</v>
      </c>
      <c r="D1250" s="3">
        <v>3</v>
      </c>
      <c r="E1250" s="3" t="s">
        <v>899</v>
      </c>
      <c r="F1250" s="3" t="s">
        <v>907</v>
      </c>
      <c r="G1250" s="3" t="s">
        <v>897</v>
      </c>
    </row>
    <row r="1251" spans="1:7" x14ac:dyDescent="0.25">
      <c r="A1251" s="3" t="s">
        <v>277</v>
      </c>
      <c r="B1251" s="3">
        <v>511</v>
      </c>
      <c r="C1251" s="3">
        <v>194</v>
      </c>
      <c r="D1251" s="3">
        <v>3</v>
      </c>
      <c r="E1251" s="3" t="s">
        <v>892</v>
      </c>
      <c r="F1251" s="3" t="s">
        <v>893</v>
      </c>
      <c r="G1251" s="3" t="s">
        <v>902</v>
      </c>
    </row>
    <row r="1252" spans="1:7" x14ac:dyDescent="0.25">
      <c r="A1252" s="3" t="s">
        <v>73</v>
      </c>
      <c r="B1252" s="3">
        <v>37</v>
      </c>
      <c r="C1252" s="3">
        <v>-53</v>
      </c>
      <c r="D1252" s="3">
        <v>3</v>
      </c>
      <c r="E1252" s="3" t="s">
        <v>899</v>
      </c>
      <c r="F1252" s="3" t="s">
        <v>901</v>
      </c>
      <c r="G1252" s="3" t="s">
        <v>897</v>
      </c>
    </row>
    <row r="1253" spans="1:7" x14ac:dyDescent="0.25">
      <c r="A1253" s="3" t="s">
        <v>230</v>
      </c>
      <c r="B1253" s="3">
        <v>513</v>
      </c>
      <c r="C1253" s="3">
        <v>215</v>
      </c>
      <c r="D1253" s="3">
        <v>2</v>
      </c>
      <c r="E1253" s="3" t="s">
        <v>889</v>
      </c>
      <c r="F1253" s="3" t="s">
        <v>909</v>
      </c>
      <c r="G1253" s="3" t="s">
        <v>891</v>
      </c>
    </row>
    <row r="1254" spans="1:7" x14ac:dyDescent="0.25">
      <c r="A1254" s="3" t="s">
        <v>211</v>
      </c>
      <c r="B1254" s="3">
        <v>516</v>
      </c>
      <c r="C1254" s="3">
        <v>69</v>
      </c>
      <c r="D1254" s="3">
        <v>4</v>
      </c>
      <c r="E1254" s="3" t="s">
        <v>892</v>
      </c>
      <c r="F1254" s="3" t="s">
        <v>895</v>
      </c>
      <c r="G1254" s="3" t="s">
        <v>902</v>
      </c>
    </row>
    <row r="1255" spans="1:7" x14ac:dyDescent="0.25">
      <c r="A1255" s="3" t="s">
        <v>339</v>
      </c>
      <c r="B1255" s="3">
        <v>559</v>
      </c>
      <c r="C1255" s="3">
        <v>-19</v>
      </c>
      <c r="D1255" s="3">
        <v>2</v>
      </c>
      <c r="E1255" s="3" t="s">
        <v>899</v>
      </c>
      <c r="F1255" s="3" t="s">
        <v>900</v>
      </c>
      <c r="G1255" s="3" t="s">
        <v>911</v>
      </c>
    </row>
    <row r="1256" spans="1:7" x14ac:dyDescent="0.25">
      <c r="A1256" s="3" t="s">
        <v>841</v>
      </c>
      <c r="B1256" s="3">
        <v>29</v>
      </c>
      <c r="C1256" s="3">
        <v>-10</v>
      </c>
      <c r="D1256" s="3">
        <v>3</v>
      </c>
      <c r="E1256" s="3" t="s">
        <v>899</v>
      </c>
      <c r="F1256" s="3" t="s">
        <v>905</v>
      </c>
      <c r="G1256" s="3" t="s">
        <v>891</v>
      </c>
    </row>
    <row r="1257" spans="1:7" x14ac:dyDescent="0.25">
      <c r="A1257" s="3" t="s">
        <v>423</v>
      </c>
      <c r="B1257" s="3">
        <v>148</v>
      </c>
      <c r="C1257" s="3">
        <v>52</v>
      </c>
      <c r="D1257" s="3">
        <v>5</v>
      </c>
      <c r="E1257" s="3" t="s">
        <v>899</v>
      </c>
      <c r="F1257" s="3" t="s">
        <v>907</v>
      </c>
      <c r="G1257" s="3" t="s">
        <v>902</v>
      </c>
    </row>
    <row r="1258" spans="1:7" x14ac:dyDescent="0.25">
      <c r="A1258" s="3" t="s">
        <v>360</v>
      </c>
      <c r="B1258" s="3">
        <v>559</v>
      </c>
      <c r="C1258" s="3">
        <v>-174</v>
      </c>
      <c r="D1258" s="3">
        <v>2</v>
      </c>
      <c r="E1258" s="3" t="s">
        <v>889</v>
      </c>
      <c r="F1258" s="3" t="s">
        <v>890</v>
      </c>
      <c r="G1258" s="3" t="s">
        <v>911</v>
      </c>
    </row>
    <row r="1259" spans="1:7" x14ac:dyDescent="0.25">
      <c r="A1259" s="3" t="s">
        <v>378</v>
      </c>
      <c r="B1259" s="3">
        <v>527</v>
      </c>
      <c r="C1259" s="3">
        <v>26</v>
      </c>
      <c r="D1259" s="3">
        <v>3</v>
      </c>
      <c r="E1259" s="3" t="s">
        <v>889</v>
      </c>
      <c r="F1259" s="3" t="s">
        <v>890</v>
      </c>
      <c r="G1259" s="3" t="s">
        <v>891</v>
      </c>
    </row>
    <row r="1260" spans="1:7" x14ac:dyDescent="0.25">
      <c r="A1260" s="3" t="s">
        <v>358</v>
      </c>
      <c r="B1260" s="3">
        <v>560</v>
      </c>
      <c r="C1260" s="3">
        <v>44</v>
      </c>
      <c r="D1260" s="3">
        <v>3</v>
      </c>
      <c r="E1260" s="3" t="s">
        <v>899</v>
      </c>
      <c r="F1260" s="3" t="s">
        <v>901</v>
      </c>
      <c r="G1260" s="3" t="s">
        <v>911</v>
      </c>
    </row>
    <row r="1261" spans="1:7" x14ac:dyDescent="0.25">
      <c r="A1261" s="3" t="s">
        <v>12</v>
      </c>
      <c r="B1261" s="3">
        <v>571</v>
      </c>
      <c r="C1261" s="3">
        <v>108</v>
      </c>
      <c r="D1261" s="3">
        <v>12</v>
      </c>
      <c r="E1261" s="3" t="s">
        <v>899</v>
      </c>
      <c r="F1261" s="3" t="s">
        <v>907</v>
      </c>
      <c r="G1261" s="3" t="s">
        <v>911</v>
      </c>
    </row>
    <row r="1262" spans="1:7" x14ac:dyDescent="0.25">
      <c r="A1262" s="3" t="s">
        <v>391</v>
      </c>
      <c r="B1262" s="3">
        <v>29</v>
      </c>
      <c r="C1262" s="3">
        <v>2</v>
      </c>
      <c r="D1262" s="3">
        <v>3</v>
      </c>
      <c r="E1262" s="3" t="s">
        <v>899</v>
      </c>
      <c r="F1262" s="3" t="s">
        <v>905</v>
      </c>
      <c r="G1262" s="3" t="s">
        <v>891</v>
      </c>
    </row>
    <row r="1263" spans="1:7" x14ac:dyDescent="0.25">
      <c r="A1263" s="3" t="s">
        <v>378</v>
      </c>
      <c r="B1263" s="3">
        <v>29</v>
      </c>
      <c r="C1263" s="3">
        <v>3</v>
      </c>
      <c r="D1263" s="3">
        <v>2</v>
      </c>
      <c r="E1263" s="3" t="s">
        <v>899</v>
      </c>
      <c r="F1263" s="3" t="s">
        <v>907</v>
      </c>
      <c r="G1263" s="3" t="s">
        <v>891</v>
      </c>
    </row>
    <row r="1264" spans="1:7" x14ac:dyDescent="0.25">
      <c r="A1264" s="3" t="s">
        <v>499</v>
      </c>
      <c r="B1264" s="3">
        <v>29</v>
      </c>
      <c r="C1264" s="3">
        <v>-3</v>
      </c>
      <c r="D1264" s="3">
        <v>3</v>
      </c>
      <c r="E1264" s="3" t="s">
        <v>899</v>
      </c>
      <c r="F1264" s="3" t="s">
        <v>901</v>
      </c>
      <c r="G1264" s="3" t="s">
        <v>891</v>
      </c>
    </row>
    <row r="1265" spans="1:7" x14ac:dyDescent="0.25">
      <c r="A1265" s="3" t="s">
        <v>823</v>
      </c>
      <c r="B1265" s="3">
        <v>35</v>
      </c>
      <c r="C1265" s="3">
        <v>14</v>
      </c>
      <c r="D1265" s="3">
        <v>2</v>
      </c>
      <c r="E1265" s="3" t="s">
        <v>899</v>
      </c>
      <c r="F1265" s="3" t="s">
        <v>907</v>
      </c>
      <c r="G1265" s="3" t="s">
        <v>897</v>
      </c>
    </row>
    <row r="1266" spans="1:7" x14ac:dyDescent="0.25">
      <c r="A1266" s="3" t="s">
        <v>52</v>
      </c>
      <c r="B1266" s="3">
        <v>579</v>
      </c>
      <c r="C1266" s="3">
        <v>139</v>
      </c>
      <c r="D1266" s="3">
        <v>3</v>
      </c>
      <c r="E1266" s="3" t="s">
        <v>889</v>
      </c>
      <c r="F1266" s="3" t="s">
        <v>896</v>
      </c>
      <c r="G1266" s="3" t="s">
        <v>911</v>
      </c>
    </row>
    <row r="1267" spans="1:7" x14ac:dyDescent="0.25">
      <c r="A1267" s="3" t="s">
        <v>297</v>
      </c>
      <c r="B1267" s="3">
        <v>29</v>
      </c>
      <c r="C1267" s="3">
        <v>-24</v>
      </c>
      <c r="D1267" s="3">
        <v>4</v>
      </c>
      <c r="E1267" s="3" t="s">
        <v>899</v>
      </c>
      <c r="F1267" s="3" t="s">
        <v>908</v>
      </c>
      <c r="G1267" s="3" t="s">
        <v>891</v>
      </c>
    </row>
    <row r="1268" spans="1:7" x14ac:dyDescent="0.25">
      <c r="A1268" s="3" t="s">
        <v>73</v>
      </c>
      <c r="B1268" s="3">
        <v>593</v>
      </c>
      <c r="C1268" s="3">
        <v>213</v>
      </c>
      <c r="D1268" s="3">
        <v>4</v>
      </c>
      <c r="E1268" s="3" t="s">
        <v>892</v>
      </c>
      <c r="F1268" s="3" t="s">
        <v>895</v>
      </c>
      <c r="G1268" s="3" t="s">
        <v>911</v>
      </c>
    </row>
    <row r="1269" spans="1:7" x14ac:dyDescent="0.25">
      <c r="A1269" s="3" t="s">
        <v>478</v>
      </c>
      <c r="B1269" s="3">
        <v>217</v>
      </c>
      <c r="C1269" s="3">
        <v>72</v>
      </c>
      <c r="D1269" s="3">
        <v>2</v>
      </c>
      <c r="E1269" s="3" t="s">
        <v>892</v>
      </c>
      <c r="F1269" s="3" t="s">
        <v>912</v>
      </c>
      <c r="G1269" s="3" t="s">
        <v>891</v>
      </c>
    </row>
    <row r="1270" spans="1:7" x14ac:dyDescent="0.25">
      <c r="A1270" s="3" t="s">
        <v>460</v>
      </c>
      <c r="B1270" s="3">
        <v>353</v>
      </c>
      <c r="C1270" s="3">
        <v>90</v>
      </c>
      <c r="D1270" s="3">
        <v>8</v>
      </c>
      <c r="E1270" s="3" t="s">
        <v>899</v>
      </c>
      <c r="F1270" s="3" t="s">
        <v>901</v>
      </c>
      <c r="G1270" s="3" t="s">
        <v>891</v>
      </c>
    </row>
    <row r="1271" spans="1:7" x14ac:dyDescent="0.25">
      <c r="A1271" s="3" t="s">
        <v>397</v>
      </c>
      <c r="B1271" s="3">
        <v>382</v>
      </c>
      <c r="C1271" s="3">
        <v>92</v>
      </c>
      <c r="D1271" s="3">
        <v>2</v>
      </c>
      <c r="E1271" s="3" t="s">
        <v>889</v>
      </c>
      <c r="F1271" s="3" t="s">
        <v>896</v>
      </c>
      <c r="G1271" s="3" t="s">
        <v>891</v>
      </c>
    </row>
    <row r="1272" spans="1:7" x14ac:dyDescent="0.25">
      <c r="A1272" s="3" t="s">
        <v>313</v>
      </c>
      <c r="B1272" s="3">
        <v>597</v>
      </c>
      <c r="C1272" s="3">
        <v>93</v>
      </c>
      <c r="D1272" s="3">
        <v>4</v>
      </c>
      <c r="E1272" s="3" t="s">
        <v>892</v>
      </c>
      <c r="F1272" s="3" t="s">
        <v>893</v>
      </c>
      <c r="G1272" s="3" t="s">
        <v>911</v>
      </c>
    </row>
    <row r="1273" spans="1:7" x14ac:dyDescent="0.25">
      <c r="A1273" s="3" t="s">
        <v>548</v>
      </c>
      <c r="B1273" s="3">
        <v>212</v>
      </c>
      <c r="C1273" s="3">
        <v>97</v>
      </c>
      <c r="D1273" s="3">
        <v>7</v>
      </c>
      <c r="E1273" s="3" t="s">
        <v>899</v>
      </c>
      <c r="F1273" s="3" t="s">
        <v>903</v>
      </c>
      <c r="G1273" s="3" t="s">
        <v>891</v>
      </c>
    </row>
    <row r="1274" spans="1:7" x14ac:dyDescent="0.25">
      <c r="A1274" s="3" t="s">
        <v>309</v>
      </c>
      <c r="B1274" s="3">
        <v>689</v>
      </c>
      <c r="C1274" s="3">
        <v>90</v>
      </c>
      <c r="D1274" s="3">
        <v>5</v>
      </c>
      <c r="E1274" s="3" t="s">
        <v>899</v>
      </c>
      <c r="F1274" s="3" t="s">
        <v>901</v>
      </c>
      <c r="G1274" s="3" t="s">
        <v>891</v>
      </c>
    </row>
    <row r="1275" spans="1:7" x14ac:dyDescent="0.25">
      <c r="A1275" s="3" t="s">
        <v>842</v>
      </c>
      <c r="B1275" s="3">
        <v>28</v>
      </c>
      <c r="C1275" s="3">
        <v>-10</v>
      </c>
      <c r="D1275" s="3">
        <v>3</v>
      </c>
      <c r="E1275" s="3" t="s">
        <v>899</v>
      </c>
      <c r="F1275" s="3" t="s">
        <v>905</v>
      </c>
      <c r="G1275" s="3" t="s">
        <v>891</v>
      </c>
    </row>
    <row r="1276" spans="1:7" x14ac:dyDescent="0.25">
      <c r="A1276" s="3" t="s">
        <v>416</v>
      </c>
      <c r="B1276" s="3">
        <v>34</v>
      </c>
      <c r="C1276" s="3">
        <v>12</v>
      </c>
      <c r="D1276" s="3">
        <v>3</v>
      </c>
      <c r="E1276" s="3" t="s">
        <v>899</v>
      </c>
      <c r="F1276" s="3" t="s">
        <v>903</v>
      </c>
      <c r="G1276" s="3" t="s">
        <v>897</v>
      </c>
    </row>
    <row r="1277" spans="1:7" x14ac:dyDescent="0.25">
      <c r="A1277" s="3" t="s">
        <v>138</v>
      </c>
      <c r="B1277" s="3">
        <v>600</v>
      </c>
      <c r="C1277" s="3">
        <v>-102</v>
      </c>
      <c r="D1277" s="3">
        <v>5</v>
      </c>
      <c r="E1277" s="3" t="s">
        <v>889</v>
      </c>
      <c r="F1277" s="3" t="s">
        <v>890</v>
      </c>
      <c r="G1277" s="3" t="s">
        <v>911</v>
      </c>
    </row>
    <row r="1278" spans="1:7" x14ac:dyDescent="0.25">
      <c r="A1278" s="3" t="s">
        <v>328</v>
      </c>
      <c r="B1278" s="3">
        <v>637</v>
      </c>
      <c r="C1278" s="3">
        <v>113</v>
      </c>
      <c r="D1278" s="3">
        <v>5</v>
      </c>
      <c r="E1278" s="3" t="s">
        <v>899</v>
      </c>
      <c r="F1278" s="3" t="s">
        <v>901</v>
      </c>
      <c r="G1278" s="3" t="s">
        <v>902</v>
      </c>
    </row>
    <row r="1279" spans="1:7" x14ac:dyDescent="0.25">
      <c r="A1279" s="3" t="s">
        <v>343</v>
      </c>
      <c r="B1279" s="3">
        <v>616</v>
      </c>
      <c r="C1279" s="3">
        <v>-69</v>
      </c>
      <c r="D1279" s="3">
        <v>7</v>
      </c>
      <c r="E1279" s="3" t="s">
        <v>892</v>
      </c>
      <c r="F1279" s="3" t="s">
        <v>912</v>
      </c>
      <c r="G1279" s="3" t="s">
        <v>911</v>
      </c>
    </row>
    <row r="1280" spans="1:7" x14ac:dyDescent="0.25">
      <c r="A1280" s="3" t="s">
        <v>126</v>
      </c>
      <c r="B1280" s="3">
        <v>624</v>
      </c>
      <c r="C1280" s="3">
        <v>37</v>
      </c>
      <c r="D1280" s="3">
        <v>2</v>
      </c>
      <c r="E1280" s="3" t="s">
        <v>889</v>
      </c>
      <c r="F1280" s="3" t="s">
        <v>890</v>
      </c>
      <c r="G1280" s="3" t="s">
        <v>911</v>
      </c>
    </row>
    <row r="1281" spans="1:7" x14ac:dyDescent="0.25">
      <c r="A1281" s="3" t="s">
        <v>98</v>
      </c>
      <c r="B1281" s="3">
        <v>28</v>
      </c>
      <c r="C1281" s="3">
        <v>4</v>
      </c>
      <c r="D1281" s="3">
        <v>1</v>
      </c>
      <c r="E1281" s="3" t="s">
        <v>899</v>
      </c>
      <c r="F1281" s="3" t="s">
        <v>910</v>
      </c>
      <c r="G1281" s="3" t="s">
        <v>891</v>
      </c>
    </row>
    <row r="1282" spans="1:7" x14ac:dyDescent="0.25">
      <c r="A1282" s="3" t="s">
        <v>273</v>
      </c>
      <c r="B1282" s="3">
        <v>584</v>
      </c>
      <c r="C1282" s="3">
        <v>-444</v>
      </c>
      <c r="D1282" s="3">
        <v>7</v>
      </c>
      <c r="E1282" s="3" t="s">
        <v>889</v>
      </c>
      <c r="F1282" s="3" t="s">
        <v>896</v>
      </c>
      <c r="G1282" s="3" t="s">
        <v>902</v>
      </c>
    </row>
    <row r="1283" spans="1:7" x14ac:dyDescent="0.25">
      <c r="A1283" s="3" t="s">
        <v>250</v>
      </c>
      <c r="B1283" s="3">
        <v>28</v>
      </c>
      <c r="C1283" s="3">
        <v>6</v>
      </c>
      <c r="D1283" s="3">
        <v>4</v>
      </c>
      <c r="E1283" s="3" t="s">
        <v>899</v>
      </c>
      <c r="F1283" s="3" t="s">
        <v>905</v>
      </c>
      <c r="G1283" s="3" t="s">
        <v>891</v>
      </c>
    </row>
    <row r="1284" spans="1:7" x14ac:dyDescent="0.25">
      <c r="A1284" s="3" t="s">
        <v>28</v>
      </c>
      <c r="B1284" s="3">
        <v>33</v>
      </c>
      <c r="C1284" s="3">
        <v>-1</v>
      </c>
      <c r="D1284" s="3">
        <v>1</v>
      </c>
      <c r="E1284" s="3" t="s">
        <v>899</v>
      </c>
      <c r="F1284" s="3" t="s">
        <v>901</v>
      </c>
      <c r="G1284" s="3" t="s">
        <v>897</v>
      </c>
    </row>
    <row r="1285" spans="1:7" x14ac:dyDescent="0.25">
      <c r="A1285" s="3" t="s">
        <v>214</v>
      </c>
      <c r="B1285" s="3">
        <v>27</v>
      </c>
      <c r="C1285" s="3">
        <v>-20</v>
      </c>
      <c r="D1285" s="3">
        <v>2</v>
      </c>
      <c r="E1285" s="3" t="s">
        <v>899</v>
      </c>
      <c r="F1285" s="3" t="s">
        <v>903</v>
      </c>
      <c r="G1285" s="3" t="s">
        <v>891</v>
      </c>
    </row>
    <row r="1286" spans="1:7" x14ac:dyDescent="0.25">
      <c r="A1286" s="3" t="s">
        <v>36</v>
      </c>
      <c r="B1286" s="3">
        <v>27</v>
      </c>
      <c r="C1286" s="3">
        <v>5</v>
      </c>
      <c r="D1286" s="3">
        <v>2</v>
      </c>
      <c r="E1286" s="3" t="s">
        <v>899</v>
      </c>
      <c r="F1286" s="3" t="s">
        <v>905</v>
      </c>
      <c r="G1286" s="3" t="s">
        <v>891</v>
      </c>
    </row>
    <row r="1287" spans="1:7" x14ac:dyDescent="0.25">
      <c r="A1287" s="3" t="s">
        <v>146</v>
      </c>
      <c r="B1287" s="3">
        <v>27</v>
      </c>
      <c r="C1287" s="3">
        <v>4</v>
      </c>
      <c r="D1287" s="3">
        <v>3</v>
      </c>
      <c r="E1287" s="3" t="s">
        <v>899</v>
      </c>
      <c r="F1287" s="3" t="s">
        <v>905</v>
      </c>
      <c r="G1287" s="3" t="s">
        <v>891</v>
      </c>
    </row>
    <row r="1288" spans="1:7" x14ac:dyDescent="0.25">
      <c r="A1288" s="3" t="s">
        <v>333</v>
      </c>
      <c r="B1288" s="3">
        <v>635</v>
      </c>
      <c r="C1288" s="3">
        <v>-349</v>
      </c>
      <c r="D1288" s="3">
        <v>5</v>
      </c>
      <c r="E1288" s="3" t="s">
        <v>899</v>
      </c>
      <c r="F1288" s="3" t="s">
        <v>901</v>
      </c>
      <c r="G1288" s="3" t="s">
        <v>911</v>
      </c>
    </row>
    <row r="1289" spans="1:7" x14ac:dyDescent="0.25">
      <c r="A1289" s="3" t="s">
        <v>347</v>
      </c>
      <c r="B1289" s="3">
        <v>598</v>
      </c>
      <c r="C1289" s="3">
        <v>166</v>
      </c>
      <c r="D1289" s="3">
        <v>4</v>
      </c>
      <c r="E1289" s="3" t="s">
        <v>892</v>
      </c>
      <c r="F1289" s="3" t="s">
        <v>895</v>
      </c>
      <c r="G1289" s="3" t="s">
        <v>902</v>
      </c>
    </row>
    <row r="1290" spans="1:7" x14ac:dyDescent="0.25">
      <c r="A1290" s="3" t="s">
        <v>98</v>
      </c>
      <c r="B1290" s="3">
        <v>636</v>
      </c>
      <c r="C1290" s="3">
        <v>-204</v>
      </c>
      <c r="D1290" s="3">
        <v>2</v>
      </c>
      <c r="E1290" s="3" t="s">
        <v>889</v>
      </c>
      <c r="F1290" s="3" t="s">
        <v>896</v>
      </c>
      <c r="G1290" s="3" t="s">
        <v>911</v>
      </c>
    </row>
    <row r="1291" spans="1:7" x14ac:dyDescent="0.25">
      <c r="A1291" s="3" t="s">
        <v>712</v>
      </c>
      <c r="B1291" s="3">
        <v>27</v>
      </c>
      <c r="C1291" s="3">
        <v>9</v>
      </c>
      <c r="D1291" s="3">
        <v>2</v>
      </c>
      <c r="E1291" s="3" t="s">
        <v>899</v>
      </c>
      <c r="F1291" s="3" t="s">
        <v>903</v>
      </c>
      <c r="G1291" s="3" t="s">
        <v>891</v>
      </c>
    </row>
    <row r="1292" spans="1:7" x14ac:dyDescent="0.25">
      <c r="A1292" s="3" t="s">
        <v>381</v>
      </c>
      <c r="B1292" s="3">
        <v>27</v>
      </c>
      <c r="C1292" s="3">
        <v>-6</v>
      </c>
      <c r="D1292" s="3">
        <v>4</v>
      </c>
      <c r="E1292" s="3" t="s">
        <v>899</v>
      </c>
      <c r="F1292" s="3" t="s">
        <v>903</v>
      </c>
      <c r="G1292" s="3" t="s">
        <v>891</v>
      </c>
    </row>
    <row r="1293" spans="1:7" x14ac:dyDescent="0.25">
      <c r="A1293" s="3" t="s">
        <v>311</v>
      </c>
      <c r="B1293" s="3">
        <v>637</v>
      </c>
      <c r="C1293" s="3">
        <v>212</v>
      </c>
      <c r="D1293" s="3">
        <v>8</v>
      </c>
      <c r="E1293" s="3" t="s">
        <v>889</v>
      </c>
      <c r="F1293" s="3" t="s">
        <v>898</v>
      </c>
      <c r="G1293" s="3" t="s">
        <v>911</v>
      </c>
    </row>
    <row r="1294" spans="1:7" x14ac:dyDescent="0.25">
      <c r="A1294" s="3" t="s">
        <v>114</v>
      </c>
      <c r="B1294" s="3">
        <v>290</v>
      </c>
      <c r="C1294" s="3">
        <v>110</v>
      </c>
      <c r="D1294" s="3">
        <v>9</v>
      </c>
      <c r="E1294" s="3" t="s">
        <v>899</v>
      </c>
      <c r="F1294" s="3" t="s">
        <v>907</v>
      </c>
      <c r="G1294" s="3" t="s">
        <v>902</v>
      </c>
    </row>
    <row r="1295" spans="1:7" x14ac:dyDescent="0.25">
      <c r="A1295" s="3" t="s">
        <v>843</v>
      </c>
      <c r="B1295" s="3">
        <v>27</v>
      </c>
      <c r="C1295" s="3">
        <v>-25</v>
      </c>
      <c r="D1295" s="3">
        <v>2</v>
      </c>
      <c r="E1295" s="3" t="s">
        <v>899</v>
      </c>
      <c r="F1295" s="3" t="s">
        <v>907</v>
      </c>
      <c r="G1295" s="3" t="s">
        <v>891</v>
      </c>
    </row>
    <row r="1296" spans="1:7" x14ac:dyDescent="0.25">
      <c r="A1296" s="3" t="s">
        <v>341</v>
      </c>
      <c r="B1296" s="3">
        <v>632</v>
      </c>
      <c r="C1296" s="3">
        <v>-114</v>
      </c>
      <c r="D1296" s="3">
        <v>4</v>
      </c>
      <c r="E1296" s="3" t="s">
        <v>892</v>
      </c>
      <c r="F1296" s="3" t="s">
        <v>906</v>
      </c>
      <c r="G1296" s="3" t="s">
        <v>902</v>
      </c>
    </row>
    <row r="1297" spans="1:7" x14ac:dyDescent="0.25">
      <c r="A1297" s="3" t="s">
        <v>297</v>
      </c>
      <c r="B1297" s="3">
        <v>643</v>
      </c>
      <c r="C1297" s="3">
        <v>-45</v>
      </c>
      <c r="D1297" s="3">
        <v>2</v>
      </c>
      <c r="E1297" s="3" t="s">
        <v>889</v>
      </c>
      <c r="F1297" s="3" t="s">
        <v>896</v>
      </c>
      <c r="G1297" s="3" t="s">
        <v>911</v>
      </c>
    </row>
    <row r="1298" spans="1:7" x14ac:dyDescent="0.25">
      <c r="A1298" s="3" t="s">
        <v>70</v>
      </c>
      <c r="B1298" s="3">
        <v>652</v>
      </c>
      <c r="C1298" s="3">
        <v>13</v>
      </c>
      <c r="D1298" s="3">
        <v>6</v>
      </c>
      <c r="E1298" s="3" t="s">
        <v>892</v>
      </c>
      <c r="F1298" s="3" t="s">
        <v>912</v>
      </c>
      <c r="G1298" s="3" t="s">
        <v>911</v>
      </c>
    </row>
    <row r="1299" spans="1:7" x14ac:dyDescent="0.25">
      <c r="A1299" s="3" t="s">
        <v>132</v>
      </c>
      <c r="B1299" s="3">
        <v>33</v>
      </c>
      <c r="C1299" s="3">
        <v>-27</v>
      </c>
      <c r="D1299" s="3">
        <v>1</v>
      </c>
      <c r="E1299" s="3" t="s">
        <v>892</v>
      </c>
      <c r="F1299" s="3" t="s">
        <v>893</v>
      </c>
      <c r="G1299" s="3" t="s">
        <v>897</v>
      </c>
    </row>
    <row r="1300" spans="1:7" x14ac:dyDescent="0.25">
      <c r="A1300" s="3" t="s">
        <v>828</v>
      </c>
      <c r="B1300" s="3">
        <v>26</v>
      </c>
      <c r="C1300" s="3">
        <v>2</v>
      </c>
      <c r="D1300" s="3">
        <v>2</v>
      </c>
      <c r="E1300" s="3" t="s">
        <v>899</v>
      </c>
      <c r="F1300" s="3" t="s">
        <v>903</v>
      </c>
      <c r="G1300" s="3" t="s">
        <v>891</v>
      </c>
    </row>
    <row r="1301" spans="1:7" x14ac:dyDescent="0.25">
      <c r="A1301" s="3" t="s">
        <v>335</v>
      </c>
      <c r="B1301" s="3">
        <v>633</v>
      </c>
      <c r="C1301" s="3">
        <v>-633</v>
      </c>
      <c r="D1301" s="3">
        <v>11</v>
      </c>
      <c r="E1301" s="3" t="s">
        <v>889</v>
      </c>
      <c r="F1301" s="3" t="s">
        <v>909</v>
      </c>
      <c r="G1301" s="3" t="s">
        <v>902</v>
      </c>
    </row>
    <row r="1302" spans="1:7" x14ac:dyDescent="0.25">
      <c r="A1302" s="3" t="s">
        <v>46</v>
      </c>
      <c r="B1302" s="3">
        <v>26</v>
      </c>
      <c r="C1302" s="3">
        <v>9</v>
      </c>
      <c r="D1302" s="3">
        <v>2</v>
      </c>
      <c r="E1302" s="3" t="s">
        <v>899</v>
      </c>
      <c r="F1302" s="3" t="s">
        <v>908</v>
      </c>
      <c r="G1302" s="3" t="s">
        <v>891</v>
      </c>
    </row>
    <row r="1303" spans="1:7" x14ac:dyDescent="0.25">
      <c r="A1303" s="3" t="s">
        <v>232</v>
      </c>
      <c r="B1303" s="3">
        <v>191</v>
      </c>
      <c r="C1303" s="3">
        <v>93</v>
      </c>
      <c r="D1303" s="3">
        <v>4</v>
      </c>
      <c r="E1303" s="3" t="s">
        <v>899</v>
      </c>
      <c r="F1303" s="3" t="s">
        <v>913</v>
      </c>
      <c r="G1303" s="3" t="s">
        <v>902</v>
      </c>
    </row>
    <row r="1304" spans="1:7" x14ac:dyDescent="0.25">
      <c r="A1304" s="3" t="s">
        <v>239</v>
      </c>
      <c r="B1304" s="3">
        <v>887</v>
      </c>
      <c r="C1304" s="3">
        <v>80</v>
      </c>
      <c r="D1304" s="3">
        <v>3</v>
      </c>
      <c r="E1304" s="3" t="s">
        <v>889</v>
      </c>
      <c r="F1304" s="3" t="s">
        <v>896</v>
      </c>
      <c r="G1304" s="3" t="s">
        <v>902</v>
      </c>
    </row>
    <row r="1305" spans="1:7" x14ac:dyDescent="0.25">
      <c r="A1305" s="3" t="s">
        <v>330</v>
      </c>
      <c r="B1305" s="3">
        <v>637</v>
      </c>
      <c r="C1305" s="3">
        <v>261</v>
      </c>
      <c r="D1305" s="3">
        <v>2</v>
      </c>
      <c r="E1305" s="3" t="s">
        <v>889</v>
      </c>
      <c r="F1305" s="3" t="s">
        <v>896</v>
      </c>
      <c r="G1305" s="3" t="s">
        <v>891</v>
      </c>
    </row>
    <row r="1306" spans="1:7" x14ac:dyDescent="0.25">
      <c r="A1306" s="3" t="s">
        <v>317</v>
      </c>
      <c r="B1306" s="3">
        <v>670</v>
      </c>
      <c r="C1306" s="3">
        <v>15</v>
      </c>
      <c r="D1306" s="3">
        <v>5</v>
      </c>
      <c r="E1306" s="3" t="s">
        <v>892</v>
      </c>
      <c r="F1306" s="3" t="s">
        <v>895</v>
      </c>
      <c r="G1306" s="3" t="s">
        <v>911</v>
      </c>
    </row>
    <row r="1307" spans="1:7" x14ac:dyDescent="0.25">
      <c r="A1307" s="3" t="s">
        <v>110</v>
      </c>
      <c r="B1307" s="3">
        <v>26</v>
      </c>
      <c r="C1307" s="3">
        <v>7</v>
      </c>
      <c r="D1307" s="3">
        <v>4</v>
      </c>
      <c r="E1307" s="3" t="s">
        <v>899</v>
      </c>
      <c r="F1307" s="3" t="s">
        <v>903</v>
      </c>
      <c r="G1307" s="3" t="s">
        <v>891</v>
      </c>
    </row>
    <row r="1308" spans="1:7" x14ac:dyDescent="0.25">
      <c r="A1308" s="3" t="s">
        <v>138</v>
      </c>
      <c r="B1308" s="3">
        <v>676</v>
      </c>
      <c r="C1308" s="3">
        <v>195</v>
      </c>
      <c r="D1308" s="3">
        <v>5</v>
      </c>
      <c r="E1308" s="3" t="s">
        <v>892</v>
      </c>
      <c r="F1308" s="3" t="s">
        <v>895</v>
      </c>
      <c r="G1308" s="3" t="s">
        <v>911</v>
      </c>
    </row>
    <row r="1309" spans="1:7" x14ac:dyDescent="0.25">
      <c r="A1309" s="3" t="s">
        <v>848</v>
      </c>
      <c r="B1309" s="3">
        <v>26</v>
      </c>
      <c r="C1309" s="3">
        <v>12</v>
      </c>
      <c r="D1309" s="3">
        <v>3</v>
      </c>
      <c r="E1309" s="3" t="s">
        <v>899</v>
      </c>
      <c r="F1309" s="3" t="s">
        <v>903</v>
      </c>
      <c r="G1309" s="3" t="s">
        <v>891</v>
      </c>
    </row>
    <row r="1310" spans="1:7" x14ac:dyDescent="0.25">
      <c r="A1310" s="3" t="s">
        <v>755</v>
      </c>
      <c r="B1310" s="3">
        <v>26</v>
      </c>
      <c r="C1310" s="3">
        <v>-24</v>
      </c>
      <c r="D1310" s="3">
        <v>1</v>
      </c>
      <c r="E1310" s="3" t="s">
        <v>899</v>
      </c>
      <c r="F1310" s="3" t="s">
        <v>907</v>
      </c>
      <c r="G1310" s="3" t="s">
        <v>891</v>
      </c>
    </row>
    <row r="1311" spans="1:7" x14ac:dyDescent="0.25">
      <c r="A1311" s="3" t="s">
        <v>269</v>
      </c>
      <c r="B1311" s="3">
        <v>25</v>
      </c>
      <c r="C1311" s="3">
        <v>7</v>
      </c>
      <c r="D1311" s="3">
        <v>2</v>
      </c>
      <c r="E1311" s="3" t="s">
        <v>899</v>
      </c>
      <c r="F1311" s="3" t="s">
        <v>907</v>
      </c>
      <c r="G1311" s="3" t="s">
        <v>891</v>
      </c>
    </row>
    <row r="1312" spans="1:7" x14ac:dyDescent="0.25">
      <c r="A1312" s="3" t="s">
        <v>136</v>
      </c>
      <c r="B1312" s="3">
        <v>24</v>
      </c>
      <c r="C1312" s="3">
        <v>-30</v>
      </c>
      <c r="D1312" s="3">
        <v>1</v>
      </c>
      <c r="E1312" s="3" t="s">
        <v>892</v>
      </c>
      <c r="F1312" s="3" t="s">
        <v>893</v>
      </c>
      <c r="G1312" s="3" t="s">
        <v>891</v>
      </c>
    </row>
    <row r="1313" spans="1:7" x14ac:dyDescent="0.25">
      <c r="A1313" s="3" t="s">
        <v>356</v>
      </c>
      <c r="B1313" s="3">
        <v>32</v>
      </c>
      <c r="C1313" s="3">
        <v>-12</v>
      </c>
      <c r="D1313" s="3">
        <v>1</v>
      </c>
      <c r="E1313" s="3" t="s">
        <v>892</v>
      </c>
      <c r="F1313" s="3" t="s">
        <v>893</v>
      </c>
      <c r="G1313" s="3" t="s">
        <v>897</v>
      </c>
    </row>
    <row r="1314" spans="1:7" x14ac:dyDescent="0.25">
      <c r="A1314" s="3" t="s">
        <v>226</v>
      </c>
      <c r="B1314" s="3">
        <v>31</v>
      </c>
      <c r="C1314" s="3">
        <v>-2</v>
      </c>
      <c r="D1314" s="3">
        <v>2</v>
      </c>
      <c r="E1314" s="3" t="s">
        <v>899</v>
      </c>
      <c r="F1314" s="3" t="s">
        <v>901</v>
      </c>
      <c r="G1314" s="3" t="s">
        <v>897</v>
      </c>
    </row>
    <row r="1315" spans="1:7" x14ac:dyDescent="0.25">
      <c r="A1315" s="3" t="s">
        <v>126</v>
      </c>
      <c r="B1315" s="3">
        <v>651</v>
      </c>
      <c r="C1315" s="3">
        <v>169</v>
      </c>
      <c r="D1315" s="3">
        <v>5</v>
      </c>
      <c r="E1315" s="3" t="s">
        <v>889</v>
      </c>
      <c r="F1315" s="3" t="s">
        <v>896</v>
      </c>
      <c r="G1315" s="3" t="s">
        <v>891</v>
      </c>
    </row>
    <row r="1316" spans="1:7" x14ac:dyDescent="0.25">
      <c r="A1316" s="3" t="s">
        <v>484</v>
      </c>
      <c r="B1316" s="3">
        <v>326</v>
      </c>
      <c r="C1316" s="3">
        <v>107</v>
      </c>
      <c r="D1316" s="3">
        <v>3</v>
      </c>
      <c r="E1316" s="3" t="s">
        <v>892</v>
      </c>
      <c r="F1316" s="3" t="s">
        <v>912</v>
      </c>
      <c r="G1316" s="3" t="s">
        <v>902</v>
      </c>
    </row>
    <row r="1317" spans="1:7" x14ac:dyDescent="0.25">
      <c r="A1317" s="3" t="s">
        <v>828</v>
      </c>
      <c r="B1317" s="3">
        <v>30</v>
      </c>
      <c r="C1317" s="3">
        <v>-6</v>
      </c>
      <c r="D1317" s="3">
        <v>2</v>
      </c>
      <c r="E1317" s="3" t="s">
        <v>899</v>
      </c>
      <c r="F1317" s="3" t="s">
        <v>903</v>
      </c>
      <c r="G1317" s="3" t="s">
        <v>902</v>
      </c>
    </row>
    <row r="1318" spans="1:7" x14ac:dyDescent="0.25">
      <c r="A1318" s="3" t="s">
        <v>286</v>
      </c>
      <c r="B1318" s="3">
        <v>30</v>
      </c>
      <c r="C1318" s="3">
        <v>5</v>
      </c>
      <c r="D1318" s="3">
        <v>2</v>
      </c>
      <c r="E1318" s="3" t="s">
        <v>899</v>
      </c>
      <c r="F1318" s="3" t="s">
        <v>904</v>
      </c>
      <c r="G1318" s="3" t="s">
        <v>902</v>
      </c>
    </row>
    <row r="1319" spans="1:7" x14ac:dyDescent="0.25">
      <c r="A1319" s="3" t="s">
        <v>318</v>
      </c>
      <c r="B1319" s="3">
        <v>662</v>
      </c>
      <c r="C1319" s="3">
        <v>240</v>
      </c>
      <c r="D1319" s="3">
        <v>2</v>
      </c>
      <c r="E1319" s="3" t="s">
        <v>892</v>
      </c>
      <c r="F1319" s="3" t="s">
        <v>895</v>
      </c>
      <c r="G1319" s="3" t="s">
        <v>891</v>
      </c>
    </row>
    <row r="1320" spans="1:7" x14ac:dyDescent="0.25">
      <c r="A1320" s="3" t="s">
        <v>488</v>
      </c>
      <c r="B1320" s="3">
        <v>30</v>
      </c>
      <c r="C1320" s="3">
        <v>-23</v>
      </c>
      <c r="D1320" s="3">
        <v>2</v>
      </c>
      <c r="E1320" s="3" t="s">
        <v>899</v>
      </c>
      <c r="F1320" s="3" t="s">
        <v>901</v>
      </c>
      <c r="G1320" s="3" t="s">
        <v>902</v>
      </c>
    </row>
    <row r="1321" spans="1:7" x14ac:dyDescent="0.25">
      <c r="A1321" s="3" t="s">
        <v>114</v>
      </c>
      <c r="B1321" s="3">
        <v>29</v>
      </c>
      <c r="C1321" s="3">
        <v>9</v>
      </c>
      <c r="D1321" s="3">
        <v>3</v>
      </c>
      <c r="E1321" s="3" t="s">
        <v>899</v>
      </c>
      <c r="F1321" s="3" t="s">
        <v>901</v>
      </c>
      <c r="G1321" s="3" t="s">
        <v>902</v>
      </c>
    </row>
    <row r="1322" spans="1:7" x14ac:dyDescent="0.25">
      <c r="A1322" s="3" t="s">
        <v>339</v>
      </c>
      <c r="B1322" s="3">
        <v>28</v>
      </c>
      <c r="C1322" s="3">
        <v>1</v>
      </c>
      <c r="D1322" s="3">
        <v>1</v>
      </c>
      <c r="E1322" s="3" t="s">
        <v>889</v>
      </c>
      <c r="F1322" s="3" t="s">
        <v>909</v>
      </c>
      <c r="G1322" s="3" t="s">
        <v>902</v>
      </c>
    </row>
    <row r="1323" spans="1:7" x14ac:dyDescent="0.25">
      <c r="A1323" s="3" t="s">
        <v>142</v>
      </c>
      <c r="B1323" s="3">
        <v>28</v>
      </c>
      <c r="C1323" s="3">
        <v>-3</v>
      </c>
      <c r="D1323" s="3">
        <v>2</v>
      </c>
      <c r="E1323" s="3" t="s">
        <v>899</v>
      </c>
      <c r="F1323" s="3" t="s">
        <v>901</v>
      </c>
      <c r="G1323" s="3" t="s">
        <v>902</v>
      </c>
    </row>
    <row r="1324" spans="1:7" x14ac:dyDescent="0.25">
      <c r="A1324" s="3" t="s">
        <v>849</v>
      </c>
      <c r="B1324" s="3">
        <v>24</v>
      </c>
      <c r="C1324" s="3">
        <v>2</v>
      </c>
      <c r="D1324" s="3">
        <v>4</v>
      </c>
      <c r="E1324" s="3" t="s">
        <v>899</v>
      </c>
      <c r="F1324" s="3" t="s">
        <v>903</v>
      </c>
      <c r="G1324" s="3" t="s">
        <v>891</v>
      </c>
    </row>
    <row r="1325" spans="1:7" x14ac:dyDescent="0.25">
      <c r="A1325" s="3" t="s">
        <v>226</v>
      </c>
      <c r="B1325" s="3">
        <v>28</v>
      </c>
      <c r="C1325" s="3">
        <v>-26</v>
      </c>
      <c r="D1325" s="3">
        <v>2</v>
      </c>
      <c r="E1325" s="3" t="s">
        <v>899</v>
      </c>
      <c r="F1325" s="3" t="s">
        <v>907</v>
      </c>
      <c r="G1325" s="3" t="s">
        <v>902</v>
      </c>
    </row>
    <row r="1326" spans="1:7" x14ac:dyDescent="0.25">
      <c r="A1326" s="3" t="s">
        <v>451</v>
      </c>
      <c r="B1326" s="3">
        <v>27</v>
      </c>
      <c r="C1326" s="3">
        <v>5</v>
      </c>
      <c r="D1326" s="3">
        <v>1</v>
      </c>
      <c r="E1326" s="3" t="s">
        <v>899</v>
      </c>
      <c r="F1326" s="3" t="s">
        <v>907</v>
      </c>
      <c r="G1326" s="3" t="s">
        <v>902</v>
      </c>
    </row>
    <row r="1327" spans="1:7" x14ac:dyDescent="0.25">
      <c r="A1327" s="3" t="s">
        <v>846</v>
      </c>
      <c r="B1327" s="3">
        <v>27</v>
      </c>
      <c r="C1327" s="3">
        <v>-15</v>
      </c>
      <c r="D1327" s="3">
        <v>1</v>
      </c>
      <c r="E1327" s="3" t="s">
        <v>899</v>
      </c>
      <c r="F1327" s="3" t="s">
        <v>907</v>
      </c>
      <c r="G1327" s="3" t="s">
        <v>902</v>
      </c>
    </row>
    <row r="1328" spans="1:7" x14ac:dyDescent="0.25">
      <c r="A1328" s="3" t="s">
        <v>625</v>
      </c>
      <c r="B1328" s="3">
        <v>24</v>
      </c>
      <c r="C1328" s="3">
        <v>11</v>
      </c>
      <c r="D1328" s="3">
        <v>3</v>
      </c>
      <c r="E1328" s="3" t="s">
        <v>899</v>
      </c>
      <c r="F1328" s="3" t="s">
        <v>903</v>
      </c>
      <c r="G1328" s="3" t="s">
        <v>891</v>
      </c>
    </row>
    <row r="1329" spans="1:7" x14ac:dyDescent="0.25">
      <c r="A1329" s="3" t="s">
        <v>810</v>
      </c>
      <c r="B1329" s="3">
        <v>23</v>
      </c>
      <c r="C1329" s="3">
        <v>-6</v>
      </c>
      <c r="D1329" s="3">
        <v>4</v>
      </c>
      <c r="E1329" s="3" t="s">
        <v>899</v>
      </c>
      <c r="F1329" s="3" t="s">
        <v>903</v>
      </c>
      <c r="G1329" s="3" t="s">
        <v>891</v>
      </c>
    </row>
    <row r="1330" spans="1:7" x14ac:dyDescent="0.25">
      <c r="A1330" s="3" t="s">
        <v>154</v>
      </c>
      <c r="B1330" s="3">
        <v>322</v>
      </c>
      <c r="C1330" s="3">
        <v>193</v>
      </c>
      <c r="D1330" s="3">
        <v>5</v>
      </c>
      <c r="E1330" s="3" t="s">
        <v>889</v>
      </c>
      <c r="F1330" s="3" t="s">
        <v>896</v>
      </c>
      <c r="G1330" s="3" t="s">
        <v>891</v>
      </c>
    </row>
    <row r="1331" spans="1:7" x14ac:dyDescent="0.25">
      <c r="A1331" s="3" t="s">
        <v>310</v>
      </c>
      <c r="B1331" s="3">
        <v>688</v>
      </c>
      <c r="C1331" s="3">
        <v>-103</v>
      </c>
      <c r="D1331" s="3">
        <v>6</v>
      </c>
      <c r="E1331" s="3" t="s">
        <v>889</v>
      </c>
      <c r="F1331" s="3" t="s">
        <v>909</v>
      </c>
      <c r="G1331" s="3" t="s">
        <v>911</v>
      </c>
    </row>
    <row r="1332" spans="1:7" x14ac:dyDescent="0.25">
      <c r="A1332" s="3" t="s">
        <v>335</v>
      </c>
      <c r="B1332" s="3">
        <v>23</v>
      </c>
      <c r="C1332" s="3">
        <v>-3</v>
      </c>
      <c r="D1332" s="3">
        <v>1</v>
      </c>
      <c r="E1332" s="3" t="s">
        <v>899</v>
      </c>
      <c r="F1332" s="3" t="s">
        <v>913</v>
      </c>
      <c r="G1332" s="3" t="s">
        <v>891</v>
      </c>
    </row>
    <row r="1333" spans="1:7" x14ac:dyDescent="0.25">
      <c r="A1333" s="3" t="s">
        <v>419</v>
      </c>
      <c r="B1333" s="3">
        <v>26</v>
      </c>
      <c r="C1333" s="3">
        <v>3</v>
      </c>
      <c r="D1333" s="3">
        <v>3</v>
      </c>
      <c r="E1333" s="3" t="s">
        <v>899</v>
      </c>
      <c r="F1333" s="3" t="s">
        <v>905</v>
      </c>
      <c r="G1333" s="3" t="s">
        <v>902</v>
      </c>
    </row>
    <row r="1334" spans="1:7" x14ac:dyDescent="0.25">
      <c r="A1334" s="3" t="s">
        <v>375</v>
      </c>
      <c r="B1334" s="3">
        <v>68</v>
      </c>
      <c r="C1334" s="3">
        <v>-56</v>
      </c>
      <c r="D1334" s="3">
        <v>2</v>
      </c>
      <c r="E1334" s="3" t="s">
        <v>889</v>
      </c>
      <c r="F1334" s="3" t="s">
        <v>898</v>
      </c>
      <c r="G1334" s="3" t="s">
        <v>891</v>
      </c>
    </row>
    <row r="1335" spans="1:7" x14ac:dyDescent="0.25">
      <c r="A1335" s="3" t="s">
        <v>409</v>
      </c>
      <c r="B1335" s="3">
        <v>462</v>
      </c>
      <c r="C1335" s="3">
        <v>169</v>
      </c>
      <c r="D1335" s="3">
        <v>4</v>
      </c>
      <c r="E1335" s="3" t="s">
        <v>899</v>
      </c>
      <c r="F1335" s="3" t="s">
        <v>901</v>
      </c>
      <c r="G1335" s="3" t="s">
        <v>891</v>
      </c>
    </row>
    <row r="1336" spans="1:7" x14ac:dyDescent="0.25">
      <c r="A1336" s="3" t="s">
        <v>219</v>
      </c>
      <c r="B1336" s="3">
        <v>941</v>
      </c>
      <c r="C1336" s="3">
        <v>203</v>
      </c>
      <c r="D1336" s="3">
        <v>3</v>
      </c>
      <c r="E1336" s="3" t="s">
        <v>892</v>
      </c>
      <c r="F1336" s="3" t="s">
        <v>906</v>
      </c>
      <c r="G1336" s="3" t="s">
        <v>902</v>
      </c>
    </row>
    <row r="1337" spans="1:7" x14ac:dyDescent="0.25">
      <c r="A1337" s="3" t="s">
        <v>509</v>
      </c>
      <c r="B1337" s="3">
        <v>23</v>
      </c>
      <c r="C1337" s="3">
        <v>4</v>
      </c>
      <c r="D1337" s="3">
        <v>2</v>
      </c>
      <c r="E1337" s="3" t="s">
        <v>899</v>
      </c>
      <c r="F1337" s="3" t="s">
        <v>905</v>
      </c>
      <c r="G1337" s="3" t="s">
        <v>891</v>
      </c>
    </row>
    <row r="1338" spans="1:7" x14ac:dyDescent="0.25">
      <c r="A1338" s="3" t="s">
        <v>38</v>
      </c>
      <c r="B1338" s="3">
        <v>720</v>
      </c>
      <c r="C1338" s="3">
        <v>43</v>
      </c>
      <c r="D1338" s="3">
        <v>2</v>
      </c>
      <c r="E1338" s="3" t="s">
        <v>889</v>
      </c>
      <c r="F1338" s="3" t="s">
        <v>896</v>
      </c>
      <c r="G1338" s="3" t="s">
        <v>902</v>
      </c>
    </row>
    <row r="1339" spans="1:7" x14ac:dyDescent="0.25">
      <c r="A1339" s="3" t="s">
        <v>116</v>
      </c>
      <c r="B1339" s="3">
        <v>724</v>
      </c>
      <c r="C1339" s="3">
        <v>-447</v>
      </c>
      <c r="D1339" s="3">
        <v>4</v>
      </c>
      <c r="E1339" s="3" t="s">
        <v>889</v>
      </c>
      <c r="F1339" s="3" t="s">
        <v>890</v>
      </c>
      <c r="G1339" s="3" t="s">
        <v>902</v>
      </c>
    </row>
    <row r="1340" spans="1:7" x14ac:dyDescent="0.25">
      <c r="A1340" s="3" t="s">
        <v>298</v>
      </c>
      <c r="B1340" s="3">
        <v>724</v>
      </c>
      <c r="C1340" s="3">
        <v>253</v>
      </c>
      <c r="D1340" s="3">
        <v>2</v>
      </c>
      <c r="E1340" s="3" t="s">
        <v>892</v>
      </c>
      <c r="F1340" s="3" t="s">
        <v>895</v>
      </c>
      <c r="G1340" s="3" t="s">
        <v>902</v>
      </c>
    </row>
    <row r="1341" spans="1:7" x14ac:dyDescent="0.25">
      <c r="A1341" s="3" t="s">
        <v>189</v>
      </c>
      <c r="B1341" s="3">
        <v>26</v>
      </c>
      <c r="C1341" s="3">
        <v>10</v>
      </c>
      <c r="D1341" s="3">
        <v>4</v>
      </c>
      <c r="E1341" s="3" t="s">
        <v>899</v>
      </c>
      <c r="F1341" s="3" t="s">
        <v>903</v>
      </c>
      <c r="G1341" s="3" t="s">
        <v>902</v>
      </c>
    </row>
    <row r="1342" spans="1:7" x14ac:dyDescent="0.25">
      <c r="A1342" s="3" t="s">
        <v>691</v>
      </c>
      <c r="B1342" s="3">
        <v>22</v>
      </c>
      <c r="C1342" s="3">
        <v>-2</v>
      </c>
      <c r="D1342" s="3">
        <v>3</v>
      </c>
      <c r="E1342" s="3" t="s">
        <v>899</v>
      </c>
      <c r="F1342" s="3" t="s">
        <v>903</v>
      </c>
      <c r="G1342" s="3" t="s">
        <v>891</v>
      </c>
    </row>
    <row r="1343" spans="1:7" x14ac:dyDescent="0.25">
      <c r="A1343" s="3" t="s">
        <v>302</v>
      </c>
      <c r="B1343" s="3">
        <v>711</v>
      </c>
      <c r="C1343" s="3">
        <v>-8</v>
      </c>
      <c r="D1343" s="3">
        <v>4</v>
      </c>
      <c r="E1343" s="3" t="s">
        <v>899</v>
      </c>
      <c r="F1343" s="3" t="s">
        <v>901</v>
      </c>
      <c r="G1343" s="3" t="s">
        <v>911</v>
      </c>
    </row>
    <row r="1344" spans="1:7" x14ac:dyDescent="0.25">
      <c r="A1344" s="3" t="s">
        <v>214</v>
      </c>
      <c r="B1344" s="3">
        <v>107</v>
      </c>
      <c r="C1344" s="3">
        <v>31</v>
      </c>
      <c r="D1344" s="3">
        <v>5</v>
      </c>
      <c r="E1344" s="3" t="s">
        <v>899</v>
      </c>
      <c r="F1344" s="3" t="s">
        <v>910</v>
      </c>
      <c r="G1344" s="3" t="s">
        <v>891</v>
      </c>
    </row>
    <row r="1345" spans="1:7" x14ac:dyDescent="0.25">
      <c r="A1345" s="3" t="s">
        <v>275</v>
      </c>
      <c r="B1345" s="3">
        <v>765</v>
      </c>
      <c r="C1345" s="3">
        <v>-153</v>
      </c>
      <c r="D1345" s="3">
        <v>2</v>
      </c>
      <c r="E1345" s="3" t="s">
        <v>889</v>
      </c>
      <c r="F1345" s="3" t="s">
        <v>898</v>
      </c>
      <c r="G1345" s="3" t="s">
        <v>911</v>
      </c>
    </row>
    <row r="1346" spans="1:7" x14ac:dyDescent="0.25">
      <c r="A1346" s="3" t="s">
        <v>712</v>
      </c>
      <c r="B1346" s="3">
        <v>22</v>
      </c>
      <c r="C1346" s="3">
        <v>8</v>
      </c>
      <c r="D1346" s="3">
        <v>2</v>
      </c>
      <c r="E1346" s="3" t="s">
        <v>899</v>
      </c>
      <c r="F1346" s="3" t="s">
        <v>908</v>
      </c>
      <c r="G1346" s="3" t="s">
        <v>891</v>
      </c>
    </row>
    <row r="1347" spans="1:7" x14ac:dyDescent="0.25">
      <c r="A1347" s="3" t="s">
        <v>641</v>
      </c>
      <c r="B1347" s="3">
        <v>26</v>
      </c>
      <c r="C1347" s="3">
        <v>-5</v>
      </c>
      <c r="D1347" s="3">
        <v>2</v>
      </c>
      <c r="E1347" s="3" t="s">
        <v>899</v>
      </c>
      <c r="F1347" s="3" t="s">
        <v>907</v>
      </c>
      <c r="G1347" s="3" t="s">
        <v>902</v>
      </c>
    </row>
    <row r="1348" spans="1:7" x14ac:dyDescent="0.25">
      <c r="A1348" s="3" t="s">
        <v>36</v>
      </c>
      <c r="B1348" s="3">
        <v>22</v>
      </c>
      <c r="C1348" s="3">
        <v>8</v>
      </c>
      <c r="D1348" s="3">
        <v>3</v>
      </c>
      <c r="E1348" s="3" t="s">
        <v>899</v>
      </c>
      <c r="F1348" s="3" t="s">
        <v>903</v>
      </c>
      <c r="G1348" s="3" t="s">
        <v>891</v>
      </c>
    </row>
    <row r="1349" spans="1:7" x14ac:dyDescent="0.25">
      <c r="A1349" s="3" t="s">
        <v>284</v>
      </c>
      <c r="B1349" s="3">
        <v>743</v>
      </c>
      <c r="C1349" s="3">
        <v>89</v>
      </c>
      <c r="D1349" s="3">
        <v>5</v>
      </c>
      <c r="E1349" s="3" t="s">
        <v>889</v>
      </c>
      <c r="F1349" s="3" t="s">
        <v>896</v>
      </c>
      <c r="G1349" s="3" t="s">
        <v>902</v>
      </c>
    </row>
    <row r="1350" spans="1:7" x14ac:dyDescent="0.25">
      <c r="A1350" s="3" t="s">
        <v>539</v>
      </c>
      <c r="B1350" s="3">
        <v>22</v>
      </c>
      <c r="C1350" s="3">
        <v>-15</v>
      </c>
      <c r="D1350" s="3">
        <v>4</v>
      </c>
      <c r="E1350" s="3" t="s">
        <v>899</v>
      </c>
      <c r="F1350" s="3" t="s">
        <v>904</v>
      </c>
      <c r="G1350" s="3" t="s">
        <v>891</v>
      </c>
    </row>
    <row r="1351" spans="1:7" x14ac:dyDescent="0.25">
      <c r="A1351" s="3" t="s">
        <v>199</v>
      </c>
      <c r="B1351" s="3">
        <v>781</v>
      </c>
      <c r="C1351" s="3">
        <v>594</v>
      </c>
      <c r="D1351" s="3">
        <v>6</v>
      </c>
      <c r="E1351" s="3" t="s">
        <v>889</v>
      </c>
      <c r="F1351" s="3" t="s">
        <v>896</v>
      </c>
      <c r="G1351" s="3" t="s">
        <v>911</v>
      </c>
    </row>
    <row r="1352" spans="1:7" x14ac:dyDescent="0.25">
      <c r="A1352" s="3" t="s">
        <v>555</v>
      </c>
      <c r="B1352" s="3">
        <v>25</v>
      </c>
      <c r="C1352" s="3">
        <v>-2</v>
      </c>
      <c r="D1352" s="3">
        <v>5</v>
      </c>
      <c r="E1352" s="3" t="s">
        <v>899</v>
      </c>
      <c r="F1352" s="3" t="s">
        <v>903</v>
      </c>
      <c r="G1352" s="3" t="s">
        <v>902</v>
      </c>
    </row>
    <row r="1353" spans="1:7" x14ac:dyDescent="0.25">
      <c r="A1353" s="3" t="s">
        <v>682</v>
      </c>
      <c r="B1353" s="3">
        <v>25</v>
      </c>
      <c r="C1353" s="3">
        <v>2</v>
      </c>
      <c r="D1353" s="3">
        <v>2</v>
      </c>
      <c r="E1353" s="3" t="s">
        <v>899</v>
      </c>
      <c r="F1353" s="3" t="s">
        <v>903</v>
      </c>
      <c r="G1353" s="3" t="s">
        <v>902</v>
      </c>
    </row>
    <row r="1354" spans="1:7" x14ac:dyDescent="0.25">
      <c r="A1354" s="3" t="s">
        <v>275</v>
      </c>
      <c r="B1354" s="3">
        <v>119</v>
      </c>
      <c r="C1354" s="3">
        <v>43</v>
      </c>
      <c r="D1354" s="3">
        <v>5</v>
      </c>
      <c r="E1354" s="3" t="s">
        <v>899</v>
      </c>
      <c r="F1354" s="3" t="s">
        <v>910</v>
      </c>
      <c r="G1354" s="3" t="s">
        <v>891</v>
      </c>
    </row>
    <row r="1355" spans="1:7" x14ac:dyDescent="0.25">
      <c r="A1355" s="3" t="s">
        <v>265</v>
      </c>
      <c r="B1355" s="3">
        <v>785</v>
      </c>
      <c r="C1355" s="3">
        <v>52</v>
      </c>
      <c r="D1355" s="3">
        <v>2</v>
      </c>
      <c r="E1355" s="3" t="s">
        <v>889</v>
      </c>
      <c r="F1355" s="3" t="s">
        <v>898</v>
      </c>
      <c r="G1355" s="3" t="s">
        <v>911</v>
      </c>
    </row>
    <row r="1356" spans="1:7" x14ac:dyDescent="0.25">
      <c r="A1356" s="3" t="s">
        <v>519</v>
      </c>
      <c r="B1356" s="3">
        <v>183</v>
      </c>
      <c r="C1356" s="3">
        <v>-66</v>
      </c>
      <c r="D1356" s="3">
        <v>5</v>
      </c>
      <c r="E1356" s="3" t="s">
        <v>889</v>
      </c>
      <c r="F1356" s="3" t="s">
        <v>898</v>
      </c>
      <c r="G1356" s="3" t="s">
        <v>902</v>
      </c>
    </row>
    <row r="1357" spans="1:7" x14ac:dyDescent="0.25">
      <c r="A1357" s="3" t="s">
        <v>557</v>
      </c>
      <c r="B1357" s="3">
        <v>22</v>
      </c>
      <c r="C1357" s="3">
        <v>4</v>
      </c>
      <c r="D1357" s="3">
        <v>1</v>
      </c>
      <c r="E1357" s="3" t="s">
        <v>899</v>
      </c>
      <c r="F1357" s="3" t="s">
        <v>907</v>
      </c>
      <c r="G1357" s="3" t="s">
        <v>891</v>
      </c>
    </row>
    <row r="1358" spans="1:7" x14ac:dyDescent="0.25">
      <c r="A1358" s="3" t="s">
        <v>216</v>
      </c>
      <c r="B1358" s="3">
        <v>642</v>
      </c>
      <c r="C1358" s="3">
        <v>180</v>
      </c>
      <c r="D1358" s="3">
        <v>5</v>
      </c>
      <c r="E1358" s="3" t="s">
        <v>899</v>
      </c>
      <c r="F1358" s="3" t="s">
        <v>901</v>
      </c>
      <c r="G1358" s="3" t="s">
        <v>891</v>
      </c>
    </row>
    <row r="1359" spans="1:7" x14ac:dyDescent="0.25">
      <c r="A1359" s="3" t="s">
        <v>273</v>
      </c>
      <c r="B1359" s="3">
        <v>767</v>
      </c>
      <c r="C1359" s="3">
        <v>-353</v>
      </c>
      <c r="D1359" s="3">
        <v>5</v>
      </c>
      <c r="E1359" s="3" t="s">
        <v>899</v>
      </c>
      <c r="F1359" s="3" t="s">
        <v>900</v>
      </c>
      <c r="G1359" s="3" t="s">
        <v>891</v>
      </c>
    </row>
    <row r="1360" spans="1:7" x14ac:dyDescent="0.25">
      <c r="A1360" s="3" t="s">
        <v>271</v>
      </c>
      <c r="B1360" s="3">
        <v>770</v>
      </c>
      <c r="C1360" s="3">
        <v>323</v>
      </c>
      <c r="D1360" s="3">
        <v>3</v>
      </c>
      <c r="E1360" s="3" t="s">
        <v>889</v>
      </c>
      <c r="F1360" s="3" t="s">
        <v>909</v>
      </c>
      <c r="G1360" s="3" t="s">
        <v>891</v>
      </c>
    </row>
    <row r="1361" spans="1:7" x14ac:dyDescent="0.25">
      <c r="A1361" s="3" t="s">
        <v>828</v>
      </c>
      <c r="B1361" s="3">
        <v>21</v>
      </c>
      <c r="C1361" s="3">
        <v>-17</v>
      </c>
      <c r="D1361" s="3">
        <v>3</v>
      </c>
      <c r="E1361" s="3" t="s">
        <v>899</v>
      </c>
      <c r="F1361" s="3" t="s">
        <v>913</v>
      </c>
      <c r="G1361" s="3" t="s">
        <v>891</v>
      </c>
    </row>
    <row r="1362" spans="1:7" x14ac:dyDescent="0.25">
      <c r="A1362" s="3" t="s">
        <v>673</v>
      </c>
      <c r="B1362" s="3">
        <v>21</v>
      </c>
      <c r="C1362" s="3">
        <v>-6</v>
      </c>
      <c r="D1362" s="3">
        <v>3</v>
      </c>
      <c r="E1362" s="3" t="s">
        <v>899</v>
      </c>
      <c r="F1362" s="3" t="s">
        <v>908</v>
      </c>
      <c r="G1362" s="3" t="s">
        <v>891</v>
      </c>
    </row>
    <row r="1363" spans="1:7" x14ac:dyDescent="0.25">
      <c r="A1363" s="3" t="s">
        <v>28</v>
      </c>
      <c r="B1363" s="3">
        <v>492</v>
      </c>
      <c r="C1363" s="3">
        <v>187</v>
      </c>
      <c r="D1363" s="3">
        <v>2</v>
      </c>
      <c r="E1363" s="3" t="s">
        <v>889</v>
      </c>
      <c r="F1363" s="3" t="s">
        <v>909</v>
      </c>
      <c r="G1363" s="3" t="s">
        <v>902</v>
      </c>
    </row>
    <row r="1364" spans="1:7" x14ac:dyDescent="0.25">
      <c r="A1364" s="3" t="s">
        <v>241</v>
      </c>
      <c r="B1364" s="3">
        <v>816</v>
      </c>
      <c r="C1364" s="3">
        <v>-96</v>
      </c>
      <c r="D1364" s="3">
        <v>3</v>
      </c>
      <c r="E1364" s="3" t="s">
        <v>889</v>
      </c>
      <c r="F1364" s="3" t="s">
        <v>896</v>
      </c>
      <c r="G1364" s="3" t="s">
        <v>911</v>
      </c>
    </row>
    <row r="1365" spans="1:7" x14ac:dyDescent="0.25">
      <c r="A1365" s="3" t="s">
        <v>528</v>
      </c>
      <c r="B1365" s="3">
        <v>25</v>
      </c>
      <c r="C1365" s="3">
        <v>2</v>
      </c>
      <c r="D1365" s="3">
        <v>3</v>
      </c>
      <c r="E1365" s="3" t="s">
        <v>899</v>
      </c>
      <c r="F1365" s="3" t="s">
        <v>904</v>
      </c>
      <c r="G1365" s="3" t="s">
        <v>897</v>
      </c>
    </row>
    <row r="1366" spans="1:7" x14ac:dyDescent="0.25">
      <c r="A1366" s="3" t="s">
        <v>77</v>
      </c>
      <c r="B1366" s="3">
        <v>802</v>
      </c>
      <c r="C1366" s="3">
        <v>120</v>
      </c>
      <c r="D1366" s="3">
        <v>7</v>
      </c>
      <c r="E1366" s="3" t="s">
        <v>889</v>
      </c>
      <c r="F1366" s="3" t="s">
        <v>909</v>
      </c>
      <c r="G1366" s="3" t="s">
        <v>891</v>
      </c>
    </row>
    <row r="1367" spans="1:7" x14ac:dyDescent="0.25">
      <c r="A1367" s="3" t="s">
        <v>261</v>
      </c>
      <c r="B1367" s="3">
        <v>811</v>
      </c>
      <c r="C1367" s="3">
        <v>154</v>
      </c>
      <c r="D1367" s="3">
        <v>7</v>
      </c>
      <c r="E1367" s="3" t="s">
        <v>889</v>
      </c>
      <c r="F1367" s="3" t="s">
        <v>909</v>
      </c>
      <c r="G1367" s="3" t="s">
        <v>902</v>
      </c>
    </row>
    <row r="1368" spans="1:7" x14ac:dyDescent="0.25">
      <c r="A1368" s="3" t="s">
        <v>42</v>
      </c>
      <c r="B1368" s="3">
        <v>835</v>
      </c>
      <c r="C1368" s="3">
        <v>267</v>
      </c>
      <c r="D1368" s="3">
        <v>5</v>
      </c>
      <c r="E1368" s="3" t="s">
        <v>889</v>
      </c>
      <c r="F1368" s="3" t="s">
        <v>898</v>
      </c>
      <c r="G1368" s="3" t="s">
        <v>911</v>
      </c>
    </row>
    <row r="1369" spans="1:7" x14ac:dyDescent="0.25">
      <c r="A1369" s="3" t="s">
        <v>718</v>
      </c>
      <c r="B1369" s="3">
        <v>21</v>
      </c>
      <c r="C1369" s="3">
        <v>-5</v>
      </c>
      <c r="D1369" s="3">
        <v>1</v>
      </c>
      <c r="E1369" s="3" t="s">
        <v>889</v>
      </c>
      <c r="F1369" s="3" t="s">
        <v>909</v>
      </c>
      <c r="G1369" s="3" t="s">
        <v>891</v>
      </c>
    </row>
    <row r="1370" spans="1:7" x14ac:dyDescent="0.25">
      <c r="A1370" s="3" t="s">
        <v>418</v>
      </c>
      <c r="B1370" s="3">
        <v>450</v>
      </c>
      <c r="C1370" s="3">
        <v>-190</v>
      </c>
      <c r="D1370" s="3">
        <v>4</v>
      </c>
      <c r="E1370" s="3" t="s">
        <v>892</v>
      </c>
      <c r="F1370" s="3" t="s">
        <v>895</v>
      </c>
      <c r="G1370" s="3" t="s">
        <v>891</v>
      </c>
    </row>
    <row r="1371" spans="1:7" x14ac:dyDescent="0.25">
      <c r="A1371" s="3" t="s">
        <v>124</v>
      </c>
      <c r="B1371" s="3">
        <v>24</v>
      </c>
      <c r="C1371" s="3">
        <v>-1</v>
      </c>
      <c r="D1371" s="3">
        <v>4</v>
      </c>
      <c r="E1371" s="3" t="s">
        <v>899</v>
      </c>
      <c r="F1371" s="3" t="s">
        <v>905</v>
      </c>
      <c r="G1371" s="3" t="s">
        <v>897</v>
      </c>
    </row>
    <row r="1372" spans="1:7" x14ac:dyDescent="0.25">
      <c r="A1372" s="3" t="s">
        <v>256</v>
      </c>
      <c r="B1372" s="3">
        <v>832</v>
      </c>
      <c r="C1372" s="3">
        <v>0</v>
      </c>
      <c r="D1372" s="3">
        <v>3</v>
      </c>
      <c r="E1372" s="3" t="s">
        <v>899</v>
      </c>
      <c r="F1372" s="3" t="s">
        <v>900</v>
      </c>
      <c r="G1372" s="3" t="s">
        <v>902</v>
      </c>
    </row>
    <row r="1373" spans="1:7" x14ac:dyDescent="0.25">
      <c r="A1373" s="3" t="s">
        <v>254</v>
      </c>
      <c r="B1373" s="3">
        <v>833</v>
      </c>
      <c r="C1373" s="3">
        <v>93</v>
      </c>
      <c r="D1373" s="3">
        <v>3</v>
      </c>
      <c r="E1373" s="3" t="s">
        <v>899</v>
      </c>
      <c r="F1373" s="3" t="s">
        <v>900</v>
      </c>
      <c r="G1373" s="3" t="s">
        <v>902</v>
      </c>
    </row>
    <row r="1374" spans="1:7" x14ac:dyDescent="0.25">
      <c r="A1374" s="3" t="s">
        <v>861</v>
      </c>
      <c r="B1374" s="3">
        <v>20</v>
      </c>
      <c r="C1374" s="3">
        <v>6</v>
      </c>
      <c r="D1374" s="3">
        <v>1</v>
      </c>
      <c r="E1374" s="3" t="s">
        <v>899</v>
      </c>
      <c r="F1374" s="3" t="s">
        <v>910</v>
      </c>
      <c r="G1374" s="3" t="s">
        <v>891</v>
      </c>
    </row>
    <row r="1375" spans="1:7" x14ac:dyDescent="0.25">
      <c r="A1375" s="3" t="s">
        <v>641</v>
      </c>
      <c r="B1375" s="3">
        <v>23</v>
      </c>
      <c r="C1375" s="3">
        <v>-5</v>
      </c>
      <c r="D1375" s="3">
        <v>7</v>
      </c>
      <c r="E1375" s="3" t="s">
        <v>899</v>
      </c>
      <c r="F1375" s="3" t="s">
        <v>903</v>
      </c>
      <c r="G1375" s="3" t="s">
        <v>897</v>
      </c>
    </row>
    <row r="1376" spans="1:7" x14ac:dyDescent="0.25">
      <c r="A1376" s="3" t="s">
        <v>144</v>
      </c>
      <c r="B1376" s="3">
        <v>550</v>
      </c>
      <c r="C1376" s="3">
        <v>-242</v>
      </c>
      <c r="D1376" s="3">
        <v>5</v>
      </c>
      <c r="E1376" s="3" t="s">
        <v>892</v>
      </c>
      <c r="F1376" s="3" t="s">
        <v>912</v>
      </c>
      <c r="G1376" s="3" t="s">
        <v>902</v>
      </c>
    </row>
    <row r="1377" spans="1:7" x14ac:dyDescent="0.25">
      <c r="A1377" s="3" t="s">
        <v>202</v>
      </c>
      <c r="B1377" s="3">
        <v>148</v>
      </c>
      <c r="C1377" s="3">
        <v>-91</v>
      </c>
      <c r="D1377" s="3">
        <v>2</v>
      </c>
      <c r="E1377" s="3" t="s">
        <v>889</v>
      </c>
      <c r="F1377" s="3" t="s">
        <v>898</v>
      </c>
      <c r="G1377" s="3" t="s">
        <v>891</v>
      </c>
    </row>
    <row r="1378" spans="1:7" x14ac:dyDescent="0.25">
      <c r="A1378" s="3" t="s">
        <v>250</v>
      </c>
      <c r="B1378" s="3">
        <v>846</v>
      </c>
      <c r="C1378" s="3">
        <v>9</v>
      </c>
      <c r="D1378" s="3">
        <v>2</v>
      </c>
      <c r="E1378" s="3" t="s">
        <v>892</v>
      </c>
      <c r="F1378" s="3" t="s">
        <v>893</v>
      </c>
      <c r="G1378" s="3" t="s">
        <v>911</v>
      </c>
    </row>
    <row r="1379" spans="1:7" x14ac:dyDescent="0.25">
      <c r="A1379" s="3" t="s">
        <v>128</v>
      </c>
      <c r="B1379" s="3">
        <v>856</v>
      </c>
      <c r="C1379" s="3">
        <v>385</v>
      </c>
      <c r="D1379" s="3">
        <v>6</v>
      </c>
      <c r="E1379" s="3" t="s">
        <v>889</v>
      </c>
      <c r="F1379" s="3" t="s">
        <v>896</v>
      </c>
      <c r="G1379" s="3" t="s">
        <v>891</v>
      </c>
    </row>
    <row r="1380" spans="1:7" x14ac:dyDescent="0.25">
      <c r="A1380" s="3" t="s">
        <v>244</v>
      </c>
      <c r="B1380" s="3">
        <v>871</v>
      </c>
      <c r="C1380" s="3">
        <v>131</v>
      </c>
      <c r="D1380" s="3">
        <v>2</v>
      </c>
      <c r="E1380" s="3" t="s">
        <v>892</v>
      </c>
      <c r="F1380" s="3" t="s">
        <v>895</v>
      </c>
      <c r="G1380" s="3" t="s">
        <v>902</v>
      </c>
    </row>
    <row r="1381" spans="1:7" x14ac:dyDescent="0.25">
      <c r="A1381" s="3" t="s">
        <v>427</v>
      </c>
      <c r="B1381" s="3">
        <v>19</v>
      </c>
      <c r="C1381" s="3">
        <v>-18</v>
      </c>
      <c r="D1381" s="3">
        <v>4</v>
      </c>
      <c r="E1381" s="3" t="s">
        <v>899</v>
      </c>
      <c r="F1381" s="3" t="s">
        <v>904</v>
      </c>
      <c r="G1381" s="3" t="s">
        <v>891</v>
      </c>
    </row>
    <row r="1382" spans="1:7" x14ac:dyDescent="0.25">
      <c r="A1382" s="3" t="s">
        <v>345</v>
      </c>
      <c r="B1382" s="3">
        <v>610</v>
      </c>
      <c r="C1382" s="3">
        <v>-66</v>
      </c>
      <c r="D1382" s="3">
        <v>2</v>
      </c>
      <c r="E1382" s="3" t="s">
        <v>892</v>
      </c>
      <c r="F1382" s="3" t="s">
        <v>906</v>
      </c>
      <c r="G1382" s="3" t="s">
        <v>891</v>
      </c>
    </row>
    <row r="1383" spans="1:7" x14ac:dyDescent="0.25">
      <c r="A1383" s="3" t="s">
        <v>241</v>
      </c>
      <c r="B1383" s="3">
        <v>880</v>
      </c>
      <c r="C1383" s="3">
        <v>97</v>
      </c>
      <c r="D1383" s="3">
        <v>8</v>
      </c>
      <c r="E1383" s="3" t="s">
        <v>892</v>
      </c>
      <c r="F1383" s="3" t="s">
        <v>912</v>
      </c>
      <c r="G1383" s="3" t="s">
        <v>911</v>
      </c>
    </row>
    <row r="1384" spans="1:7" x14ac:dyDescent="0.25">
      <c r="A1384" s="3" t="s">
        <v>177</v>
      </c>
      <c r="B1384" s="3">
        <v>22</v>
      </c>
      <c r="C1384" s="3">
        <v>-8</v>
      </c>
      <c r="D1384" s="3">
        <v>4</v>
      </c>
      <c r="E1384" s="3" t="s">
        <v>899</v>
      </c>
      <c r="F1384" s="3" t="s">
        <v>903</v>
      </c>
      <c r="G1384" s="3" t="s">
        <v>897</v>
      </c>
    </row>
    <row r="1385" spans="1:7" x14ac:dyDescent="0.25">
      <c r="A1385" s="3" t="s">
        <v>852</v>
      </c>
      <c r="B1385" s="3">
        <v>22</v>
      </c>
      <c r="C1385" s="3">
        <v>11</v>
      </c>
      <c r="D1385" s="3">
        <v>2</v>
      </c>
      <c r="E1385" s="3" t="s">
        <v>899</v>
      </c>
      <c r="F1385" s="3" t="s">
        <v>905</v>
      </c>
      <c r="G1385" s="3" t="s">
        <v>897</v>
      </c>
    </row>
    <row r="1386" spans="1:7" x14ac:dyDescent="0.25">
      <c r="A1386" s="3" t="s">
        <v>857</v>
      </c>
      <c r="B1386" s="3">
        <v>21</v>
      </c>
      <c r="C1386" s="3">
        <v>4</v>
      </c>
      <c r="D1386" s="3">
        <v>3</v>
      </c>
      <c r="E1386" s="3" t="s">
        <v>899</v>
      </c>
      <c r="F1386" s="3" t="s">
        <v>903</v>
      </c>
      <c r="G1386" s="3" t="s">
        <v>897</v>
      </c>
    </row>
    <row r="1387" spans="1:7" x14ac:dyDescent="0.25">
      <c r="A1387" s="3" t="s">
        <v>124</v>
      </c>
      <c r="B1387" s="3">
        <v>18</v>
      </c>
      <c r="C1387" s="3">
        <v>1</v>
      </c>
      <c r="D1387" s="3">
        <v>3</v>
      </c>
      <c r="E1387" s="3" t="s">
        <v>899</v>
      </c>
      <c r="F1387" s="3" t="s">
        <v>903</v>
      </c>
      <c r="G1387" s="3" t="s">
        <v>891</v>
      </c>
    </row>
    <row r="1388" spans="1:7" x14ac:dyDescent="0.25">
      <c r="A1388" s="3" t="s">
        <v>233</v>
      </c>
      <c r="B1388" s="3">
        <v>911</v>
      </c>
      <c r="C1388" s="3">
        <v>202</v>
      </c>
      <c r="D1388" s="3">
        <v>7</v>
      </c>
      <c r="E1388" s="3" t="s">
        <v>892</v>
      </c>
      <c r="F1388" s="3" t="s">
        <v>893</v>
      </c>
      <c r="G1388" s="3" t="s">
        <v>891</v>
      </c>
    </row>
    <row r="1389" spans="1:7" x14ac:dyDescent="0.25">
      <c r="A1389" s="3" t="s">
        <v>378</v>
      </c>
      <c r="B1389" s="3">
        <v>18</v>
      </c>
      <c r="C1389" s="3">
        <v>2</v>
      </c>
      <c r="D1389" s="3">
        <v>3</v>
      </c>
      <c r="E1389" s="3" t="s">
        <v>899</v>
      </c>
      <c r="F1389" s="3" t="s">
        <v>903</v>
      </c>
      <c r="G1389" s="3" t="s">
        <v>891</v>
      </c>
    </row>
    <row r="1390" spans="1:7" x14ac:dyDescent="0.25">
      <c r="A1390" s="3" t="s">
        <v>235</v>
      </c>
      <c r="B1390" s="3">
        <v>911</v>
      </c>
      <c r="C1390" s="3">
        <v>355</v>
      </c>
      <c r="D1390" s="3">
        <v>5</v>
      </c>
      <c r="E1390" s="3" t="s">
        <v>889</v>
      </c>
      <c r="F1390" s="3" t="s">
        <v>898</v>
      </c>
      <c r="G1390" s="3" t="s">
        <v>911</v>
      </c>
    </row>
    <row r="1391" spans="1:7" x14ac:dyDescent="0.25">
      <c r="A1391" s="3" t="s">
        <v>643</v>
      </c>
      <c r="B1391" s="3">
        <v>143</v>
      </c>
      <c r="C1391" s="3">
        <v>-129</v>
      </c>
      <c r="D1391" s="3">
        <v>2</v>
      </c>
      <c r="E1391" s="3" t="s">
        <v>889</v>
      </c>
      <c r="F1391" s="3" t="s">
        <v>898</v>
      </c>
      <c r="G1391" s="3" t="s">
        <v>891</v>
      </c>
    </row>
    <row r="1392" spans="1:7" x14ac:dyDescent="0.25">
      <c r="A1392" s="3" t="s">
        <v>228</v>
      </c>
      <c r="B1392" s="3">
        <v>918</v>
      </c>
      <c r="C1392" s="3">
        <v>22</v>
      </c>
      <c r="D1392" s="3">
        <v>9</v>
      </c>
      <c r="E1392" s="3" t="s">
        <v>889</v>
      </c>
      <c r="F1392" s="3" t="s">
        <v>890</v>
      </c>
      <c r="G1392" s="3" t="s">
        <v>891</v>
      </c>
    </row>
    <row r="1393" spans="1:7" x14ac:dyDescent="0.25">
      <c r="A1393" s="3" t="s">
        <v>226</v>
      </c>
      <c r="B1393" s="3">
        <v>925</v>
      </c>
      <c r="C1393" s="3">
        <v>-447</v>
      </c>
      <c r="D1393" s="3">
        <v>5</v>
      </c>
      <c r="E1393" s="3" t="s">
        <v>889</v>
      </c>
      <c r="F1393" s="3" t="s">
        <v>890</v>
      </c>
      <c r="G1393" s="3" t="s">
        <v>891</v>
      </c>
    </row>
    <row r="1394" spans="1:7" x14ac:dyDescent="0.25">
      <c r="A1394" s="3" t="s">
        <v>362</v>
      </c>
      <c r="B1394" s="3">
        <v>17</v>
      </c>
      <c r="C1394" s="3">
        <v>8</v>
      </c>
      <c r="D1394" s="3">
        <v>2</v>
      </c>
      <c r="E1394" s="3" t="s">
        <v>899</v>
      </c>
      <c r="F1394" s="3" t="s">
        <v>905</v>
      </c>
      <c r="G1394" s="3" t="s">
        <v>891</v>
      </c>
    </row>
    <row r="1395" spans="1:7" x14ac:dyDescent="0.25">
      <c r="A1395" s="3" t="s">
        <v>407</v>
      </c>
      <c r="B1395" s="3">
        <v>465</v>
      </c>
      <c r="C1395" s="3">
        <v>207</v>
      </c>
      <c r="D1395" s="3">
        <v>9</v>
      </c>
      <c r="E1395" s="3" t="s">
        <v>899</v>
      </c>
      <c r="F1395" s="3" t="s">
        <v>901</v>
      </c>
      <c r="G1395" s="3" t="s">
        <v>891</v>
      </c>
    </row>
    <row r="1396" spans="1:7" x14ac:dyDescent="0.25">
      <c r="A1396" s="3" t="s">
        <v>300</v>
      </c>
      <c r="B1396" s="3">
        <v>17</v>
      </c>
      <c r="C1396" s="3">
        <v>-9</v>
      </c>
      <c r="D1396" s="3">
        <v>3</v>
      </c>
      <c r="E1396" s="3" t="s">
        <v>899</v>
      </c>
      <c r="F1396" s="3" t="s">
        <v>907</v>
      </c>
      <c r="G1396" s="3" t="s">
        <v>891</v>
      </c>
    </row>
    <row r="1397" spans="1:7" x14ac:dyDescent="0.25">
      <c r="A1397" s="3" t="s">
        <v>221</v>
      </c>
      <c r="B1397" s="3">
        <v>935</v>
      </c>
      <c r="C1397" s="3">
        <v>114</v>
      </c>
      <c r="D1397" s="3">
        <v>4</v>
      </c>
      <c r="E1397" s="3" t="s">
        <v>889</v>
      </c>
      <c r="F1397" s="3" t="s">
        <v>890</v>
      </c>
      <c r="G1397" s="3" t="s">
        <v>902</v>
      </c>
    </row>
    <row r="1398" spans="1:7" x14ac:dyDescent="0.25">
      <c r="A1398" s="3" t="s">
        <v>260</v>
      </c>
      <c r="B1398" s="3">
        <v>16</v>
      </c>
      <c r="C1398" s="3">
        <v>-10</v>
      </c>
      <c r="D1398" s="3">
        <v>2</v>
      </c>
      <c r="E1398" s="3" t="s">
        <v>899</v>
      </c>
      <c r="F1398" s="3" t="s">
        <v>910</v>
      </c>
      <c r="G1398" s="3" t="s">
        <v>891</v>
      </c>
    </row>
    <row r="1399" spans="1:7" x14ac:dyDescent="0.25">
      <c r="A1399" s="3" t="s">
        <v>25</v>
      </c>
      <c r="B1399" s="3">
        <v>954</v>
      </c>
      <c r="C1399" s="3">
        <v>95</v>
      </c>
      <c r="D1399" s="3">
        <v>3</v>
      </c>
      <c r="E1399" s="3" t="s">
        <v>889</v>
      </c>
      <c r="F1399" s="3" t="s">
        <v>896</v>
      </c>
      <c r="G1399" s="3" t="s">
        <v>902</v>
      </c>
    </row>
    <row r="1400" spans="1:7" x14ac:dyDescent="0.25">
      <c r="A1400" s="3" t="s">
        <v>232</v>
      </c>
      <c r="B1400" s="3">
        <v>915</v>
      </c>
      <c r="C1400" s="3">
        <v>-99</v>
      </c>
      <c r="D1400" s="3">
        <v>3</v>
      </c>
      <c r="E1400" s="3" t="s">
        <v>892</v>
      </c>
      <c r="F1400" s="3" t="s">
        <v>906</v>
      </c>
      <c r="G1400" s="3" t="s">
        <v>911</v>
      </c>
    </row>
    <row r="1401" spans="1:7" x14ac:dyDescent="0.25">
      <c r="A1401" s="3" t="s">
        <v>218</v>
      </c>
      <c r="B1401" s="3">
        <v>955</v>
      </c>
      <c r="C1401" s="3">
        <v>305</v>
      </c>
      <c r="D1401" s="3">
        <v>3</v>
      </c>
      <c r="E1401" s="3" t="s">
        <v>889</v>
      </c>
      <c r="F1401" s="3" t="s">
        <v>896</v>
      </c>
      <c r="G1401" s="3" t="s">
        <v>911</v>
      </c>
    </row>
    <row r="1402" spans="1:7" x14ac:dyDescent="0.25">
      <c r="A1402" s="3" t="s">
        <v>83</v>
      </c>
      <c r="B1402" s="3">
        <v>976</v>
      </c>
      <c r="C1402" s="3">
        <v>293</v>
      </c>
      <c r="D1402" s="3">
        <v>4</v>
      </c>
      <c r="E1402" s="3" t="s">
        <v>889</v>
      </c>
      <c r="F1402" s="3" t="s">
        <v>909</v>
      </c>
      <c r="G1402" s="3" t="s">
        <v>891</v>
      </c>
    </row>
    <row r="1403" spans="1:7" x14ac:dyDescent="0.25">
      <c r="A1403" s="3" t="s">
        <v>202</v>
      </c>
      <c r="B1403" s="3">
        <v>1069</v>
      </c>
      <c r="C1403" s="3">
        <v>0</v>
      </c>
      <c r="D1403" s="3">
        <v>6</v>
      </c>
      <c r="E1403" s="3" t="s">
        <v>899</v>
      </c>
      <c r="F1403" s="3" t="s">
        <v>901</v>
      </c>
      <c r="G1403" s="3" t="s">
        <v>894</v>
      </c>
    </row>
    <row r="1404" spans="1:7" x14ac:dyDescent="0.25">
      <c r="A1404" s="3" t="s">
        <v>541</v>
      </c>
      <c r="B1404" s="3">
        <v>19</v>
      </c>
      <c r="C1404" s="3">
        <v>-15</v>
      </c>
      <c r="D1404" s="3">
        <v>3</v>
      </c>
      <c r="E1404" s="3" t="s">
        <v>899</v>
      </c>
      <c r="F1404" s="3" t="s">
        <v>903</v>
      </c>
      <c r="G1404" s="3" t="s">
        <v>897</v>
      </c>
    </row>
    <row r="1405" spans="1:7" x14ac:dyDescent="0.25">
      <c r="A1405" s="3" t="s">
        <v>44</v>
      </c>
      <c r="B1405" s="3">
        <v>16</v>
      </c>
      <c r="C1405" s="3">
        <v>6</v>
      </c>
      <c r="D1405" s="3">
        <v>3</v>
      </c>
      <c r="E1405" s="3" t="s">
        <v>899</v>
      </c>
      <c r="F1405" s="3" t="s">
        <v>903</v>
      </c>
      <c r="G1405" s="3" t="s">
        <v>891</v>
      </c>
    </row>
    <row r="1406" spans="1:7" x14ac:dyDescent="0.25">
      <c r="A1406" s="3" t="s">
        <v>211</v>
      </c>
      <c r="B1406" s="3">
        <v>1030</v>
      </c>
      <c r="C1406" s="3">
        <v>206</v>
      </c>
      <c r="D1406" s="3">
        <v>8</v>
      </c>
      <c r="E1406" s="3" t="s">
        <v>889</v>
      </c>
      <c r="F1406" s="3" t="s">
        <v>896</v>
      </c>
      <c r="G1406" s="3" t="s">
        <v>902</v>
      </c>
    </row>
    <row r="1407" spans="1:7" x14ac:dyDescent="0.25">
      <c r="A1407" s="3" t="s">
        <v>214</v>
      </c>
      <c r="B1407" s="3">
        <v>620</v>
      </c>
      <c r="C1407" s="3">
        <v>82</v>
      </c>
      <c r="D1407" s="3">
        <v>6</v>
      </c>
      <c r="E1407" s="3" t="s">
        <v>889</v>
      </c>
      <c r="F1407" s="3" t="s">
        <v>909</v>
      </c>
      <c r="G1407" s="3" t="s">
        <v>891</v>
      </c>
    </row>
    <row r="1408" spans="1:7" x14ac:dyDescent="0.25">
      <c r="A1408" s="3" t="s">
        <v>322</v>
      </c>
      <c r="B1408" s="3">
        <v>16</v>
      </c>
      <c r="C1408" s="3">
        <v>8</v>
      </c>
      <c r="D1408" s="3">
        <v>2</v>
      </c>
      <c r="E1408" s="3" t="s">
        <v>899</v>
      </c>
      <c r="F1408" s="3" t="s">
        <v>903</v>
      </c>
      <c r="G1408" s="3" t="s">
        <v>891</v>
      </c>
    </row>
    <row r="1409" spans="1:7" x14ac:dyDescent="0.25">
      <c r="A1409" s="3" t="s">
        <v>315</v>
      </c>
      <c r="B1409" s="3">
        <v>19</v>
      </c>
      <c r="C1409" s="3">
        <v>8</v>
      </c>
      <c r="D1409" s="3">
        <v>2</v>
      </c>
      <c r="E1409" s="3" t="s">
        <v>899</v>
      </c>
      <c r="F1409" s="3" t="s">
        <v>903</v>
      </c>
      <c r="G1409" s="3" t="s">
        <v>897</v>
      </c>
    </row>
    <row r="1410" spans="1:7" x14ac:dyDescent="0.25">
      <c r="A1410" s="3" t="s">
        <v>302</v>
      </c>
      <c r="B1410" s="3">
        <v>249</v>
      </c>
      <c r="C1410" s="3">
        <v>-130</v>
      </c>
      <c r="D1410" s="3">
        <v>4</v>
      </c>
      <c r="E1410" s="3" t="s">
        <v>889</v>
      </c>
      <c r="F1410" s="3" t="s">
        <v>898</v>
      </c>
      <c r="G1410" s="3" t="s">
        <v>902</v>
      </c>
    </row>
    <row r="1411" spans="1:7" x14ac:dyDescent="0.25">
      <c r="A1411" s="3" t="s">
        <v>698</v>
      </c>
      <c r="B1411" s="3">
        <v>16</v>
      </c>
      <c r="C1411" s="3">
        <v>6</v>
      </c>
      <c r="D1411" s="3">
        <v>1</v>
      </c>
      <c r="E1411" s="3" t="s">
        <v>899</v>
      </c>
      <c r="F1411" s="3" t="s">
        <v>907</v>
      </c>
      <c r="G1411" s="3" t="s">
        <v>891</v>
      </c>
    </row>
    <row r="1412" spans="1:7" x14ac:dyDescent="0.25">
      <c r="A1412" s="3" t="s">
        <v>132</v>
      </c>
      <c r="B1412" s="3">
        <v>1361</v>
      </c>
      <c r="C1412" s="3">
        <v>197</v>
      </c>
      <c r="D1412" s="3">
        <v>9</v>
      </c>
      <c r="E1412" s="3" t="s">
        <v>892</v>
      </c>
      <c r="F1412" s="3" t="s">
        <v>895</v>
      </c>
      <c r="G1412" s="3" t="s">
        <v>891</v>
      </c>
    </row>
    <row r="1413" spans="1:7" x14ac:dyDescent="0.25">
      <c r="A1413" s="3" t="s">
        <v>269</v>
      </c>
      <c r="B1413" s="3">
        <v>15</v>
      </c>
      <c r="C1413" s="3">
        <v>1</v>
      </c>
      <c r="D1413" s="3">
        <v>1</v>
      </c>
      <c r="E1413" s="3" t="s">
        <v>899</v>
      </c>
      <c r="F1413" s="3" t="s">
        <v>913</v>
      </c>
      <c r="G1413" s="3" t="s">
        <v>891</v>
      </c>
    </row>
    <row r="1414" spans="1:7" x14ac:dyDescent="0.25">
      <c r="A1414" s="3" t="s">
        <v>199</v>
      </c>
      <c r="B1414" s="3">
        <v>1076</v>
      </c>
      <c r="C1414" s="3">
        <v>-38</v>
      </c>
      <c r="D1414" s="3">
        <v>4</v>
      </c>
      <c r="E1414" s="3" t="s">
        <v>889</v>
      </c>
      <c r="F1414" s="3" t="s">
        <v>896</v>
      </c>
      <c r="G1414" s="3" t="s">
        <v>891</v>
      </c>
    </row>
    <row r="1415" spans="1:7" x14ac:dyDescent="0.25">
      <c r="A1415" s="3" t="s">
        <v>323</v>
      </c>
      <c r="B1415" s="3">
        <v>18</v>
      </c>
      <c r="C1415" s="3">
        <v>2</v>
      </c>
      <c r="D1415" s="3">
        <v>3</v>
      </c>
      <c r="E1415" s="3" t="s">
        <v>899</v>
      </c>
      <c r="F1415" s="3" t="s">
        <v>903</v>
      </c>
      <c r="G1415" s="3" t="s">
        <v>897</v>
      </c>
    </row>
    <row r="1416" spans="1:7" x14ac:dyDescent="0.25">
      <c r="A1416" s="3" t="s">
        <v>197</v>
      </c>
      <c r="B1416" s="3">
        <v>1101</v>
      </c>
      <c r="C1416" s="3">
        <v>352</v>
      </c>
      <c r="D1416" s="3">
        <v>3</v>
      </c>
      <c r="E1416" s="3" t="s">
        <v>892</v>
      </c>
      <c r="F1416" s="3" t="s">
        <v>895</v>
      </c>
      <c r="G1416" s="3" t="s">
        <v>902</v>
      </c>
    </row>
    <row r="1417" spans="1:7" x14ac:dyDescent="0.25">
      <c r="A1417" s="3" t="s">
        <v>371</v>
      </c>
      <c r="B1417" s="3">
        <v>15</v>
      </c>
      <c r="C1417" s="3">
        <v>2</v>
      </c>
      <c r="D1417" s="3">
        <v>1</v>
      </c>
      <c r="E1417" s="3" t="s">
        <v>899</v>
      </c>
      <c r="F1417" s="3" t="s">
        <v>908</v>
      </c>
      <c r="G1417" s="3" t="s">
        <v>891</v>
      </c>
    </row>
    <row r="1418" spans="1:7" x14ac:dyDescent="0.25">
      <c r="A1418" s="3" t="s">
        <v>122</v>
      </c>
      <c r="B1418" s="3">
        <v>1104</v>
      </c>
      <c r="C1418" s="3">
        <v>209</v>
      </c>
      <c r="D1418" s="3">
        <v>4</v>
      </c>
      <c r="E1418" s="3" t="s">
        <v>899</v>
      </c>
      <c r="F1418" s="3" t="s">
        <v>900</v>
      </c>
      <c r="G1418" s="3" t="s">
        <v>902</v>
      </c>
    </row>
    <row r="1419" spans="1:7" x14ac:dyDescent="0.25">
      <c r="A1419" s="3" t="s">
        <v>320</v>
      </c>
      <c r="B1419" s="3">
        <v>14</v>
      </c>
      <c r="C1419" s="3">
        <v>2</v>
      </c>
      <c r="D1419" s="3">
        <v>1</v>
      </c>
      <c r="E1419" s="3" t="s">
        <v>899</v>
      </c>
      <c r="F1419" s="3" t="s">
        <v>903</v>
      </c>
      <c r="G1419" s="3" t="s">
        <v>891</v>
      </c>
    </row>
    <row r="1420" spans="1:7" x14ac:dyDescent="0.25">
      <c r="A1420" s="3" t="s">
        <v>18</v>
      </c>
      <c r="B1420" s="3">
        <v>14</v>
      </c>
      <c r="C1420" s="3">
        <v>5</v>
      </c>
      <c r="D1420" s="3">
        <v>1</v>
      </c>
      <c r="E1420" s="3" t="s">
        <v>899</v>
      </c>
      <c r="F1420" s="3" t="s">
        <v>903</v>
      </c>
      <c r="G1420" s="3" t="s">
        <v>891</v>
      </c>
    </row>
    <row r="1421" spans="1:7" x14ac:dyDescent="0.25">
      <c r="A1421" s="3" t="s">
        <v>375</v>
      </c>
      <c r="B1421" s="3">
        <v>14</v>
      </c>
      <c r="C1421" s="3">
        <v>-3</v>
      </c>
      <c r="D1421" s="3">
        <v>2</v>
      </c>
      <c r="E1421" s="3" t="s">
        <v>899</v>
      </c>
      <c r="F1421" s="3" t="s">
        <v>908</v>
      </c>
      <c r="G1421" s="3" t="s">
        <v>891</v>
      </c>
    </row>
    <row r="1422" spans="1:7" x14ac:dyDescent="0.25">
      <c r="A1422" s="3" t="s">
        <v>444</v>
      </c>
      <c r="B1422" s="3">
        <v>14</v>
      </c>
      <c r="C1422" s="3">
        <v>-1</v>
      </c>
      <c r="D1422" s="3">
        <v>4</v>
      </c>
      <c r="E1422" s="3" t="s">
        <v>899</v>
      </c>
      <c r="F1422" s="3" t="s">
        <v>904</v>
      </c>
      <c r="G1422" s="3" t="s">
        <v>891</v>
      </c>
    </row>
    <row r="1423" spans="1:7" x14ac:dyDescent="0.25">
      <c r="A1423" s="3" t="s">
        <v>343</v>
      </c>
      <c r="B1423" s="3">
        <v>13</v>
      </c>
      <c r="C1423" s="3">
        <v>-8</v>
      </c>
      <c r="D1423" s="3">
        <v>1</v>
      </c>
      <c r="E1423" s="3" t="s">
        <v>899</v>
      </c>
      <c r="F1423" s="3" t="s">
        <v>910</v>
      </c>
      <c r="G1423" s="3" t="s">
        <v>891</v>
      </c>
    </row>
    <row r="1424" spans="1:7" x14ac:dyDescent="0.25">
      <c r="A1424" s="3" t="s">
        <v>126</v>
      </c>
      <c r="B1424" s="3">
        <v>13</v>
      </c>
      <c r="C1424" s="3">
        <v>-1</v>
      </c>
      <c r="D1424" s="3">
        <v>3</v>
      </c>
      <c r="E1424" s="3" t="s">
        <v>899</v>
      </c>
      <c r="F1424" s="3" t="s">
        <v>903</v>
      </c>
      <c r="G1424" s="3" t="s">
        <v>891</v>
      </c>
    </row>
    <row r="1425" spans="1:7" x14ac:dyDescent="0.25">
      <c r="A1425" s="3" t="s">
        <v>160</v>
      </c>
      <c r="B1425" s="3">
        <v>1275</v>
      </c>
      <c r="C1425" s="3">
        <v>1148</v>
      </c>
      <c r="D1425" s="3">
        <v>7</v>
      </c>
      <c r="E1425" s="3" t="s">
        <v>892</v>
      </c>
      <c r="F1425" s="3" t="s">
        <v>895</v>
      </c>
      <c r="G1425" s="3" t="s">
        <v>894</v>
      </c>
    </row>
    <row r="1426" spans="1:7" x14ac:dyDescent="0.25">
      <c r="A1426" s="3" t="s">
        <v>352</v>
      </c>
      <c r="B1426" s="3">
        <v>17</v>
      </c>
      <c r="C1426" s="3">
        <v>1</v>
      </c>
      <c r="D1426" s="3">
        <v>2</v>
      </c>
      <c r="E1426" s="3" t="s">
        <v>899</v>
      </c>
      <c r="F1426" s="3" t="s">
        <v>905</v>
      </c>
      <c r="G1426" s="3" t="s">
        <v>897</v>
      </c>
    </row>
    <row r="1427" spans="1:7" x14ac:dyDescent="0.25">
      <c r="A1427" s="3" t="s">
        <v>627</v>
      </c>
      <c r="B1427" s="3">
        <v>13</v>
      </c>
      <c r="C1427" s="3">
        <v>0</v>
      </c>
      <c r="D1427" s="3">
        <v>2</v>
      </c>
      <c r="E1427" s="3" t="s">
        <v>899</v>
      </c>
      <c r="F1427" s="3" t="s">
        <v>903</v>
      </c>
      <c r="G1427" s="3" t="s">
        <v>891</v>
      </c>
    </row>
    <row r="1428" spans="1:7" x14ac:dyDescent="0.25">
      <c r="A1428" s="3" t="s">
        <v>166</v>
      </c>
      <c r="B1428" s="3">
        <v>1270</v>
      </c>
      <c r="C1428" s="3">
        <v>546</v>
      </c>
      <c r="D1428" s="3">
        <v>11</v>
      </c>
      <c r="E1428" s="3" t="s">
        <v>889</v>
      </c>
      <c r="F1428" s="3" t="s">
        <v>890</v>
      </c>
      <c r="G1428" s="3" t="s">
        <v>894</v>
      </c>
    </row>
    <row r="1429" spans="1:7" x14ac:dyDescent="0.25">
      <c r="A1429" s="3" t="s">
        <v>802</v>
      </c>
      <c r="B1429" s="3">
        <v>13</v>
      </c>
      <c r="C1429" s="3">
        <v>-2</v>
      </c>
      <c r="D1429" s="3">
        <v>1</v>
      </c>
      <c r="E1429" s="3" t="s">
        <v>899</v>
      </c>
      <c r="F1429" s="3" t="s">
        <v>907</v>
      </c>
      <c r="G1429" s="3" t="s">
        <v>891</v>
      </c>
    </row>
    <row r="1430" spans="1:7" x14ac:dyDescent="0.25">
      <c r="A1430" s="3" t="s">
        <v>873</v>
      </c>
      <c r="B1430" s="3">
        <v>13</v>
      </c>
      <c r="C1430" s="3">
        <v>3</v>
      </c>
      <c r="D1430" s="3">
        <v>1</v>
      </c>
      <c r="E1430" s="3" t="s">
        <v>899</v>
      </c>
      <c r="F1430" s="3" t="s">
        <v>908</v>
      </c>
      <c r="G1430" s="3" t="s">
        <v>891</v>
      </c>
    </row>
    <row r="1431" spans="1:7" x14ac:dyDescent="0.25">
      <c r="A1431" s="3" t="s">
        <v>712</v>
      </c>
      <c r="B1431" s="3">
        <v>17</v>
      </c>
      <c r="C1431" s="3">
        <v>5</v>
      </c>
      <c r="D1431" s="3">
        <v>1</v>
      </c>
      <c r="E1431" s="3" t="s">
        <v>899</v>
      </c>
      <c r="F1431" s="3" t="s">
        <v>903</v>
      </c>
      <c r="G1431" s="3" t="s">
        <v>902</v>
      </c>
    </row>
    <row r="1432" spans="1:7" x14ac:dyDescent="0.25">
      <c r="A1432" s="3" t="s">
        <v>337</v>
      </c>
      <c r="B1432" s="3">
        <v>13</v>
      </c>
      <c r="C1432" s="3">
        <v>-13</v>
      </c>
      <c r="D1432" s="3">
        <v>2</v>
      </c>
      <c r="E1432" s="3" t="s">
        <v>899</v>
      </c>
      <c r="F1432" s="3" t="s">
        <v>905</v>
      </c>
      <c r="G1432" s="3" t="s">
        <v>891</v>
      </c>
    </row>
    <row r="1433" spans="1:7" x14ac:dyDescent="0.25">
      <c r="A1433" s="3" t="s">
        <v>335</v>
      </c>
      <c r="B1433" s="3">
        <v>13</v>
      </c>
      <c r="C1433" s="3">
        <v>-9</v>
      </c>
      <c r="D1433" s="3">
        <v>2</v>
      </c>
      <c r="E1433" s="3" t="s">
        <v>899</v>
      </c>
      <c r="F1433" s="3" t="s">
        <v>905</v>
      </c>
      <c r="G1433" s="3" t="s">
        <v>891</v>
      </c>
    </row>
    <row r="1434" spans="1:7" x14ac:dyDescent="0.25">
      <c r="A1434" s="3" t="s">
        <v>168</v>
      </c>
      <c r="B1434" s="3">
        <v>1263</v>
      </c>
      <c r="C1434" s="3">
        <v>-56</v>
      </c>
      <c r="D1434" s="3">
        <v>5</v>
      </c>
      <c r="E1434" s="3" t="s">
        <v>899</v>
      </c>
      <c r="F1434" s="3" t="s">
        <v>900</v>
      </c>
      <c r="G1434" s="3" t="s">
        <v>894</v>
      </c>
    </row>
    <row r="1435" spans="1:7" x14ac:dyDescent="0.25">
      <c r="A1435" s="3" t="s">
        <v>85</v>
      </c>
      <c r="B1435" s="3">
        <v>1629</v>
      </c>
      <c r="C1435" s="3">
        <v>-153</v>
      </c>
      <c r="D1435" s="3">
        <v>3</v>
      </c>
      <c r="E1435" s="3" t="s">
        <v>889</v>
      </c>
      <c r="F1435" s="3" t="s">
        <v>898</v>
      </c>
      <c r="G1435" s="3" t="s">
        <v>891</v>
      </c>
    </row>
    <row r="1436" spans="1:7" x14ac:dyDescent="0.25">
      <c r="A1436" s="3" t="s">
        <v>18</v>
      </c>
      <c r="B1436" s="3">
        <v>17</v>
      </c>
      <c r="C1436" s="3">
        <v>7</v>
      </c>
      <c r="D1436" s="3">
        <v>3</v>
      </c>
      <c r="E1436" s="3" t="s">
        <v>899</v>
      </c>
      <c r="F1436" s="3" t="s">
        <v>903</v>
      </c>
      <c r="G1436" s="3" t="s">
        <v>902</v>
      </c>
    </row>
    <row r="1437" spans="1:7" x14ac:dyDescent="0.25">
      <c r="A1437" s="3" t="s">
        <v>70</v>
      </c>
      <c r="B1437" s="3">
        <v>17</v>
      </c>
      <c r="C1437" s="3">
        <v>2</v>
      </c>
      <c r="D1437" s="3">
        <v>2</v>
      </c>
      <c r="E1437" s="3" t="s">
        <v>899</v>
      </c>
      <c r="F1437" s="3" t="s">
        <v>905</v>
      </c>
      <c r="G1437" s="3" t="s">
        <v>902</v>
      </c>
    </row>
    <row r="1438" spans="1:7" x14ac:dyDescent="0.25">
      <c r="A1438" s="3" t="s">
        <v>5</v>
      </c>
      <c r="B1438" s="3">
        <v>1250</v>
      </c>
      <c r="C1438" s="3">
        <v>-12</v>
      </c>
      <c r="D1438" s="3">
        <v>2</v>
      </c>
      <c r="E1438" s="3" t="s">
        <v>889</v>
      </c>
      <c r="F1438" s="3" t="s">
        <v>896</v>
      </c>
      <c r="G1438" s="3" t="s">
        <v>894</v>
      </c>
    </row>
    <row r="1439" spans="1:7" x14ac:dyDescent="0.25">
      <c r="A1439" s="3" t="s">
        <v>63</v>
      </c>
      <c r="B1439" s="3">
        <v>17</v>
      </c>
      <c r="C1439" s="3">
        <v>-11</v>
      </c>
      <c r="D1439" s="3">
        <v>3</v>
      </c>
      <c r="E1439" s="3" t="s">
        <v>899</v>
      </c>
      <c r="F1439" s="3" t="s">
        <v>905</v>
      </c>
      <c r="G1439" s="3" t="s">
        <v>902</v>
      </c>
    </row>
    <row r="1440" spans="1:7" x14ac:dyDescent="0.25">
      <c r="A1440" s="3" t="s">
        <v>98</v>
      </c>
      <c r="B1440" s="3">
        <v>977</v>
      </c>
      <c r="C1440" s="3">
        <v>-244</v>
      </c>
      <c r="D1440" s="3">
        <v>7</v>
      </c>
      <c r="E1440" s="3" t="s">
        <v>889</v>
      </c>
      <c r="F1440" s="3" t="s">
        <v>898</v>
      </c>
      <c r="G1440" s="3" t="s">
        <v>891</v>
      </c>
    </row>
    <row r="1441" spans="1:7" x14ac:dyDescent="0.25">
      <c r="A1441" s="3" t="s">
        <v>173</v>
      </c>
      <c r="B1441" s="3">
        <v>1246</v>
      </c>
      <c r="C1441" s="3">
        <v>62</v>
      </c>
      <c r="D1441" s="3">
        <v>3</v>
      </c>
      <c r="E1441" s="3" t="s">
        <v>892</v>
      </c>
      <c r="F1441" s="3" t="s">
        <v>895</v>
      </c>
      <c r="G1441" s="3" t="s">
        <v>894</v>
      </c>
    </row>
    <row r="1442" spans="1:7" x14ac:dyDescent="0.25">
      <c r="A1442" s="3" t="s">
        <v>358</v>
      </c>
      <c r="B1442" s="3">
        <v>12</v>
      </c>
      <c r="C1442" s="3">
        <v>1</v>
      </c>
      <c r="D1442" s="3">
        <v>2</v>
      </c>
      <c r="E1442" s="3" t="s">
        <v>899</v>
      </c>
      <c r="F1442" s="3" t="s">
        <v>903</v>
      </c>
      <c r="G1442" s="3" t="s">
        <v>891</v>
      </c>
    </row>
    <row r="1443" spans="1:7" x14ac:dyDescent="0.25">
      <c r="A1443" s="3" t="s">
        <v>260</v>
      </c>
      <c r="B1443" s="3">
        <v>11</v>
      </c>
      <c r="C1443" s="3">
        <v>-4</v>
      </c>
      <c r="D1443" s="3">
        <v>2</v>
      </c>
      <c r="E1443" s="3" t="s">
        <v>899</v>
      </c>
      <c r="F1443" s="3" t="s">
        <v>905</v>
      </c>
      <c r="G1443" s="3" t="s">
        <v>891</v>
      </c>
    </row>
    <row r="1444" spans="1:7" x14ac:dyDescent="0.25">
      <c r="A1444" s="3" t="s">
        <v>142</v>
      </c>
      <c r="B1444" s="3">
        <v>1327</v>
      </c>
      <c r="C1444" s="3">
        <v>318</v>
      </c>
      <c r="D1444" s="3">
        <v>8</v>
      </c>
      <c r="E1444" s="3" t="s">
        <v>892</v>
      </c>
      <c r="F1444" s="3" t="s">
        <v>893</v>
      </c>
      <c r="G1444" s="3" t="s">
        <v>894</v>
      </c>
    </row>
    <row r="1445" spans="1:7" x14ac:dyDescent="0.25">
      <c r="A1445" s="3" t="s">
        <v>144</v>
      </c>
      <c r="B1445" s="3">
        <v>1319</v>
      </c>
      <c r="C1445" s="3">
        <v>567</v>
      </c>
      <c r="D1445" s="3">
        <v>5</v>
      </c>
      <c r="E1445" s="3" t="s">
        <v>889</v>
      </c>
      <c r="F1445" s="3" t="s">
        <v>896</v>
      </c>
      <c r="G1445" s="3" t="s">
        <v>891</v>
      </c>
    </row>
    <row r="1446" spans="1:7" x14ac:dyDescent="0.25">
      <c r="A1446" s="3" t="s">
        <v>124</v>
      </c>
      <c r="B1446" s="3">
        <v>1402</v>
      </c>
      <c r="C1446" s="3">
        <v>109</v>
      </c>
      <c r="D1446" s="3">
        <v>11</v>
      </c>
      <c r="E1446" s="3" t="s">
        <v>899</v>
      </c>
      <c r="F1446" s="3" t="s">
        <v>901</v>
      </c>
      <c r="G1446" s="3" t="s">
        <v>894</v>
      </c>
    </row>
    <row r="1447" spans="1:7" x14ac:dyDescent="0.25">
      <c r="A1447" s="3" t="s">
        <v>114</v>
      </c>
      <c r="B1447" s="3">
        <v>1514</v>
      </c>
      <c r="C1447" s="3">
        <v>742</v>
      </c>
      <c r="D1447" s="3">
        <v>4</v>
      </c>
      <c r="E1447" s="3" t="s">
        <v>889</v>
      </c>
      <c r="F1447" s="3" t="s">
        <v>896</v>
      </c>
      <c r="G1447" s="3" t="s">
        <v>894</v>
      </c>
    </row>
    <row r="1448" spans="1:7" x14ac:dyDescent="0.25">
      <c r="A1448" s="3" t="s">
        <v>46</v>
      </c>
      <c r="B1448" s="3">
        <v>1351</v>
      </c>
      <c r="C1448" s="3">
        <v>111</v>
      </c>
      <c r="D1448" s="3">
        <v>6</v>
      </c>
      <c r="E1448" s="3" t="s">
        <v>889</v>
      </c>
      <c r="F1448" s="3" t="s">
        <v>890</v>
      </c>
      <c r="G1448" s="3" t="s">
        <v>891</v>
      </c>
    </row>
    <row r="1449" spans="1:7" x14ac:dyDescent="0.25">
      <c r="A1449" s="3" t="s">
        <v>136</v>
      </c>
      <c r="B1449" s="3">
        <v>1355</v>
      </c>
      <c r="C1449" s="3">
        <v>-60</v>
      </c>
      <c r="D1449" s="3">
        <v>5</v>
      </c>
      <c r="E1449" s="3" t="s">
        <v>899</v>
      </c>
      <c r="F1449" s="3" t="s">
        <v>900</v>
      </c>
      <c r="G1449" s="3" t="s">
        <v>891</v>
      </c>
    </row>
    <row r="1450" spans="1:7" x14ac:dyDescent="0.25">
      <c r="A1450" s="3" t="s">
        <v>472</v>
      </c>
      <c r="B1450" s="3">
        <v>10</v>
      </c>
      <c r="C1450" s="3">
        <v>2</v>
      </c>
      <c r="D1450" s="3">
        <v>2</v>
      </c>
      <c r="E1450" s="3" t="s">
        <v>899</v>
      </c>
      <c r="F1450" s="3" t="s">
        <v>903</v>
      </c>
      <c r="G1450" s="3" t="s">
        <v>891</v>
      </c>
    </row>
    <row r="1451" spans="1:7" x14ac:dyDescent="0.25">
      <c r="A1451" s="3" t="s">
        <v>635</v>
      </c>
      <c r="B1451" s="3">
        <v>10</v>
      </c>
      <c r="C1451" s="3">
        <v>-2</v>
      </c>
      <c r="D1451" s="3">
        <v>2</v>
      </c>
      <c r="E1451" s="3" t="s">
        <v>899</v>
      </c>
      <c r="F1451" s="3" t="s">
        <v>908</v>
      </c>
      <c r="G1451" s="3" t="s">
        <v>891</v>
      </c>
    </row>
    <row r="1452" spans="1:7" x14ac:dyDescent="0.25">
      <c r="A1452" s="3" t="s">
        <v>102</v>
      </c>
      <c r="B1452" s="3">
        <v>1582</v>
      </c>
      <c r="C1452" s="3">
        <v>-443</v>
      </c>
      <c r="D1452" s="3">
        <v>6</v>
      </c>
      <c r="E1452" s="3" t="s">
        <v>899</v>
      </c>
      <c r="F1452" s="3" t="s">
        <v>900</v>
      </c>
      <c r="G1452" s="3" t="s">
        <v>894</v>
      </c>
    </row>
    <row r="1453" spans="1:7" x14ac:dyDescent="0.25">
      <c r="A1453" s="3" t="s">
        <v>177</v>
      </c>
      <c r="B1453" s="3">
        <v>1218</v>
      </c>
      <c r="C1453" s="3">
        <v>352</v>
      </c>
      <c r="D1453" s="3">
        <v>9</v>
      </c>
      <c r="E1453" s="3" t="s">
        <v>892</v>
      </c>
      <c r="F1453" s="3" t="s">
        <v>895</v>
      </c>
      <c r="G1453" s="3" t="s">
        <v>894</v>
      </c>
    </row>
    <row r="1454" spans="1:7" x14ac:dyDescent="0.25">
      <c r="A1454" s="3" t="s">
        <v>73</v>
      </c>
      <c r="B1454" s="3">
        <v>321</v>
      </c>
      <c r="C1454" s="3">
        <v>315</v>
      </c>
      <c r="D1454" s="3">
        <v>5</v>
      </c>
      <c r="E1454" s="3" t="s">
        <v>899</v>
      </c>
      <c r="F1454" s="3" t="s">
        <v>901</v>
      </c>
      <c r="G1454" s="3" t="s">
        <v>902</v>
      </c>
    </row>
    <row r="1455" spans="1:7" x14ac:dyDescent="0.25">
      <c r="A1455" s="3" t="s">
        <v>292</v>
      </c>
      <c r="B1455" s="3">
        <v>736</v>
      </c>
      <c r="C1455" s="3">
        <v>346</v>
      </c>
      <c r="D1455" s="3">
        <v>5</v>
      </c>
      <c r="E1455" s="3" t="s">
        <v>889</v>
      </c>
      <c r="F1455" s="3" t="s">
        <v>896</v>
      </c>
      <c r="G1455" s="3" t="s">
        <v>891</v>
      </c>
    </row>
    <row r="1456" spans="1:7" x14ac:dyDescent="0.25">
      <c r="A1456" s="3" t="s">
        <v>5</v>
      </c>
      <c r="B1456" s="3">
        <v>1218</v>
      </c>
      <c r="C1456" s="3">
        <v>-420</v>
      </c>
      <c r="D1456" s="3">
        <v>8</v>
      </c>
      <c r="E1456" s="3" t="s">
        <v>892</v>
      </c>
      <c r="F1456" s="3" t="s">
        <v>895</v>
      </c>
      <c r="G1456" s="3" t="s">
        <v>891</v>
      </c>
    </row>
    <row r="1457" spans="1:7" x14ac:dyDescent="0.25">
      <c r="A1457" s="3" t="s">
        <v>144</v>
      </c>
      <c r="B1457" s="3">
        <v>1027</v>
      </c>
      <c r="C1457" s="3">
        <v>441</v>
      </c>
      <c r="D1457" s="3">
        <v>8</v>
      </c>
      <c r="E1457" s="3" t="s">
        <v>899</v>
      </c>
      <c r="F1457" s="3" t="s">
        <v>901</v>
      </c>
      <c r="G1457" s="3" t="s">
        <v>891</v>
      </c>
    </row>
    <row r="1458" spans="1:7" x14ac:dyDescent="0.25">
      <c r="A1458" s="3" t="s">
        <v>469</v>
      </c>
      <c r="B1458" s="3">
        <v>10</v>
      </c>
      <c r="C1458" s="3">
        <v>5</v>
      </c>
      <c r="D1458" s="3">
        <v>1</v>
      </c>
      <c r="E1458" s="3" t="s">
        <v>899</v>
      </c>
      <c r="F1458" s="3" t="s">
        <v>907</v>
      </c>
      <c r="G1458" s="3" t="s">
        <v>891</v>
      </c>
    </row>
    <row r="1459" spans="1:7" x14ac:dyDescent="0.25">
      <c r="A1459" s="3" t="s">
        <v>42</v>
      </c>
      <c r="B1459" s="3">
        <v>2366</v>
      </c>
      <c r="C1459" s="3">
        <v>552</v>
      </c>
      <c r="D1459" s="3">
        <v>5</v>
      </c>
      <c r="E1459" s="3" t="s">
        <v>899</v>
      </c>
      <c r="F1459" s="3" t="s">
        <v>900</v>
      </c>
      <c r="G1459" s="3" t="s">
        <v>902</v>
      </c>
    </row>
    <row r="1460" spans="1:7" x14ac:dyDescent="0.25">
      <c r="A1460" s="3" t="s">
        <v>555</v>
      </c>
      <c r="B1460" s="3">
        <v>9</v>
      </c>
      <c r="C1460" s="3">
        <v>-6</v>
      </c>
      <c r="D1460" s="3">
        <v>2</v>
      </c>
      <c r="E1460" s="3" t="s">
        <v>899</v>
      </c>
      <c r="F1460" s="3" t="s">
        <v>903</v>
      </c>
      <c r="G1460" s="3" t="s">
        <v>891</v>
      </c>
    </row>
    <row r="1461" spans="1:7" x14ac:dyDescent="0.25">
      <c r="A1461" s="3" t="s">
        <v>755</v>
      </c>
      <c r="B1461" s="3">
        <v>16</v>
      </c>
      <c r="C1461" s="3">
        <v>-12</v>
      </c>
      <c r="D1461" s="3">
        <v>2</v>
      </c>
      <c r="E1461" s="3" t="s">
        <v>899</v>
      </c>
      <c r="F1461" s="3" t="s">
        <v>907</v>
      </c>
      <c r="G1461" s="3" t="s">
        <v>902</v>
      </c>
    </row>
    <row r="1462" spans="1:7" x14ac:dyDescent="0.25">
      <c r="A1462" s="3" t="s">
        <v>42</v>
      </c>
      <c r="B1462" s="3">
        <v>9</v>
      </c>
      <c r="C1462" s="3">
        <v>3</v>
      </c>
      <c r="D1462" s="3">
        <v>1</v>
      </c>
      <c r="E1462" s="3" t="s">
        <v>899</v>
      </c>
      <c r="F1462" s="3" t="s">
        <v>905</v>
      </c>
      <c r="G1462" s="3" t="s">
        <v>891</v>
      </c>
    </row>
    <row r="1463" spans="1:7" x14ac:dyDescent="0.25">
      <c r="A1463" s="3" t="s">
        <v>106</v>
      </c>
      <c r="B1463" s="3">
        <v>1560</v>
      </c>
      <c r="C1463" s="3">
        <v>421</v>
      </c>
      <c r="D1463" s="3">
        <v>3</v>
      </c>
      <c r="E1463" s="3" t="s">
        <v>899</v>
      </c>
      <c r="F1463" s="3" t="s">
        <v>900</v>
      </c>
      <c r="G1463" s="3" t="s">
        <v>891</v>
      </c>
    </row>
    <row r="1464" spans="1:7" x14ac:dyDescent="0.25">
      <c r="A1464" s="3" t="s">
        <v>185</v>
      </c>
      <c r="B1464" s="3">
        <v>1137</v>
      </c>
      <c r="C1464" s="3">
        <v>568</v>
      </c>
      <c r="D1464" s="3">
        <v>2</v>
      </c>
      <c r="E1464" s="3" t="s">
        <v>899</v>
      </c>
      <c r="F1464" s="3" t="s">
        <v>900</v>
      </c>
      <c r="G1464" s="3" t="s">
        <v>894</v>
      </c>
    </row>
    <row r="1465" spans="1:7" x14ac:dyDescent="0.25">
      <c r="A1465" s="3" t="s">
        <v>499</v>
      </c>
      <c r="B1465" s="3">
        <v>9</v>
      </c>
      <c r="C1465" s="3">
        <v>-9</v>
      </c>
      <c r="D1465" s="3">
        <v>2</v>
      </c>
      <c r="E1465" s="3" t="s">
        <v>899</v>
      </c>
      <c r="F1465" s="3" t="s">
        <v>904</v>
      </c>
      <c r="G1465" s="3" t="s">
        <v>891</v>
      </c>
    </row>
    <row r="1466" spans="1:7" x14ac:dyDescent="0.25">
      <c r="A1466" s="3" t="s">
        <v>720</v>
      </c>
      <c r="B1466" s="3">
        <v>15</v>
      </c>
      <c r="C1466" s="3">
        <v>-7</v>
      </c>
      <c r="D1466" s="3">
        <v>1</v>
      </c>
      <c r="E1466" s="3" t="s">
        <v>899</v>
      </c>
      <c r="F1466" s="3" t="s">
        <v>903</v>
      </c>
      <c r="G1466" s="3" t="s">
        <v>902</v>
      </c>
    </row>
    <row r="1467" spans="1:7" x14ac:dyDescent="0.25">
      <c r="A1467" s="3" t="s">
        <v>315</v>
      </c>
      <c r="B1467" s="3">
        <v>14</v>
      </c>
      <c r="C1467" s="3">
        <v>5</v>
      </c>
      <c r="D1467" s="3">
        <v>1</v>
      </c>
      <c r="E1467" s="3" t="s">
        <v>899</v>
      </c>
      <c r="F1467" s="3" t="s">
        <v>903</v>
      </c>
      <c r="G1467" s="3" t="s">
        <v>902</v>
      </c>
    </row>
    <row r="1468" spans="1:7" x14ac:dyDescent="0.25">
      <c r="A1468" s="3" t="s">
        <v>353</v>
      </c>
      <c r="B1468" s="3">
        <v>14</v>
      </c>
      <c r="C1468" s="3">
        <v>7</v>
      </c>
      <c r="D1468" s="3">
        <v>2</v>
      </c>
      <c r="E1468" s="3" t="s">
        <v>899</v>
      </c>
      <c r="F1468" s="3" t="s">
        <v>903</v>
      </c>
      <c r="G1468" s="3" t="s">
        <v>902</v>
      </c>
    </row>
    <row r="1469" spans="1:7" x14ac:dyDescent="0.25">
      <c r="A1469" s="3" t="s">
        <v>132</v>
      </c>
      <c r="B1469" s="3">
        <v>8</v>
      </c>
      <c r="C1469" s="3">
        <v>-2</v>
      </c>
      <c r="D1469" s="3">
        <v>2</v>
      </c>
      <c r="E1469" s="3" t="s">
        <v>899</v>
      </c>
      <c r="F1469" s="3" t="s">
        <v>903</v>
      </c>
      <c r="G1469" s="3" t="s">
        <v>891</v>
      </c>
    </row>
    <row r="1470" spans="1:7" x14ac:dyDescent="0.25">
      <c r="A1470" s="3" t="s">
        <v>126</v>
      </c>
      <c r="B1470" s="3">
        <v>1389</v>
      </c>
      <c r="C1470" s="3">
        <v>680</v>
      </c>
      <c r="D1470" s="3">
        <v>7</v>
      </c>
      <c r="E1470" s="3" t="s">
        <v>899</v>
      </c>
      <c r="F1470" s="3" t="s">
        <v>901</v>
      </c>
      <c r="G1470" s="3" t="s">
        <v>891</v>
      </c>
    </row>
    <row r="1471" spans="1:7" x14ac:dyDescent="0.25">
      <c r="A1471" s="3" t="s">
        <v>543</v>
      </c>
      <c r="B1471" s="3">
        <v>8</v>
      </c>
      <c r="C1471" s="3">
        <v>-1</v>
      </c>
      <c r="D1471" s="3">
        <v>2</v>
      </c>
      <c r="E1471" s="3" t="s">
        <v>899</v>
      </c>
      <c r="F1471" s="3" t="s">
        <v>908</v>
      </c>
      <c r="G1471" s="3" t="s">
        <v>891</v>
      </c>
    </row>
    <row r="1472" spans="1:7" x14ac:dyDescent="0.25">
      <c r="A1472" s="3" t="s">
        <v>881</v>
      </c>
      <c r="B1472" s="3">
        <v>8</v>
      </c>
      <c r="C1472" s="3">
        <v>-2</v>
      </c>
      <c r="D1472" s="3">
        <v>1</v>
      </c>
      <c r="E1472" s="3" t="s">
        <v>899</v>
      </c>
      <c r="F1472" s="3" t="s">
        <v>907</v>
      </c>
      <c r="G1472" s="3" t="s">
        <v>891</v>
      </c>
    </row>
    <row r="1473" spans="1:7" x14ac:dyDescent="0.25">
      <c r="A1473" s="3" t="s">
        <v>93</v>
      </c>
      <c r="B1473" s="3">
        <v>13</v>
      </c>
      <c r="C1473" s="3">
        <v>4</v>
      </c>
      <c r="D1473" s="3">
        <v>1</v>
      </c>
      <c r="E1473" s="3" t="s">
        <v>899</v>
      </c>
      <c r="F1473" s="3" t="s">
        <v>908</v>
      </c>
      <c r="G1473" s="3" t="s">
        <v>902</v>
      </c>
    </row>
    <row r="1474" spans="1:7" x14ac:dyDescent="0.25">
      <c r="A1474" s="3" t="s">
        <v>880</v>
      </c>
      <c r="B1474" s="3">
        <v>8</v>
      </c>
      <c r="C1474" s="3">
        <v>-6</v>
      </c>
      <c r="D1474" s="3">
        <v>1</v>
      </c>
      <c r="E1474" s="3" t="s">
        <v>899</v>
      </c>
      <c r="F1474" s="3" t="s">
        <v>907</v>
      </c>
      <c r="G1474" s="3" t="s">
        <v>891</v>
      </c>
    </row>
    <row r="1475" spans="1:7" x14ac:dyDescent="0.25">
      <c r="A1475" s="3" t="s">
        <v>89</v>
      </c>
      <c r="B1475" s="3">
        <v>12</v>
      </c>
      <c r="C1475" s="3">
        <v>2</v>
      </c>
      <c r="D1475" s="3">
        <v>2</v>
      </c>
      <c r="E1475" s="3" t="s">
        <v>899</v>
      </c>
      <c r="F1475" s="3" t="s">
        <v>905</v>
      </c>
      <c r="G1475" s="3" t="s">
        <v>897</v>
      </c>
    </row>
    <row r="1476" spans="1:7" x14ac:dyDescent="0.25">
      <c r="A1476" s="3" t="s">
        <v>25</v>
      </c>
      <c r="B1476" s="3">
        <v>1716</v>
      </c>
      <c r="C1476" s="3">
        <v>309</v>
      </c>
      <c r="D1476" s="3">
        <v>7</v>
      </c>
      <c r="E1476" s="3" t="s">
        <v>889</v>
      </c>
      <c r="F1476" s="3" t="s">
        <v>909</v>
      </c>
      <c r="G1476" s="3" t="s">
        <v>891</v>
      </c>
    </row>
    <row r="1477" spans="1:7" x14ac:dyDescent="0.25">
      <c r="A1477" s="3" t="s">
        <v>194</v>
      </c>
      <c r="B1477" s="3">
        <v>1117</v>
      </c>
      <c r="C1477" s="3">
        <v>447</v>
      </c>
      <c r="D1477" s="3">
        <v>10</v>
      </c>
      <c r="E1477" s="3" t="s">
        <v>892</v>
      </c>
      <c r="F1477" s="3" t="s">
        <v>895</v>
      </c>
      <c r="G1477" s="3" t="s">
        <v>894</v>
      </c>
    </row>
    <row r="1478" spans="1:7" x14ac:dyDescent="0.25">
      <c r="A1478" s="3" t="s">
        <v>436</v>
      </c>
      <c r="B1478" s="3">
        <v>9</v>
      </c>
      <c r="C1478" s="3">
        <v>-6</v>
      </c>
      <c r="D1478" s="3">
        <v>2</v>
      </c>
      <c r="E1478" s="3" t="s">
        <v>899</v>
      </c>
      <c r="F1478" s="3" t="s">
        <v>905</v>
      </c>
      <c r="G1478" s="3" t="s">
        <v>897</v>
      </c>
    </row>
    <row r="1479" spans="1:7" x14ac:dyDescent="0.25">
      <c r="A1479" s="3" t="s">
        <v>64</v>
      </c>
      <c r="B1479" s="3">
        <v>332</v>
      </c>
      <c r="C1479" s="3">
        <v>503</v>
      </c>
      <c r="D1479" s="3">
        <v>3</v>
      </c>
      <c r="E1479" s="3" t="s">
        <v>889</v>
      </c>
      <c r="F1479" s="3" t="s">
        <v>896</v>
      </c>
      <c r="G1479" s="3" t="s">
        <v>891</v>
      </c>
    </row>
    <row r="1480" spans="1:7" x14ac:dyDescent="0.25">
      <c r="A1480" s="3" t="s">
        <v>436</v>
      </c>
      <c r="B1480" s="3">
        <v>7</v>
      </c>
      <c r="C1480" s="3">
        <v>-4</v>
      </c>
      <c r="D1480" s="3">
        <v>3</v>
      </c>
      <c r="E1480" s="3" t="s">
        <v>899</v>
      </c>
      <c r="F1480" s="3" t="s">
        <v>903</v>
      </c>
      <c r="G1480" s="3" t="s">
        <v>891</v>
      </c>
    </row>
    <row r="1481" spans="1:7" x14ac:dyDescent="0.25">
      <c r="A1481" s="3" t="s">
        <v>160</v>
      </c>
      <c r="B1481" s="3">
        <v>8</v>
      </c>
      <c r="C1481" s="3">
        <v>-2</v>
      </c>
      <c r="D1481" s="3">
        <v>3</v>
      </c>
      <c r="E1481" s="3" t="s">
        <v>899</v>
      </c>
      <c r="F1481" s="3" t="s">
        <v>903</v>
      </c>
      <c r="G1481" s="3" t="s">
        <v>897</v>
      </c>
    </row>
    <row r="1482" spans="1:7" x14ac:dyDescent="0.25">
      <c r="A1482" s="3" t="s">
        <v>55</v>
      </c>
      <c r="B1482" s="3">
        <v>2061</v>
      </c>
      <c r="C1482" s="3">
        <v>701</v>
      </c>
      <c r="D1482" s="3">
        <v>5</v>
      </c>
      <c r="E1482" s="3" t="s">
        <v>892</v>
      </c>
      <c r="F1482" s="3" t="s">
        <v>895</v>
      </c>
      <c r="G1482" s="3" t="s">
        <v>902</v>
      </c>
    </row>
    <row r="1483" spans="1:7" x14ac:dyDescent="0.25">
      <c r="A1483" s="3" t="s">
        <v>196</v>
      </c>
      <c r="B1483" s="3">
        <v>1103</v>
      </c>
      <c r="C1483" s="3">
        <v>276</v>
      </c>
      <c r="D1483" s="3">
        <v>3</v>
      </c>
      <c r="E1483" s="3" t="s">
        <v>892</v>
      </c>
      <c r="F1483" s="3" t="s">
        <v>893</v>
      </c>
      <c r="G1483" s="3" t="s">
        <v>894</v>
      </c>
    </row>
    <row r="1484" spans="1:7" x14ac:dyDescent="0.25">
      <c r="A1484" s="3" t="s">
        <v>50</v>
      </c>
      <c r="B1484" s="3">
        <v>2103</v>
      </c>
      <c r="C1484" s="3">
        <v>322</v>
      </c>
      <c r="D1484" s="3">
        <v>8</v>
      </c>
      <c r="E1484" s="3" t="s">
        <v>889</v>
      </c>
      <c r="F1484" s="3" t="s">
        <v>890</v>
      </c>
      <c r="G1484" s="3" t="s">
        <v>902</v>
      </c>
    </row>
    <row r="1485" spans="1:7" x14ac:dyDescent="0.25">
      <c r="A1485" s="3" t="s">
        <v>46</v>
      </c>
      <c r="B1485" s="3">
        <v>2115</v>
      </c>
      <c r="C1485" s="3">
        <v>23</v>
      </c>
      <c r="D1485" s="3">
        <v>5</v>
      </c>
      <c r="E1485" s="3" t="s">
        <v>892</v>
      </c>
      <c r="F1485" s="3" t="s">
        <v>893</v>
      </c>
      <c r="G1485" s="3" t="s">
        <v>891</v>
      </c>
    </row>
    <row r="1486" spans="1:7" x14ac:dyDescent="0.25">
      <c r="A1486" s="3" t="s">
        <v>91</v>
      </c>
      <c r="B1486" s="3">
        <v>850</v>
      </c>
      <c r="C1486" s="3">
        <v>-289</v>
      </c>
      <c r="D1486" s="3">
        <v>5</v>
      </c>
      <c r="E1486" s="3" t="s">
        <v>889</v>
      </c>
      <c r="F1486" s="3" t="s">
        <v>890</v>
      </c>
      <c r="G1486" s="3" t="s">
        <v>891</v>
      </c>
    </row>
    <row r="1487" spans="1:7" x14ac:dyDescent="0.25">
      <c r="A1487" s="3" t="s">
        <v>59</v>
      </c>
      <c r="B1487" s="3">
        <v>1063</v>
      </c>
      <c r="C1487" s="3">
        <v>64</v>
      </c>
      <c r="D1487" s="3">
        <v>7</v>
      </c>
      <c r="E1487" s="3" t="s">
        <v>889</v>
      </c>
      <c r="F1487" s="3" t="s">
        <v>898</v>
      </c>
      <c r="G1487" s="3" t="s">
        <v>894</v>
      </c>
    </row>
    <row r="1488" spans="1:7" x14ac:dyDescent="0.25">
      <c r="A1488" s="3" t="s">
        <v>204</v>
      </c>
      <c r="B1488" s="3">
        <v>1063</v>
      </c>
      <c r="C1488" s="3">
        <v>-175</v>
      </c>
      <c r="D1488" s="3">
        <v>4</v>
      </c>
      <c r="E1488" s="3" t="s">
        <v>889</v>
      </c>
      <c r="F1488" s="3" t="s">
        <v>890</v>
      </c>
      <c r="G1488" s="3" t="s">
        <v>894</v>
      </c>
    </row>
    <row r="1489" spans="1:7" x14ac:dyDescent="0.25">
      <c r="A1489" s="3" t="s">
        <v>44</v>
      </c>
      <c r="B1489" s="3">
        <v>2292</v>
      </c>
      <c r="C1489" s="3">
        <v>127</v>
      </c>
      <c r="D1489" s="3">
        <v>7</v>
      </c>
      <c r="E1489" s="3" t="s">
        <v>892</v>
      </c>
      <c r="F1489" s="3" t="s">
        <v>895</v>
      </c>
      <c r="G1489" s="3" t="s">
        <v>891</v>
      </c>
    </row>
    <row r="1490" spans="1:7" x14ac:dyDescent="0.25">
      <c r="A1490" s="3" t="s">
        <v>541</v>
      </c>
      <c r="B1490" s="3">
        <v>7</v>
      </c>
      <c r="C1490" s="3">
        <v>-1</v>
      </c>
      <c r="D1490" s="3">
        <v>2</v>
      </c>
      <c r="E1490" s="3" t="s">
        <v>899</v>
      </c>
      <c r="F1490" s="3" t="s">
        <v>903</v>
      </c>
      <c r="G1490" s="3" t="s">
        <v>897</v>
      </c>
    </row>
    <row r="1491" spans="1:7" x14ac:dyDescent="0.25">
      <c r="A1491" s="3" t="s">
        <v>38</v>
      </c>
      <c r="B1491" s="3">
        <v>2452</v>
      </c>
      <c r="C1491" s="3">
        <v>191</v>
      </c>
      <c r="D1491" s="3">
        <v>7</v>
      </c>
      <c r="E1491" s="3" t="s">
        <v>892</v>
      </c>
      <c r="F1491" s="3" t="s">
        <v>895</v>
      </c>
      <c r="G1491" s="3" t="s">
        <v>902</v>
      </c>
    </row>
    <row r="1492" spans="1:7" x14ac:dyDescent="0.25">
      <c r="A1492" s="3" t="s">
        <v>36</v>
      </c>
      <c r="B1492" s="3">
        <v>2457</v>
      </c>
      <c r="C1492" s="3">
        <v>665</v>
      </c>
      <c r="D1492" s="3">
        <v>11</v>
      </c>
      <c r="E1492" s="3" t="s">
        <v>889</v>
      </c>
      <c r="F1492" s="3" t="s">
        <v>890</v>
      </c>
      <c r="G1492" s="3" t="s">
        <v>894</v>
      </c>
    </row>
    <row r="1493" spans="1:7" x14ac:dyDescent="0.25">
      <c r="A1493" s="3" t="s">
        <v>154</v>
      </c>
      <c r="B1493" s="3">
        <v>4</v>
      </c>
      <c r="C1493" s="3">
        <v>-3</v>
      </c>
      <c r="D1493" s="3">
        <v>1</v>
      </c>
      <c r="E1493" s="3" t="s">
        <v>899</v>
      </c>
      <c r="F1493" s="3" t="s">
        <v>905</v>
      </c>
      <c r="G1493" s="3" t="s">
        <v>897</v>
      </c>
    </row>
    <row r="1494" spans="1:7" x14ac:dyDescent="0.25">
      <c r="A1494" s="3" t="s">
        <v>30</v>
      </c>
      <c r="B1494" s="3">
        <v>2830</v>
      </c>
      <c r="C1494" s="3">
        <v>-1981</v>
      </c>
      <c r="D1494" s="3">
        <v>13</v>
      </c>
      <c r="E1494" s="3" t="s">
        <v>892</v>
      </c>
      <c r="F1494" s="3" t="s">
        <v>895</v>
      </c>
      <c r="G1494" s="3" t="s">
        <v>894</v>
      </c>
    </row>
    <row r="1495" spans="1:7" x14ac:dyDescent="0.25">
      <c r="A1495" s="3" t="s">
        <v>162</v>
      </c>
      <c r="B1495" s="3">
        <v>7</v>
      </c>
      <c r="C1495" s="3">
        <v>1</v>
      </c>
      <c r="D1495" s="3">
        <v>1</v>
      </c>
      <c r="E1495" s="3" t="s">
        <v>899</v>
      </c>
      <c r="F1495" s="3" t="s">
        <v>903</v>
      </c>
      <c r="G1495" s="3" t="s">
        <v>891</v>
      </c>
    </row>
    <row r="1496" spans="1:7" x14ac:dyDescent="0.25">
      <c r="A1496" s="3" t="s">
        <v>777</v>
      </c>
      <c r="B1496" s="3">
        <v>7</v>
      </c>
      <c r="C1496" s="3">
        <v>0</v>
      </c>
      <c r="D1496" s="3">
        <v>2</v>
      </c>
      <c r="E1496" s="3" t="s">
        <v>899</v>
      </c>
      <c r="F1496" s="3" t="s">
        <v>905</v>
      </c>
      <c r="G1496" s="3" t="s">
        <v>891</v>
      </c>
    </row>
    <row r="1497" spans="1:7" x14ac:dyDescent="0.25">
      <c r="A1497" s="3" t="s">
        <v>663</v>
      </c>
      <c r="B1497" s="3">
        <v>7</v>
      </c>
      <c r="C1497" s="3">
        <v>-3</v>
      </c>
      <c r="D1497" s="3">
        <v>2</v>
      </c>
      <c r="E1497" s="3" t="s">
        <v>899</v>
      </c>
      <c r="F1497" s="3" t="s">
        <v>903</v>
      </c>
      <c r="G1497" s="3" t="s">
        <v>891</v>
      </c>
    </row>
    <row r="1498" spans="1:7" x14ac:dyDescent="0.25">
      <c r="A1498" s="3" t="s">
        <v>18</v>
      </c>
      <c r="B1498" s="3">
        <v>3151</v>
      </c>
      <c r="C1498" s="3">
        <v>-35</v>
      </c>
      <c r="D1498" s="3">
        <v>7</v>
      </c>
      <c r="E1498" s="3" t="s">
        <v>899</v>
      </c>
      <c r="F1498" s="3" t="s">
        <v>900</v>
      </c>
      <c r="G1498" s="3" t="s">
        <v>894</v>
      </c>
    </row>
    <row r="1499" spans="1:7" x14ac:dyDescent="0.25">
      <c r="A1499" s="3" t="s">
        <v>12</v>
      </c>
      <c r="B1499" s="3">
        <v>4141</v>
      </c>
      <c r="C1499" s="3">
        <v>1698</v>
      </c>
      <c r="D1499" s="3">
        <v>13</v>
      </c>
      <c r="E1499" s="3" t="s">
        <v>889</v>
      </c>
      <c r="F1499" s="3" t="s">
        <v>896</v>
      </c>
      <c r="G1499" s="3" t="s">
        <v>891</v>
      </c>
    </row>
    <row r="1500" spans="1:7" x14ac:dyDescent="0.25">
      <c r="A1500" s="3" t="s">
        <v>381</v>
      </c>
      <c r="B1500" s="3">
        <v>7</v>
      </c>
      <c r="C1500" s="3">
        <v>-2</v>
      </c>
      <c r="D1500" s="3">
        <v>1</v>
      </c>
      <c r="E1500" s="3" t="s">
        <v>899</v>
      </c>
      <c r="F1500" s="3" t="s">
        <v>903</v>
      </c>
      <c r="G1500" s="3" t="s">
        <v>891</v>
      </c>
    </row>
    <row r="1501" spans="1:7" x14ac:dyDescent="0.25">
      <c r="A1501" s="3" t="s">
        <v>9</v>
      </c>
      <c r="B1501" s="3">
        <v>4363</v>
      </c>
      <c r="C1501" s="3">
        <v>305</v>
      </c>
      <c r="D1501" s="3">
        <v>5</v>
      </c>
      <c r="E1501" s="3" t="s">
        <v>892</v>
      </c>
      <c r="F1501" s="3" t="s">
        <v>906</v>
      </c>
      <c r="G1501" s="3" t="s">
        <v>894</v>
      </c>
    </row>
  </sheetData>
  <mergeCells count="1">
    <mergeCell ref="M5:R5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F9CF5-7F18-4ED8-B146-64A4276F6D65}">
  <dimension ref="B2:T23"/>
  <sheetViews>
    <sheetView topLeftCell="A2" workbookViewId="0">
      <selection activeCell="A6" sqref="A6"/>
    </sheetView>
  </sheetViews>
  <sheetFormatPr defaultRowHeight="15" x14ac:dyDescent="0.25"/>
  <cols>
    <col min="2" max="2" width="18.85546875" bestFit="1" customWidth="1"/>
    <col min="3" max="3" width="16.5703125" bestFit="1" customWidth="1"/>
    <col min="4" max="4" width="10.85546875" bestFit="1" customWidth="1"/>
    <col min="5" max="5" width="10.28515625" bestFit="1" customWidth="1"/>
    <col min="6" max="6" width="4.42578125" bestFit="1" customWidth="1"/>
    <col min="7" max="7" width="4.140625" bestFit="1" customWidth="1"/>
    <col min="8" max="8" width="11.28515625" bestFit="1" customWidth="1"/>
    <col min="9" max="9" width="16.85546875" bestFit="1" customWidth="1"/>
    <col min="10" max="10" width="18.85546875" bestFit="1" customWidth="1"/>
    <col min="11" max="11" width="9.7109375" bestFit="1" customWidth="1"/>
    <col min="12" max="12" width="6.5703125" bestFit="1" customWidth="1"/>
    <col min="13" max="13" width="15.85546875" bestFit="1" customWidth="1"/>
    <col min="14" max="14" width="12.140625" bestFit="1" customWidth="1"/>
    <col min="15" max="15" width="9.28515625" bestFit="1" customWidth="1"/>
    <col min="16" max="16" width="7.140625" bestFit="1" customWidth="1"/>
    <col min="17" max="17" width="9.5703125" bestFit="1" customWidth="1"/>
    <col min="18" max="18" width="6.85546875" bestFit="1" customWidth="1"/>
    <col min="19" max="19" width="11" bestFit="1" customWidth="1"/>
    <col min="20" max="20" width="13.28515625" bestFit="1" customWidth="1"/>
    <col min="21" max="21" width="12.140625" bestFit="1" customWidth="1"/>
    <col min="22" max="22" width="11.28515625" bestFit="1" customWidth="1"/>
  </cols>
  <sheetData>
    <row r="2" spans="2:20" x14ac:dyDescent="0.25">
      <c r="B2" s="10" t="s">
        <v>925</v>
      </c>
      <c r="C2" s="10" t="s">
        <v>888</v>
      </c>
    </row>
    <row r="3" spans="2:20" x14ac:dyDescent="0.25">
      <c r="B3" s="10" t="s">
        <v>3</v>
      </c>
      <c r="C3" s="3" t="s">
        <v>891</v>
      </c>
      <c r="D3" s="3" t="s">
        <v>897</v>
      </c>
      <c r="E3" s="3" t="s">
        <v>911</v>
      </c>
      <c r="F3" s="3" t="s">
        <v>894</v>
      </c>
      <c r="G3" s="3" t="s">
        <v>902</v>
      </c>
      <c r="H3" s="3" t="s">
        <v>924</v>
      </c>
    </row>
    <row r="4" spans="2:20" x14ac:dyDescent="0.25">
      <c r="B4" s="11" t="s">
        <v>32</v>
      </c>
      <c r="C4" s="12">
        <v>15</v>
      </c>
      <c r="D4" s="12">
        <v>8</v>
      </c>
      <c r="E4" s="12">
        <v>5</v>
      </c>
      <c r="F4" s="12">
        <v>6</v>
      </c>
      <c r="G4" s="12">
        <v>8</v>
      </c>
      <c r="H4" s="12">
        <v>42</v>
      </c>
      <c r="O4" s="16" t="s">
        <v>926</v>
      </c>
      <c r="P4" s="16"/>
      <c r="Q4" s="16"/>
      <c r="R4" s="16"/>
      <c r="S4" s="16"/>
      <c r="T4" s="16"/>
    </row>
    <row r="5" spans="2:20" x14ac:dyDescent="0.25">
      <c r="B5" s="11" t="s">
        <v>57</v>
      </c>
      <c r="C5" s="12">
        <v>23</v>
      </c>
      <c r="D5" s="12">
        <v>4</v>
      </c>
      <c r="E5" s="12">
        <v>15</v>
      </c>
      <c r="F5" s="12">
        <v>6</v>
      </c>
      <c r="G5" s="12">
        <v>14</v>
      </c>
      <c r="H5" s="12">
        <v>62</v>
      </c>
      <c r="O5" s="16" t="s">
        <v>927</v>
      </c>
      <c r="P5" s="16"/>
      <c r="Q5" s="16"/>
      <c r="R5" s="16"/>
      <c r="S5" s="16"/>
      <c r="T5" s="16"/>
    </row>
    <row r="6" spans="2:20" x14ac:dyDescent="0.25">
      <c r="B6" s="11" t="s">
        <v>11</v>
      </c>
      <c r="C6" s="12">
        <v>37</v>
      </c>
      <c r="D6" s="12">
        <v>8</v>
      </c>
      <c r="E6" s="12">
        <v>9</v>
      </c>
      <c r="F6" s="12">
        <v>5</v>
      </c>
      <c r="G6" s="12">
        <v>17</v>
      </c>
      <c r="H6" s="12">
        <v>76</v>
      </c>
    </row>
    <row r="7" spans="2:20" x14ac:dyDescent="0.25">
      <c r="B7" s="11" t="s">
        <v>193</v>
      </c>
      <c r="C7" s="12">
        <v>25</v>
      </c>
      <c r="D7" s="12">
        <v>4</v>
      </c>
      <c r="E7" s="12">
        <v>4</v>
      </c>
      <c r="F7" s="12">
        <v>1</v>
      </c>
      <c r="G7" s="12">
        <v>9</v>
      </c>
      <c r="H7" s="12">
        <v>43</v>
      </c>
    </row>
    <row r="8" spans="2:20" x14ac:dyDescent="0.25">
      <c r="B8" s="11" t="s">
        <v>40</v>
      </c>
      <c r="C8" s="12">
        <v>33</v>
      </c>
      <c r="D8" s="12">
        <v>9</v>
      </c>
      <c r="E8" s="12">
        <v>13</v>
      </c>
      <c r="F8" s="12">
        <v>7</v>
      </c>
      <c r="G8" s="12">
        <v>25</v>
      </c>
      <c r="H8" s="12">
        <v>87</v>
      </c>
    </row>
    <row r="9" spans="2:20" x14ac:dyDescent="0.25">
      <c r="B9" s="11" t="s">
        <v>97</v>
      </c>
      <c r="C9" s="12">
        <v>11</v>
      </c>
      <c r="D9" s="12">
        <v>2</v>
      </c>
      <c r="E9" s="12">
        <v>5</v>
      </c>
      <c r="F9" s="12">
        <v>1</v>
      </c>
      <c r="G9" s="12">
        <v>7</v>
      </c>
      <c r="H9" s="12">
        <v>26</v>
      </c>
    </row>
    <row r="10" spans="2:20" x14ac:dyDescent="0.25">
      <c r="B10" s="11" t="s">
        <v>61</v>
      </c>
      <c r="C10" s="12">
        <v>17</v>
      </c>
      <c r="D10" s="12">
        <v>4</v>
      </c>
      <c r="E10" s="12">
        <v>3</v>
      </c>
      <c r="F10" s="12">
        <v>3</v>
      </c>
      <c r="G10" s="12">
        <v>2</v>
      </c>
      <c r="H10" s="12">
        <v>29</v>
      </c>
    </row>
    <row r="11" spans="2:20" x14ac:dyDescent="0.25">
      <c r="B11" s="11" t="s">
        <v>156</v>
      </c>
      <c r="C11" s="12">
        <v>23</v>
      </c>
      <c r="D11" s="12">
        <v>7</v>
      </c>
      <c r="E11" s="12">
        <v>10</v>
      </c>
      <c r="F11" s="12">
        <v>2</v>
      </c>
      <c r="G11" s="12">
        <v>7</v>
      </c>
      <c r="H11" s="12">
        <v>49</v>
      </c>
    </row>
    <row r="12" spans="2:20" x14ac:dyDescent="0.25">
      <c r="B12" s="11" t="s">
        <v>104</v>
      </c>
      <c r="C12" s="12">
        <v>21</v>
      </c>
      <c r="D12" s="12">
        <v>7</v>
      </c>
      <c r="E12" s="12">
        <v>4</v>
      </c>
      <c r="F12" s="12">
        <v>4</v>
      </c>
      <c r="G12" s="12">
        <v>14</v>
      </c>
      <c r="H12" s="12">
        <v>50</v>
      </c>
    </row>
    <row r="13" spans="2:20" x14ac:dyDescent="0.25">
      <c r="B13" s="11" t="s">
        <v>75</v>
      </c>
      <c r="C13" s="12">
        <v>15</v>
      </c>
      <c r="D13" s="12">
        <v>8</v>
      </c>
      <c r="E13" s="12">
        <v>6</v>
      </c>
      <c r="F13" s="12">
        <v>4</v>
      </c>
      <c r="G13" s="12">
        <v>12</v>
      </c>
      <c r="H13" s="12">
        <v>45</v>
      </c>
    </row>
    <row r="14" spans="2:20" x14ac:dyDescent="0.25">
      <c r="B14" s="11" t="s">
        <v>20</v>
      </c>
      <c r="C14" s="12">
        <v>147</v>
      </c>
      <c r="D14" s="12">
        <v>34</v>
      </c>
      <c r="E14" s="12">
        <v>34</v>
      </c>
      <c r="F14" s="12">
        <v>24</v>
      </c>
      <c r="G14" s="12">
        <v>75</v>
      </c>
      <c r="H14" s="12">
        <v>314</v>
      </c>
    </row>
    <row r="15" spans="2:20" x14ac:dyDescent="0.25">
      <c r="B15" s="11" t="s">
        <v>16</v>
      </c>
      <c r="C15" s="12">
        <v>145</v>
      </c>
      <c r="D15" s="12">
        <v>28</v>
      </c>
      <c r="E15" s="12">
        <v>41</v>
      </c>
      <c r="F15" s="12">
        <v>24</v>
      </c>
      <c r="G15" s="12">
        <v>61</v>
      </c>
      <c r="H15" s="12">
        <v>299</v>
      </c>
    </row>
    <row r="16" spans="2:20" x14ac:dyDescent="0.25">
      <c r="B16" s="11" t="s">
        <v>81</v>
      </c>
      <c r="C16" s="12">
        <v>17</v>
      </c>
      <c r="D16" s="12">
        <v>6</v>
      </c>
      <c r="E16" s="12">
        <v>5</v>
      </c>
      <c r="F16" s="12">
        <v>5</v>
      </c>
      <c r="G16" s="12">
        <v>12</v>
      </c>
      <c r="H16" s="12">
        <v>45</v>
      </c>
    </row>
    <row r="17" spans="2:8" x14ac:dyDescent="0.25">
      <c r="B17" s="11" t="s">
        <v>68</v>
      </c>
      <c r="C17" s="12">
        <v>30</v>
      </c>
      <c r="D17" s="12">
        <v>4</v>
      </c>
      <c r="E17" s="12">
        <v>5</v>
      </c>
      <c r="F17" s="12">
        <v>7</v>
      </c>
      <c r="G17" s="12">
        <v>14</v>
      </c>
      <c r="H17" s="12">
        <v>60</v>
      </c>
    </row>
    <row r="18" spans="2:8" x14ac:dyDescent="0.25">
      <c r="B18" s="11" t="s">
        <v>100</v>
      </c>
      <c r="C18" s="12">
        <v>32</v>
      </c>
      <c r="D18" s="12">
        <v>7</v>
      </c>
      <c r="E18" s="12">
        <v>14</v>
      </c>
      <c r="F18" s="12">
        <v>6</v>
      </c>
      <c r="G18" s="12">
        <v>15</v>
      </c>
      <c r="H18" s="12">
        <v>74</v>
      </c>
    </row>
    <row r="19" spans="2:8" x14ac:dyDescent="0.25">
      <c r="B19" s="11" t="s">
        <v>304</v>
      </c>
      <c r="C19" s="12">
        <v>6</v>
      </c>
      <c r="D19" s="12"/>
      <c r="E19" s="12">
        <v>6</v>
      </c>
      <c r="F19" s="12">
        <v>2</v>
      </c>
      <c r="G19" s="12">
        <v>10</v>
      </c>
      <c r="H19" s="12">
        <v>24</v>
      </c>
    </row>
    <row r="20" spans="2:8" x14ac:dyDescent="0.25">
      <c r="B20" s="11" t="s">
        <v>130</v>
      </c>
      <c r="C20" s="12">
        <v>13</v>
      </c>
      <c r="D20" s="12">
        <v>4</v>
      </c>
      <c r="E20" s="12">
        <v>3</v>
      </c>
      <c r="F20" s="12"/>
      <c r="G20" s="12">
        <v>5</v>
      </c>
      <c r="H20" s="12">
        <v>25</v>
      </c>
    </row>
    <row r="21" spans="2:8" x14ac:dyDescent="0.25">
      <c r="B21" s="11" t="s">
        <v>7</v>
      </c>
      <c r="C21" s="12">
        <v>45</v>
      </c>
      <c r="D21" s="12">
        <v>12</v>
      </c>
      <c r="E21" s="12">
        <v>11</v>
      </c>
      <c r="F21" s="12">
        <v>6</v>
      </c>
      <c r="G21" s="12">
        <v>13</v>
      </c>
      <c r="H21" s="12">
        <v>87</v>
      </c>
    </row>
    <row r="22" spans="2:8" x14ac:dyDescent="0.25">
      <c r="B22" s="11" t="s">
        <v>140</v>
      </c>
      <c r="C22" s="12">
        <v>29</v>
      </c>
      <c r="D22" s="12">
        <v>7</v>
      </c>
      <c r="E22" s="12">
        <v>9</v>
      </c>
      <c r="F22" s="12">
        <v>7</v>
      </c>
      <c r="G22" s="12">
        <v>11</v>
      </c>
      <c r="H22" s="12">
        <v>63</v>
      </c>
    </row>
    <row r="23" spans="2:8" x14ac:dyDescent="0.25">
      <c r="B23" s="11" t="s">
        <v>924</v>
      </c>
      <c r="C23" s="12">
        <v>684</v>
      </c>
      <c r="D23" s="12">
        <v>163</v>
      </c>
      <c r="E23" s="12">
        <v>202</v>
      </c>
      <c r="F23" s="12">
        <v>120</v>
      </c>
      <c r="G23" s="12">
        <v>331</v>
      </c>
      <c r="H23" s="12">
        <v>1500</v>
      </c>
    </row>
  </sheetData>
  <mergeCells count="2">
    <mergeCell ref="O4:T4"/>
    <mergeCell ref="O5:T5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6589-B747-4A61-9F3D-1ECCCE0969A3}">
  <dimension ref="A1:N1501"/>
  <sheetViews>
    <sheetView workbookViewId="0">
      <selection activeCell="L1" sqref="L1"/>
    </sheetView>
  </sheetViews>
  <sheetFormatPr defaultRowHeight="15" x14ac:dyDescent="0.25"/>
  <cols>
    <col min="12" max="12" width="9.85546875" bestFit="1" customWidth="1"/>
  </cols>
  <sheetData>
    <row r="1" spans="1:14" x14ac:dyDescent="0.25">
      <c r="A1" s="2" t="s">
        <v>884</v>
      </c>
      <c r="B1" s="2" t="s">
        <v>885</v>
      </c>
    </row>
    <row r="2" spans="1:14" x14ac:dyDescent="0.25">
      <c r="A2" s="3">
        <v>658</v>
      </c>
      <c r="B2" s="3">
        <v>7</v>
      </c>
    </row>
    <row r="3" spans="1:14" x14ac:dyDescent="0.25">
      <c r="A3" s="3">
        <v>64</v>
      </c>
      <c r="B3" s="3">
        <v>14</v>
      </c>
    </row>
    <row r="4" spans="1:14" x14ac:dyDescent="0.25">
      <c r="A4" s="3">
        <v>146</v>
      </c>
      <c r="B4" s="3">
        <v>8</v>
      </c>
      <c r="L4" t="s">
        <v>931</v>
      </c>
      <c r="M4" s="13">
        <f>MAX(A2:A1501)</f>
        <v>1864</v>
      </c>
      <c r="N4" t="s">
        <v>932</v>
      </c>
    </row>
    <row r="5" spans="1:14" x14ac:dyDescent="0.25">
      <c r="A5" s="3">
        <v>712</v>
      </c>
      <c r="B5" s="3">
        <v>8</v>
      </c>
    </row>
    <row r="6" spans="1:14" x14ac:dyDescent="0.25">
      <c r="A6" s="3">
        <v>1151</v>
      </c>
      <c r="B6" s="3">
        <v>4</v>
      </c>
    </row>
    <row r="7" spans="1:14" x14ac:dyDescent="0.25">
      <c r="A7" s="3">
        <v>247</v>
      </c>
      <c r="B7" s="3">
        <v>4</v>
      </c>
    </row>
    <row r="8" spans="1:14" x14ac:dyDescent="0.25">
      <c r="A8" s="3">
        <v>-275</v>
      </c>
      <c r="B8" s="3">
        <v>4</v>
      </c>
    </row>
    <row r="9" spans="1:14" x14ac:dyDescent="0.25">
      <c r="A9" s="3">
        <v>-213</v>
      </c>
      <c r="B9" s="3">
        <v>5</v>
      </c>
    </row>
    <row r="10" spans="1:14" x14ac:dyDescent="0.25">
      <c r="A10" s="3">
        <v>-44</v>
      </c>
      <c r="B10" s="3">
        <v>2</v>
      </c>
    </row>
    <row r="11" spans="1:14" x14ac:dyDescent="0.25">
      <c r="A11" s="3">
        <v>-54</v>
      </c>
      <c r="B11" s="3">
        <v>5</v>
      </c>
    </row>
    <row r="12" spans="1:14" x14ac:dyDescent="0.25">
      <c r="A12" s="3">
        <v>-190</v>
      </c>
      <c r="B12" s="3">
        <v>9</v>
      </c>
    </row>
    <row r="13" spans="1:14" x14ac:dyDescent="0.25">
      <c r="A13" s="3">
        <v>-234</v>
      </c>
      <c r="B13" s="3">
        <v>6</v>
      </c>
    </row>
    <row r="14" spans="1:14" x14ac:dyDescent="0.25">
      <c r="A14" s="3">
        <v>-891</v>
      </c>
      <c r="B14" s="3">
        <v>6</v>
      </c>
    </row>
    <row r="15" spans="1:14" x14ac:dyDescent="0.25">
      <c r="A15" s="3">
        <v>-492</v>
      </c>
      <c r="B15" s="3">
        <v>5</v>
      </c>
    </row>
    <row r="16" spans="1:14" x14ac:dyDescent="0.25">
      <c r="A16" s="3">
        <v>1050</v>
      </c>
      <c r="B16" s="3">
        <v>5</v>
      </c>
    </row>
    <row r="17" spans="1:11" x14ac:dyDescent="0.25">
      <c r="A17" s="3">
        <v>-3</v>
      </c>
      <c r="B17" s="3">
        <v>1</v>
      </c>
    </row>
    <row r="18" spans="1:11" x14ac:dyDescent="0.25">
      <c r="A18" s="3">
        <v>433</v>
      </c>
      <c r="B18" s="3">
        <v>5</v>
      </c>
      <c r="D18" s="16" t="s">
        <v>928</v>
      </c>
      <c r="E18" s="16"/>
      <c r="F18" s="16"/>
    </row>
    <row r="19" spans="1:11" x14ac:dyDescent="0.25">
      <c r="A19" s="3">
        <v>1</v>
      </c>
      <c r="B19" s="3">
        <v>1</v>
      </c>
      <c r="D19">
        <f>CORREL(A2:A1501,B2:B1501)</f>
        <v>6.3095733912713378E-2</v>
      </c>
      <c r="E19" s="18" t="s">
        <v>929</v>
      </c>
      <c r="F19" s="18"/>
      <c r="G19" s="18"/>
      <c r="H19" s="18"/>
    </row>
    <row r="20" spans="1:11" x14ac:dyDescent="0.25">
      <c r="A20" s="3">
        <v>721</v>
      </c>
      <c r="B20" s="3">
        <v>5</v>
      </c>
    </row>
    <row r="21" spans="1:11" x14ac:dyDescent="0.25">
      <c r="A21" s="3">
        <v>-1</v>
      </c>
      <c r="B21" s="3">
        <v>2</v>
      </c>
      <c r="D21" s="18" t="s">
        <v>930</v>
      </c>
      <c r="E21" s="18"/>
      <c r="F21" s="18"/>
      <c r="G21" s="18"/>
      <c r="H21" s="18"/>
      <c r="I21" s="18"/>
      <c r="J21" s="18"/>
      <c r="K21" s="18"/>
    </row>
    <row r="22" spans="1:11" x14ac:dyDescent="0.25">
      <c r="A22" s="3">
        <v>-624</v>
      </c>
      <c r="B22" s="3">
        <v>5</v>
      </c>
    </row>
    <row r="23" spans="1:11" x14ac:dyDescent="0.25">
      <c r="A23" s="3">
        <v>95</v>
      </c>
      <c r="B23" s="3">
        <v>5</v>
      </c>
    </row>
    <row r="24" spans="1:11" x14ac:dyDescent="0.25">
      <c r="A24" s="3">
        <v>254</v>
      </c>
      <c r="B24" s="3">
        <v>6</v>
      </c>
    </row>
    <row r="25" spans="1:11" x14ac:dyDescent="0.25">
      <c r="A25" s="3">
        <v>-33</v>
      </c>
      <c r="B25" s="3">
        <v>4</v>
      </c>
    </row>
    <row r="26" spans="1:11" x14ac:dyDescent="0.25">
      <c r="A26" s="3">
        <v>2</v>
      </c>
      <c r="B26" s="3">
        <v>2</v>
      </c>
    </row>
    <row r="27" spans="1:11" x14ac:dyDescent="0.25">
      <c r="A27" s="3">
        <v>782</v>
      </c>
      <c r="B27" s="3">
        <v>3</v>
      </c>
    </row>
    <row r="28" spans="1:11" x14ac:dyDescent="0.25">
      <c r="A28" s="3">
        <v>370</v>
      </c>
      <c r="B28" s="3">
        <v>8</v>
      </c>
    </row>
    <row r="29" spans="1:11" x14ac:dyDescent="0.25">
      <c r="A29" s="3">
        <v>-266</v>
      </c>
      <c r="B29" s="3">
        <v>6</v>
      </c>
    </row>
    <row r="30" spans="1:11" x14ac:dyDescent="0.25">
      <c r="A30" s="3">
        <v>-56</v>
      </c>
      <c r="B30" s="3">
        <v>6</v>
      </c>
    </row>
    <row r="31" spans="1:11" x14ac:dyDescent="0.25">
      <c r="A31" s="3">
        <v>-1</v>
      </c>
      <c r="B31" s="3">
        <v>3</v>
      </c>
    </row>
    <row r="32" spans="1:11" x14ac:dyDescent="0.25">
      <c r="A32" s="3">
        <v>202</v>
      </c>
      <c r="B32" s="3">
        <v>5</v>
      </c>
    </row>
    <row r="33" spans="1:2" x14ac:dyDescent="0.25">
      <c r="A33" s="3">
        <v>113</v>
      </c>
      <c r="B33" s="3">
        <v>8</v>
      </c>
    </row>
    <row r="34" spans="1:2" x14ac:dyDescent="0.25">
      <c r="A34" s="3">
        <v>1303</v>
      </c>
      <c r="B34" s="3">
        <v>8</v>
      </c>
    </row>
    <row r="35" spans="1:2" x14ac:dyDescent="0.25">
      <c r="A35" s="3">
        <v>-15</v>
      </c>
      <c r="B35" s="3">
        <v>4</v>
      </c>
    </row>
    <row r="36" spans="1:2" x14ac:dyDescent="0.25">
      <c r="A36" s="3">
        <v>122</v>
      </c>
      <c r="B36" s="3">
        <v>2</v>
      </c>
    </row>
    <row r="37" spans="1:2" x14ac:dyDescent="0.25">
      <c r="A37" s="3">
        <v>-212</v>
      </c>
      <c r="B37" s="3">
        <v>5</v>
      </c>
    </row>
    <row r="38" spans="1:2" x14ac:dyDescent="0.25">
      <c r="A38" s="3">
        <v>-1</v>
      </c>
      <c r="B38" s="3">
        <v>1</v>
      </c>
    </row>
    <row r="39" spans="1:2" x14ac:dyDescent="0.25">
      <c r="A39" s="3">
        <v>802</v>
      </c>
      <c r="B39" s="3">
        <v>5</v>
      </c>
    </row>
    <row r="40" spans="1:2" x14ac:dyDescent="0.25">
      <c r="A40" s="3">
        <v>0</v>
      </c>
      <c r="B40" s="3">
        <v>2</v>
      </c>
    </row>
    <row r="41" spans="1:2" x14ac:dyDescent="0.25">
      <c r="A41" s="3">
        <v>-7</v>
      </c>
      <c r="B41" s="3">
        <v>2</v>
      </c>
    </row>
    <row r="42" spans="1:2" x14ac:dyDescent="0.25">
      <c r="A42" s="3">
        <v>564</v>
      </c>
      <c r="B42" s="3">
        <v>3</v>
      </c>
    </row>
    <row r="43" spans="1:2" x14ac:dyDescent="0.25">
      <c r="A43" s="3">
        <v>3</v>
      </c>
      <c r="B43" s="3">
        <v>1</v>
      </c>
    </row>
    <row r="44" spans="1:2" x14ac:dyDescent="0.25">
      <c r="A44" s="3">
        <v>-77</v>
      </c>
      <c r="B44" s="3">
        <v>3</v>
      </c>
    </row>
    <row r="45" spans="1:2" x14ac:dyDescent="0.25">
      <c r="A45" s="3">
        <v>5</v>
      </c>
      <c r="B45" s="3">
        <v>2</v>
      </c>
    </row>
    <row r="46" spans="1:2" x14ac:dyDescent="0.25">
      <c r="A46" s="3">
        <v>980</v>
      </c>
      <c r="B46" s="3">
        <v>3</v>
      </c>
    </row>
    <row r="47" spans="1:2" x14ac:dyDescent="0.25">
      <c r="A47" s="3">
        <v>-448</v>
      </c>
      <c r="B47" s="3">
        <v>3</v>
      </c>
    </row>
    <row r="48" spans="1:2" x14ac:dyDescent="0.25">
      <c r="A48" s="3">
        <v>340</v>
      </c>
      <c r="B48" s="3">
        <v>6</v>
      </c>
    </row>
    <row r="49" spans="1:2" x14ac:dyDescent="0.25">
      <c r="A49" s="3">
        <v>460</v>
      </c>
      <c r="B49" s="3">
        <v>4</v>
      </c>
    </row>
    <row r="50" spans="1:2" x14ac:dyDescent="0.25">
      <c r="A50" s="3">
        <v>0</v>
      </c>
      <c r="B50" s="3">
        <v>9</v>
      </c>
    </row>
    <row r="51" spans="1:2" x14ac:dyDescent="0.25">
      <c r="A51" s="3">
        <v>-439</v>
      </c>
      <c r="B51" s="3">
        <v>4</v>
      </c>
    </row>
    <row r="52" spans="1:2" x14ac:dyDescent="0.25">
      <c r="A52" s="3">
        <v>106</v>
      </c>
      <c r="B52" s="3">
        <v>4</v>
      </c>
    </row>
    <row r="53" spans="1:2" x14ac:dyDescent="0.25">
      <c r="A53" s="3">
        <v>-123</v>
      </c>
      <c r="B53" s="3">
        <v>8</v>
      </c>
    </row>
    <row r="54" spans="1:2" x14ac:dyDescent="0.25">
      <c r="A54" s="3">
        <v>239</v>
      </c>
      <c r="B54" s="3">
        <v>13</v>
      </c>
    </row>
    <row r="55" spans="1:2" x14ac:dyDescent="0.25">
      <c r="A55" s="3">
        <v>199</v>
      </c>
      <c r="B55" s="3">
        <v>6</v>
      </c>
    </row>
    <row r="56" spans="1:2" x14ac:dyDescent="0.25">
      <c r="A56" s="3">
        <v>-2</v>
      </c>
      <c r="B56" s="3">
        <v>1</v>
      </c>
    </row>
    <row r="57" spans="1:2" x14ac:dyDescent="0.25">
      <c r="A57" s="3">
        <v>624</v>
      </c>
      <c r="B57" s="3">
        <v>3</v>
      </c>
    </row>
    <row r="58" spans="1:2" x14ac:dyDescent="0.25">
      <c r="A58" s="3">
        <v>206</v>
      </c>
      <c r="B58" s="3">
        <v>2</v>
      </c>
    </row>
    <row r="59" spans="1:2" x14ac:dyDescent="0.25">
      <c r="A59" s="3">
        <v>-5</v>
      </c>
      <c r="B59" s="3">
        <v>2</v>
      </c>
    </row>
    <row r="60" spans="1:2" x14ac:dyDescent="0.25">
      <c r="A60" s="3">
        <v>4</v>
      </c>
      <c r="B60" s="3">
        <v>1</v>
      </c>
    </row>
    <row r="61" spans="1:2" x14ac:dyDescent="0.25">
      <c r="A61" s="3">
        <v>1864</v>
      </c>
      <c r="B61" s="3">
        <v>5</v>
      </c>
    </row>
    <row r="62" spans="1:2" x14ac:dyDescent="0.25">
      <c r="A62" s="3">
        <v>147</v>
      </c>
      <c r="B62" s="3">
        <v>7</v>
      </c>
    </row>
    <row r="63" spans="1:2" x14ac:dyDescent="0.25">
      <c r="A63" s="3">
        <v>2</v>
      </c>
      <c r="B63" s="3">
        <v>1</v>
      </c>
    </row>
    <row r="64" spans="1:2" x14ac:dyDescent="0.25">
      <c r="A64" s="3">
        <v>-193</v>
      </c>
      <c r="B64" s="3">
        <v>5</v>
      </c>
    </row>
    <row r="65" spans="1:2" x14ac:dyDescent="0.25">
      <c r="A65" s="3">
        <v>527</v>
      </c>
      <c r="B65" s="3">
        <v>7</v>
      </c>
    </row>
    <row r="66" spans="1:2" x14ac:dyDescent="0.25">
      <c r="A66" s="3">
        <v>342</v>
      </c>
      <c r="B66" s="3">
        <v>3</v>
      </c>
    </row>
    <row r="67" spans="1:2" x14ac:dyDescent="0.25">
      <c r="A67" s="3">
        <v>7</v>
      </c>
      <c r="B67" s="3">
        <v>3</v>
      </c>
    </row>
    <row r="68" spans="1:2" x14ac:dyDescent="0.25">
      <c r="A68" s="3">
        <v>2</v>
      </c>
      <c r="B68" s="3">
        <v>2</v>
      </c>
    </row>
    <row r="69" spans="1:2" x14ac:dyDescent="0.25">
      <c r="A69" s="3">
        <v>-12</v>
      </c>
      <c r="B69" s="3">
        <v>5</v>
      </c>
    </row>
    <row r="70" spans="1:2" x14ac:dyDescent="0.25">
      <c r="A70" s="3">
        <v>536</v>
      </c>
      <c r="B70" s="3">
        <v>3</v>
      </c>
    </row>
    <row r="71" spans="1:2" x14ac:dyDescent="0.25">
      <c r="A71" s="3">
        <v>-38</v>
      </c>
      <c r="B71" s="3">
        <v>4</v>
      </c>
    </row>
    <row r="72" spans="1:2" x14ac:dyDescent="0.25">
      <c r="A72" s="3">
        <v>573</v>
      </c>
      <c r="B72" s="3">
        <v>5</v>
      </c>
    </row>
    <row r="73" spans="1:2" x14ac:dyDescent="0.25">
      <c r="A73" s="3">
        <v>-16</v>
      </c>
      <c r="B73" s="3">
        <v>8</v>
      </c>
    </row>
    <row r="74" spans="1:2" x14ac:dyDescent="0.25">
      <c r="A74" s="3">
        <v>-2</v>
      </c>
      <c r="B74" s="3">
        <v>4</v>
      </c>
    </row>
    <row r="75" spans="1:2" x14ac:dyDescent="0.25">
      <c r="A75" s="3">
        <v>65</v>
      </c>
      <c r="B75" s="3">
        <v>9</v>
      </c>
    </row>
    <row r="76" spans="1:2" x14ac:dyDescent="0.25">
      <c r="A76" s="3">
        <v>97</v>
      </c>
      <c r="B76" s="3">
        <v>6</v>
      </c>
    </row>
    <row r="77" spans="1:2" x14ac:dyDescent="0.25">
      <c r="A77" s="3">
        <v>264</v>
      </c>
      <c r="B77" s="3">
        <v>4</v>
      </c>
    </row>
    <row r="78" spans="1:2" x14ac:dyDescent="0.25">
      <c r="A78" s="3">
        <v>-13</v>
      </c>
      <c r="B78" s="3">
        <v>4</v>
      </c>
    </row>
    <row r="79" spans="1:2" x14ac:dyDescent="0.25">
      <c r="A79" s="3">
        <v>73</v>
      </c>
      <c r="B79" s="3">
        <v>3</v>
      </c>
    </row>
    <row r="80" spans="1:2" x14ac:dyDescent="0.25">
      <c r="A80" s="3">
        <v>-68</v>
      </c>
      <c r="B80" s="3">
        <v>3</v>
      </c>
    </row>
    <row r="81" spans="1:2" x14ac:dyDescent="0.25">
      <c r="A81" s="3">
        <v>-2</v>
      </c>
      <c r="B81" s="3">
        <v>3</v>
      </c>
    </row>
    <row r="82" spans="1:2" x14ac:dyDescent="0.25">
      <c r="A82" s="3">
        <v>-2</v>
      </c>
      <c r="B82" s="3">
        <v>3</v>
      </c>
    </row>
    <row r="83" spans="1:2" x14ac:dyDescent="0.25">
      <c r="A83" s="3">
        <v>-916</v>
      </c>
      <c r="B83" s="3">
        <v>7</v>
      </c>
    </row>
    <row r="84" spans="1:2" x14ac:dyDescent="0.25">
      <c r="A84" s="3">
        <v>-93</v>
      </c>
      <c r="B84" s="3">
        <v>9</v>
      </c>
    </row>
    <row r="85" spans="1:2" x14ac:dyDescent="0.25">
      <c r="A85" s="3">
        <v>3</v>
      </c>
      <c r="B85" s="3">
        <v>2</v>
      </c>
    </row>
    <row r="86" spans="1:2" x14ac:dyDescent="0.25">
      <c r="A86" s="3">
        <v>192</v>
      </c>
      <c r="B86" s="3">
        <v>11</v>
      </c>
    </row>
    <row r="87" spans="1:2" x14ac:dyDescent="0.25">
      <c r="A87" s="3">
        <v>-72</v>
      </c>
      <c r="B87" s="3">
        <v>9</v>
      </c>
    </row>
    <row r="88" spans="1:2" x14ac:dyDescent="0.25">
      <c r="A88" s="3">
        <v>67</v>
      </c>
      <c r="B88" s="3">
        <v>4</v>
      </c>
    </row>
    <row r="89" spans="1:2" x14ac:dyDescent="0.25">
      <c r="A89" s="3">
        <v>24</v>
      </c>
      <c r="B89" s="3">
        <v>3</v>
      </c>
    </row>
    <row r="90" spans="1:2" x14ac:dyDescent="0.25">
      <c r="A90" s="3">
        <v>16</v>
      </c>
      <c r="B90" s="3">
        <v>6</v>
      </c>
    </row>
    <row r="91" spans="1:2" x14ac:dyDescent="0.25">
      <c r="A91" s="3">
        <v>-274</v>
      </c>
      <c r="B91" s="3">
        <v>2</v>
      </c>
    </row>
    <row r="92" spans="1:2" x14ac:dyDescent="0.25">
      <c r="A92" s="3">
        <v>230</v>
      </c>
      <c r="B92" s="3">
        <v>2</v>
      </c>
    </row>
    <row r="93" spans="1:2" x14ac:dyDescent="0.25">
      <c r="A93" s="3">
        <v>-640</v>
      </c>
      <c r="B93" s="3">
        <v>8</v>
      </c>
    </row>
    <row r="94" spans="1:2" x14ac:dyDescent="0.25">
      <c r="A94" s="3">
        <v>486</v>
      </c>
      <c r="B94" s="3">
        <v>7</v>
      </c>
    </row>
    <row r="95" spans="1:2" x14ac:dyDescent="0.25">
      <c r="A95" s="3">
        <v>-18</v>
      </c>
      <c r="B95" s="3">
        <v>7</v>
      </c>
    </row>
    <row r="96" spans="1:2" x14ac:dyDescent="0.25">
      <c r="A96" s="3">
        <v>-13</v>
      </c>
      <c r="B96" s="3">
        <v>9</v>
      </c>
    </row>
    <row r="97" spans="1:2" x14ac:dyDescent="0.25">
      <c r="A97" s="3">
        <v>-63</v>
      </c>
      <c r="B97" s="3">
        <v>3</v>
      </c>
    </row>
    <row r="98" spans="1:2" x14ac:dyDescent="0.25">
      <c r="A98" s="3">
        <v>-706</v>
      </c>
      <c r="B98" s="3">
        <v>3</v>
      </c>
    </row>
    <row r="99" spans="1:2" x14ac:dyDescent="0.25">
      <c r="A99" s="3">
        <v>170</v>
      </c>
      <c r="B99" s="3">
        <v>3</v>
      </c>
    </row>
    <row r="100" spans="1:2" x14ac:dyDescent="0.25">
      <c r="A100" s="3">
        <v>-1</v>
      </c>
      <c r="B100" s="3">
        <v>2</v>
      </c>
    </row>
    <row r="101" spans="1:2" x14ac:dyDescent="0.25">
      <c r="A101" s="3">
        <v>170</v>
      </c>
      <c r="B101" s="3">
        <v>3</v>
      </c>
    </row>
    <row r="102" spans="1:2" x14ac:dyDescent="0.25">
      <c r="A102" s="3">
        <v>-1</v>
      </c>
      <c r="B102" s="3">
        <v>2</v>
      </c>
    </row>
    <row r="103" spans="1:2" x14ac:dyDescent="0.25">
      <c r="A103" s="3">
        <v>-36</v>
      </c>
      <c r="B103" s="3">
        <v>3</v>
      </c>
    </row>
    <row r="104" spans="1:2" x14ac:dyDescent="0.25">
      <c r="A104" s="3">
        <v>101</v>
      </c>
      <c r="B104" s="3">
        <v>6</v>
      </c>
    </row>
    <row r="105" spans="1:2" x14ac:dyDescent="0.25">
      <c r="A105" s="3">
        <v>266</v>
      </c>
      <c r="B105" s="3">
        <v>9</v>
      </c>
    </row>
    <row r="106" spans="1:2" x14ac:dyDescent="0.25">
      <c r="A106" s="3">
        <v>-48</v>
      </c>
      <c r="B106" s="3">
        <v>5</v>
      </c>
    </row>
    <row r="107" spans="1:2" x14ac:dyDescent="0.25">
      <c r="A107" s="3">
        <v>-14</v>
      </c>
      <c r="B107" s="3">
        <v>7</v>
      </c>
    </row>
    <row r="108" spans="1:2" x14ac:dyDescent="0.25">
      <c r="A108" s="3">
        <v>8</v>
      </c>
      <c r="B108" s="3">
        <v>2</v>
      </c>
    </row>
    <row r="109" spans="1:2" x14ac:dyDescent="0.25">
      <c r="A109" s="3">
        <v>-307</v>
      </c>
      <c r="B109" s="3">
        <v>7</v>
      </c>
    </row>
    <row r="110" spans="1:2" x14ac:dyDescent="0.25">
      <c r="A110" s="3">
        <v>199</v>
      </c>
      <c r="B110" s="3">
        <v>6</v>
      </c>
    </row>
    <row r="111" spans="1:2" x14ac:dyDescent="0.25">
      <c r="A111" s="3">
        <v>119</v>
      </c>
      <c r="B111" s="3">
        <v>6</v>
      </c>
    </row>
    <row r="112" spans="1:2" x14ac:dyDescent="0.25">
      <c r="A112" s="3">
        <v>0</v>
      </c>
      <c r="B112" s="3">
        <v>4</v>
      </c>
    </row>
    <row r="113" spans="1:2" x14ac:dyDescent="0.25">
      <c r="A113" s="3">
        <v>8</v>
      </c>
      <c r="B113" s="3">
        <v>2</v>
      </c>
    </row>
    <row r="114" spans="1:2" x14ac:dyDescent="0.25">
      <c r="A114" s="3">
        <v>-225</v>
      </c>
      <c r="B114" s="3">
        <v>5</v>
      </c>
    </row>
    <row r="115" spans="1:2" x14ac:dyDescent="0.25">
      <c r="A115" s="3">
        <v>198</v>
      </c>
      <c r="B115" s="3">
        <v>2</v>
      </c>
    </row>
    <row r="116" spans="1:2" x14ac:dyDescent="0.25">
      <c r="A116" s="3">
        <v>-40</v>
      </c>
      <c r="B116" s="3">
        <v>3</v>
      </c>
    </row>
    <row r="117" spans="1:2" x14ac:dyDescent="0.25">
      <c r="A117" s="3">
        <v>-36</v>
      </c>
      <c r="B117" s="3">
        <v>8</v>
      </c>
    </row>
    <row r="118" spans="1:2" x14ac:dyDescent="0.25">
      <c r="A118" s="3">
        <v>-2</v>
      </c>
      <c r="B118" s="3">
        <v>2</v>
      </c>
    </row>
    <row r="119" spans="1:2" x14ac:dyDescent="0.25">
      <c r="A119" s="3">
        <v>0</v>
      </c>
      <c r="B119" s="3">
        <v>1</v>
      </c>
    </row>
    <row r="120" spans="1:2" x14ac:dyDescent="0.25">
      <c r="A120" s="3">
        <v>267</v>
      </c>
      <c r="B120" s="3">
        <v>5</v>
      </c>
    </row>
    <row r="121" spans="1:2" x14ac:dyDescent="0.25">
      <c r="A121" s="3">
        <v>-235</v>
      </c>
      <c r="B121" s="3">
        <v>6</v>
      </c>
    </row>
    <row r="122" spans="1:2" x14ac:dyDescent="0.25">
      <c r="A122" s="3">
        <v>-1</v>
      </c>
      <c r="B122" s="3">
        <v>1</v>
      </c>
    </row>
    <row r="123" spans="1:2" x14ac:dyDescent="0.25">
      <c r="A123" s="3">
        <v>-48</v>
      </c>
      <c r="B123" s="3">
        <v>4</v>
      </c>
    </row>
    <row r="124" spans="1:2" x14ac:dyDescent="0.25">
      <c r="A124" s="3">
        <v>-209</v>
      </c>
      <c r="B124" s="3">
        <v>7</v>
      </c>
    </row>
    <row r="125" spans="1:2" x14ac:dyDescent="0.25">
      <c r="A125" s="3">
        <v>-17</v>
      </c>
      <c r="B125" s="3">
        <v>6</v>
      </c>
    </row>
    <row r="126" spans="1:2" x14ac:dyDescent="0.25">
      <c r="A126" s="3">
        <v>248</v>
      </c>
      <c r="B126" s="3">
        <v>2</v>
      </c>
    </row>
    <row r="127" spans="1:2" x14ac:dyDescent="0.25">
      <c r="A127" s="3">
        <v>166</v>
      </c>
      <c r="B127" s="3">
        <v>5</v>
      </c>
    </row>
    <row r="128" spans="1:2" x14ac:dyDescent="0.25">
      <c r="A128" s="3">
        <v>-9</v>
      </c>
      <c r="B128" s="3">
        <v>6</v>
      </c>
    </row>
    <row r="129" spans="1:2" x14ac:dyDescent="0.25">
      <c r="A129" s="3">
        <v>395</v>
      </c>
      <c r="B129" s="3">
        <v>2</v>
      </c>
    </row>
    <row r="130" spans="1:2" x14ac:dyDescent="0.25">
      <c r="A130" s="3">
        <v>303</v>
      </c>
      <c r="B130" s="3">
        <v>6</v>
      </c>
    </row>
    <row r="131" spans="1:2" x14ac:dyDescent="0.25">
      <c r="A131" s="3">
        <v>1</v>
      </c>
      <c r="B131" s="3">
        <v>2</v>
      </c>
    </row>
    <row r="132" spans="1:2" x14ac:dyDescent="0.25">
      <c r="A132" s="3">
        <v>56</v>
      </c>
      <c r="B132" s="3">
        <v>4</v>
      </c>
    </row>
    <row r="133" spans="1:2" x14ac:dyDescent="0.25">
      <c r="A133" s="3">
        <v>-15</v>
      </c>
      <c r="B133" s="3">
        <v>4</v>
      </c>
    </row>
    <row r="134" spans="1:2" x14ac:dyDescent="0.25">
      <c r="A134" s="3">
        <v>-100</v>
      </c>
      <c r="B134" s="3">
        <v>5</v>
      </c>
    </row>
    <row r="135" spans="1:2" x14ac:dyDescent="0.25">
      <c r="A135" s="3">
        <v>-12</v>
      </c>
      <c r="B135" s="3">
        <v>3</v>
      </c>
    </row>
    <row r="136" spans="1:2" x14ac:dyDescent="0.25">
      <c r="A136" s="3">
        <v>254</v>
      </c>
      <c r="B136" s="3">
        <v>6</v>
      </c>
    </row>
    <row r="137" spans="1:2" x14ac:dyDescent="0.25">
      <c r="A137" s="3">
        <v>1</v>
      </c>
      <c r="B137" s="3">
        <v>4</v>
      </c>
    </row>
    <row r="138" spans="1:2" x14ac:dyDescent="0.25">
      <c r="A138" s="3">
        <v>1</v>
      </c>
      <c r="B138" s="3">
        <v>2</v>
      </c>
    </row>
    <row r="139" spans="1:2" x14ac:dyDescent="0.25">
      <c r="A139" s="3">
        <v>1</v>
      </c>
      <c r="B139" s="3">
        <v>2</v>
      </c>
    </row>
    <row r="140" spans="1:2" x14ac:dyDescent="0.25">
      <c r="A140" s="3">
        <v>10</v>
      </c>
      <c r="B140" s="3">
        <v>1</v>
      </c>
    </row>
    <row r="141" spans="1:2" x14ac:dyDescent="0.25">
      <c r="A141" s="3">
        <v>259</v>
      </c>
      <c r="B141" s="3">
        <v>4</v>
      </c>
    </row>
    <row r="142" spans="1:2" x14ac:dyDescent="0.25">
      <c r="A142" s="3">
        <v>-187</v>
      </c>
      <c r="B142" s="3">
        <v>2</v>
      </c>
    </row>
    <row r="143" spans="1:2" x14ac:dyDescent="0.25">
      <c r="A143" s="3">
        <v>-309</v>
      </c>
      <c r="B143" s="3">
        <v>5</v>
      </c>
    </row>
    <row r="144" spans="1:2" x14ac:dyDescent="0.25">
      <c r="A144" s="3">
        <v>-213</v>
      </c>
      <c r="B144" s="3">
        <v>3</v>
      </c>
    </row>
    <row r="145" spans="1:2" x14ac:dyDescent="0.25">
      <c r="A145" s="3">
        <v>15</v>
      </c>
      <c r="B145" s="3">
        <v>1</v>
      </c>
    </row>
    <row r="146" spans="1:2" x14ac:dyDescent="0.25">
      <c r="A146" s="3">
        <v>-2</v>
      </c>
      <c r="B146" s="3">
        <v>2</v>
      </c>
    </row>
    <row r="147" spans="1:2" x14ac:dyDescent="0.25">
      <c r="A147" s="3">
        <v>167</v>
      </c>
      <c r="B147" s="3">
        <v>2</v>
      </c>
    </row>
    <row r="148" spans="1:2" x14ac:dyDescent="0.25">
      <c r="A148" s="3">
        <v>225</v>
      </c>
      <c r="B148" s="3">
        <v>2</v>
      </c>
    </row>
    <row r="149" spans="1:2" x14ac:dyDescent="0.25">
      <c r="A149" s="3">
        <v>-316</v>
      </c>
      <c r="B149" s="3">
        <v>6</v>
      </c>
    </row>
    <row r="150" spans="1:2" x14ac:dyDescent="0.25">
      <c r="A150" s="3">
        <v>316</v>
      </c>
      <c r="B150" s="3">
        <v>6</v>
      </c>
    </row>
    <row r="151" spans="1:2" x14ac:dyDescent="0.25">
      <c r="A151" s="3">
        <v>208</v>
      </c>
      <c r="B151" s="3">
        <v>3</v>
      </c>
    </row>
    <row r="152" spans="1:2" x14ac:dyDescent="0.25">
      <c r="A152" s="3">
        <v>-28</v>
      </c>
      <c r="B152" s="3">
        <v>6</v>
      </c>
    </row>
    <row r="153" spans="1:2" x14ac:dyDescent="0.25">
      <c r="A153" s="3">
        <v>119</v>
      </c>
      <c r="B153" s="3">
        <v>4</v>
      </c>
    </row>
    <row r="154" spans="1:2" x14ac:dyDescent="0.25">
      <c r="A154" s="3">
        <v>292</v>
      </c>
      <c r="B154" s="3">
        <v>3</v>
      </c>
    </row>
    <row r="155" spans="1:2" x14ac:dyDescent="0.25">
      <c r="A155" s="3">
        <v>51</v>
      </c>
      <c r="B155" s="3">
        <v>5</v>
      </c>
    </row>
    <row r="156" spans="1:2" x14ac:dyDescent="0.25">
      <c r="A156" s="3">
        <v>89</v>
      </c>
      <c r="B156" s="3">
        <v>3</v>
      </c>
    </row>
    <row r="157" spans="1:2" x14ac:dyDescent="0.25">
      <c r="A157" s="3">
        <v>175</v>
      </c>
      <c r="B157" s="3">
        <v>13</v>
      </c>
    </row>
    <row r="158" spans="1:2" x14ac:dyDescent="0.25">
      <c r="A158" s="3">
        <v>262</v>
      </c>
      <c r="B158" s="3">
        <v>5</v>
      </c>
    </row>
    <row r="159" spans="1:2" x14ac:dyDescent="0.25">
      <c r="A159" s="3">
        <v>84</v>
      </c>
      <c r="B159" s="3">
        <v>7</v>
      </c>
    </row>
    <row r="160" spans="1:2" x14ac:dyDescent="0.25">
      <c r="A160" s="3">
        <v>19</v>
      </c>
      <c r="B160" s="3">
        <v>4</v>
      </c>
    </row>
    <row r="161" spans="1:2" x14ac:dyDescent="0.25">
      <c r="A161" s="3">
        <v>212</v>
      </c>
      <c r="B161" s="3">
        <v>3</v>
      </c>
    </row>
    <row r="162" spans="1:2" x14ac:dyDescent="0.25">
      <c r="A162" s="3">
        <v>-424</v>
      </c>
      <c r="B162" s="3">
        <v>2</v>
      </c>
    </row>
    <row r="163" spans="1:2" x14ac:dyDescent="0.25">
      <c r="A163" s="3">
        <v>8</v>
      </c>
      <c r="B163" s="3">
        <v>6</v>
      </c>
    </row>
    <row r="164" spans="1:2" x14ac:dyDescent="0.25">
      <c r="A164" s="3">
        <v>2</v>
      </c>
      <c r="B164" s="3">
        <v>2</v>
      </c>
    </row>
    <row r="165" spans="1:2" x14ac:dyDescent="0.25">
      <c r="A165" s="3">
        <v>-111</v>
      </c>
      <c r="B165" s="3">
        <v>2</v>
      </c>
    </row>
    <row r="166" spans="1:2" x14ac:dyDescent="0.25">
      <c r="A166" s="3">
        <v>371</v>
      </c>
      <c r="B166" s="3">
        <v>2</v>
      </c>
    </row>
    <row r="167" spans="1:2" x14ac:dyDescent="0.25">
      <c r="A167" s="3">
        <v>-73</v>
      </c>
      <c r="B167" s="3">
        <v>11</v>
      </c>
    </row>
    <row r="168" spans="1:2" x14ac:dyDescent="0.25">
      <c r="A168" s="3">
        <v>-82</v>
      </c>
      <c r="B168" s="3">
        <v>3</v>
      </c>
    </row>
    <row r="169" spans="1:2" x14ac:dyDescent="0.25">
      <c r="A169" s="3">
        <v>-152</v>
      </c>
      <c r="B169" s="3">
        <v>3</v>
      </c>
    </row>
    <row r="170" spans="1:2" x14ac:dyDescent="0.25">
      <c r="A170" s="3">
        <v>9</v>
      </c>
      <c r="B170" s="3">
        <v>2</v>
      </c>
    </row>
    <row r="171" spans="1:2" x14ac:dyDescent="0.25">
      <c r="A171" s="3">
        <v>371</v>
      </c>
      <c r="B171" s="3">
        <v>2</v>
      </c>
    </row>
    <row r="172" spans="1:2" x14ac:dyDescent="0.25">
      <c r="A172" s="3">
        <v>198</v>
      </c>
      <c r="B172" s="3">
        <v>2</v>
      </c>
    </row>
    <row r="173" spans="1:2" x14ac:dyDescent="0.25">
      <c r="A173" s="3">
        <v>107</v>
      </c>
      <c r="B173" s="3">
        <v>3</v>
      </c>
    </row>
    <row r="174" spans="1:2" x14ac:dyDescent="0.25">
      <c r="A174" s="3">
        <v>91</v>
      </c>
      <c r="B174" s="3">
        <v>1</v>
      </c>
    </row>
    <row r="175" spans="1:2" x14ac:dyDescent="0.25">
      <c r="A175" s="3">
        <v>3</v>
      </c>
      <c r="B175" s="3">
        <v>1</v>
      </c>
    </row>
    <row r="176" spans="1:2" x14ac:dyDescent="0.25">
      <c r="A176" s="3">
        <v>204</v>
      </c>
      <c r="B176" s="3">
        <v>7</v>
      </c>
    </row>
    <row r="177" spans="1:2" x14ac:dyDescent="0.25">
      <c r="A177" s="3">
        <v>9</v>
      </c>
      <c r="B177" s="3">
        <v>2</v>
      </c>
    </row>
    <row r="178" spans="1:2" x14ac:dyDescent="0.25">
      <c r="A178" s="3">
        <v>392</v>
      </c>
      <c r="B178" s="3">
        <v>8</v>
      </c>
    </row>
    <row r="179" spans="1:2" x14ac:dyDescent="0.25">
      <c r="A179" s="3">
        <v>116</v>
      </c>
      <c r="B179" s="3">
        <v>3</v>
      </c>
    </row>
    <row r="180" spans="1:2" x14ac:dyDescent="0.25">
      <c r="A180" s="3">
        <v>84</v>
      </c>
      <c r="B180" s="3">
        <v>4</v>
      </c>
    </row>
    <row r="181" spans="1:2" x14ac:dyDescent="0.25">
      <c r="A181" s="3">
        <v>213</v>
      </c>
      <c r="B181" s="3">
        <v>6</v>
      </c>
    </row>
    <row r="182" spans="1:2" x14ac:dyDescent="0.25">
      <c r="A182" s="3">
        <v>12</v>
      </c>
      <c r="B182" s="3">
        <v>2</v>
      </c>
    </row>
    <row r="183" spans="1:2" x14ac:dyDescent="0.25">
      <c r="A183" s="3">
        <v>11</v>
      </c>
      <c r="B183" s="3">
        <v>4</v>
      </c>
    </row>
    <row r="184" spans="1:2" x14ac:dyDescent="0.25">
      <c r="A184" s="3">
        <v>12</v>
      </c>
      <c r="B184" s="3">
        <v>6</v>
      </c>
    </row>
    <row r="185" spans="1:2" x14ac:dyDescent="0.25">
      <c r="A185" s="3">
        <v>-79</v>
      </c>
      <c r="B185" s="3">
        <v>2</v>
      </c>
    </row>
    <row r="186" spans="1:2" x14ac:dyDescent="0.25">
      <c r="A186" s="3">
        <v>29</v>
      </c>
      <c r="B186" s="3">
        <v>4</v>
      </c>
    </row>
    <row r="187" spans="1:2" x14ac:dyDescent="0.25">
      <c r="A187" s="3">
        <v>-11</v>
      </c>
      <c r="B187" s="3">
        <v>3</v>
      </c>
    </row>
    <row r="188" spans="1:2" x14ac:dyDescent="0.25">
      <c r="A188" s="3">
        <v>151</v>
      </c>
      <c r="B188" s="3">
        <v>3</v>
      </c>
    </row>
    <row r="189" spans="1:2" x14ac:dyDescent="0.25">
      <c r="A189" s="3">
        <v>8</v>
      </c>
      <c r="B189" s="3">
        <v>2</v>
      </c>
    </row>
    <row r="190" spans="1:2" x14ac:dyDescent="0.25">
      <c r="A190" s="3">
        <v>3</v>
      </c>
      <c r="B190" s="3">
        <v>2</v>
      </c>
    </row>
    <row r="191" spans="1:2" x14ac:dyDescent="0.25">
      <c r="A191" s="3">
        <v>0</v>
      </c>
      <c r="B191" s="3">
        <v>8</v>
      </c>
    </row>
    <row r="192" spans="1:2" x14ac:dyDescent="0.25">
      <c r="A192" s="3">
        <v>114</v>
      </c>
      <c r="B192" s="3">
        <v>9</v>
      </c>
    </row>
    <row r="193" spans="1:2" x14ac:dyDescent="0.25">
      <c r="A193" s="3">
        <v>11</v>
      </c>
      <c r="B193" s="3">
        <v>3</v>
      </c>
    </row>
    <row r="194" spans="1:2" x14ac:dyDescent="0.25">
      <c r="A194" s="3">
        <v>-31</v>
      </c>
      <c r="B194" s="3">
        <v>3</v>
      </c>
    </row>
    <row r="195" spans="1:2" x14ac:dyDescent="0.25">
      <c r="A195" s="3">
        <v>0</v>
      </c>
      <c r="B195" s="3">
        <v>3</v>
      </c>
    </row>
    <row r="196" spans="1:2" x14ac:dyDescent="0.25">
      <c r="A196" s="3">
        <v>8</v>
      </c>
      <c r="B196" s="3">
        <v>2</v>
      </c>
    </row>
    <row r="197" spans="1:2" x14ac:dyDescent="0.25">
      <c r="A197" s="3">
        <v>0</v>
      </c>
      <c r="B197" s="3">
        <v>3</v>
      </c>
    </row>
    <row r="198" spans="1:2" x14ac:dyDescent="0.25">
      <c r="A198" s="3">
        <v>11</v>
      </c>
      <c r="B198" s="3">
        <v>5</v>
      </c>
    </row>
    <row r="199" spans="1:2" x14ac:dyDescent="0.25">
      <c r="A199" s="3">
        <v>3</v>
      </c>
      <c r="B199" s="3">
        <v>3</v>
      </c>
    </row>
    <row r="200" spans="1:2" x14ac:dyDescent="0.25">
      <c r="A200" s="3">
        <v>50</v>
      </c>
      <c r="B200" s="3">
        <v>6</v>
      </c>
    </row>
    <row r="201" spans="1:2" x14ac:dyDescent="0.25">
      <c r="A201" s="3">
        <v>11</v>
      </c>
      <c r="B201" s="3">
        <v>2</v>
      </c>
    </row>
    <row r="202" spans="1:2" x14ac:dyDescent="0.25">
      <c r="A202" s="3">
        <v>11</v>
      </c>
      <c r="B202" s="3">
        <v>5</v>
      </c>
    </row>
    <row r="203" spans="1:2" x14ac:dyDescent="0.25">
      <c r="A203" s="3">
        <v>11</v>
      </c>
      <c r="B203" s="3">
        <v>3</v>
      </c>
    </row>
    <row r="204" spans="1:2" x14ac:dyDescent="0.25">
      <c r="A204" s="3">
        <v>42</v>
      </c>
      <c r="B204" s="3">
        <v>4</v>
      </c>
    </row>
    <row r="205" spans="1:2" x14ac:dyDescent="0.25">
      <c r="A205" s="3">
        <v>50</v>
      </c>
      <c r="B205" s="3">
        <v>5</v>
      </c>
    </row>
    <row r="206" spans="1:2" x14ac:dyDescent="0.25">
      <c r="A206" s="3">
        <v>11</v>
      </c>
      <c r="B206" s="3">
        <v>3</v>
      </c>
    </row>
    <row r="207" spans="1:2" x14ac:dyDescent="0.25">
      <c r="A207" s="3">
        <v>-459</v>
      </c>
      <c r="B207" s="3">
        <v>3</v>
      </c>
    </row>
    <row r="208" spans="1:2" x14ac:dyDescent="0.25">
      <c r="A208" s="3">
        <v>547</v>
      </c>
      <c r="B208" s="3">
        <v>2</v>
      </c>
    </row>
    <row r="209" spans="1:2" x14ac:dyDescent="0.25">
      <c r="A209" s="3">
        <v>0</v>
      </c>
      <c r="B209" s="3">
        <v>3</v>
      </c>
    </row>
    <row r="210" spans="1:2" x14ac:dyDescent="0.25">
      <c r="A210" s="3">
        <v>11</v>
      </c>
      <c r="B210" s="3">
        <v>3</v>
      </c>
    </row>
    <row r="211" spans="1:2" x14ac:dyDescent="0.25">
      <c r="A211" s="3">
        <v>-41</v>
      </c>
      <c r="B211" s="3">
        <v>4</v>
      </c>
    </row>
    <row r="212" spans="1:2" x14ac:dyDescent="0.25">
      <c r="A212" s="3">
        <v>77</v>
      </c>
      <c r="B212" s="3">
        <v>8</v>
      </c>
    </row>
    <row r="213" spans="1:2" x14ac:dyDescent="0.25">
      <c r="A213" s="3">
        <v>2</v>
      </c>
      <c r="B213" s="3">
        <v>2</v>
      </c>
    </row>
    <row r="214" spans="1:2" x14ac:dyDescent="0.25">
      <c r="A214" s="3">
        <v>-90</v>
      </c>
      <c r="B214" s="3">
        <v>3</v>
      </c>
    </row>
    <row r="215" spans="1:2" x14ac:dyDescent="0.25">
      <c r="A215" s="3">
        <v>-35</v>
      </c>
      <c r="B215" s="3">
        <v>1</v>
      </c>
    </row>
    <row r="216" spans="1:2" x14ac:dyDescent="0.25">
      <c r="A216" s="3">
        <v>-37</v>
      </c>
      <c r="B216" s="3">
        <v>2</v>
      </c>
    </row>
    <row r="217" spans="1:2" x14ac:dyDescent="0.25">
      <c r="A217" s="3">
        <v>148</v>
      </c>
      <c r="B217" s="3">
        <v>2</v>
      </c>
    </row>
    <row r="218" spans="1:2" x14ac:dyDescent="0.25">
      <c r="A218" s="3">
        <v>53</v>
      </c>
      <c r="B218" s="3">
        <v>3</v>
      </c>
    </row>
    <row r="219" spans="1:2" x14ac:dyDescent="0.25">
      <c r="A219" s="3">
        <v>-45</v>
      </c>
      <c r="B219" s="3">
        <v>2</v>
      </c>
    </row>
    <row r="220" spans="1:2" x14ac:dyDescent="0.25">
      <c r="A220" s="3">
        <v>11</v>
      </c>
      <c r="B220" s="3">
        <v>1</v>
      </c>
    </row>
    <row r="221" spans="1:2" x14ac:dyDescent="0.25">
      <c r="A221" s="3">
        <v>-50</v>
      </c>
      <c r="B221" s="3">
        <v>7</v>
      </c>
    </row>
    <row r="222" spans="1:2" x14ac:dyDescent="0.25">
      <c r="A222" s="3">
        <v>-36</v>
      </c>
      <c r="B222" s="3">
        <v>2</v>
      </c>
    </row>
    <row r="223" spans="1:2" x14ac:dyDescent="0.25">
      <c r="A223" s="3">
        <v>161</v>
      </c>
      <c r="B223" s="3">
        <v>2</v>
      </c>
    </row>
    <row r="224" spans="1:2" x14ac:dyDescent="0.25">
      <c r="A224" s="3">
        <v>8</v>
      </c>
      <c r="B224" s="3">
        <v>2</v>
      </c>
    </row>
    <row r="225" spans="1:2" x14ac:dyDescent="0.25">
      <c r="A225" s="3">
        <v>-272</v>
      </c>
      <c r="B225" s="3">
        <v>5</v>
      </c>
    </row>
    <row r="226" spans="1:2" x14ac:dyDescent="0.25">
      <c r="A226" s="3">
        <v>4</v>
      </c>
      <c r="B226" s="3">
        <v>4</v>
      </c>
    </row>
    <row r="227" spans="1:2" x14ac:dyDescent="0.25">
      <c r="A227" s="3">
        <v>357</v>
      </c>
      <c r="B227" s="3">
        <v>2</v>
      </c>
    </row>
    <row r="228" spans="1:2" x14ac:dyDescent="0.25">
      <c r="A228" s="3">
        <v>70</v>
      </c>
      <c r="B228" s="3">
        <v>7</v>
      </c>
    </row>
    <row r="229" spans="1:2" x14ac:dyDescent="0.25">
      <c r="A229" s="3">
        <v>49</v>
      </c>
      <c r="B229" s="3">
        <v>3</v>
      </c>
    </row>
    <row r="230" spans="1:2" x14ac:dyDescent="0.25">
      <c r="A230" s="3">
        <v>48</v>
      </c>
      <c r="B230" s="3">
        <v>4</v>
      </c>
    </row>
    <row r="231" spans="1:2" x14ac:dyDescent="0.25">
      <c r="A231" s="3">
        <v>-77</v>
      </c>
      <c r="B231" s="3">
        <v>11</v>
      </c>
    </row>
    <row r="232" spans="1:2" x14ac:dyDescent="0.25">
      <c r="A232" s="3">
        <v>199</v>
      </c>
      <c r="B232" s="3">
        <v>3</v>
      </c>
    </row>
    <row r="233" spans="1:2" x14ac:dyDescent="0.25">
      <c r="A233" s="3">
        <v>-45</v>
      </c>
      <c r="B233" s="3">
        <v>4</v>
      </c>
    </row>
    <row r="234" spans="1:2" x14ac:dyDescent="0.25">
      <c r="A234" s="3">
        <v>50</v>
      </c>
      <c r="B234" s="3">
        <v>6</v>
      </c>
    </row>
    <row r="235" spans="1:2" x14ac:dyDescent="0.25">
      <c r="A235" s="3">
        <v>-25</v>
      </c>
      <c r="B235" s="3">
        <v>2</v>
      </c>
    </row>
    <row r="236" spans="1:2" x14ac:dyDescent="0.25">
      <c r="A236" s="3">
        <v>12</v>
      </c>
      <c r="B236" s="3">
        <v>1</v>
      </c>
    </row>
    <row r="237" spans="1:2" x14ac:dyDescent="0.25">
      <c r="A237" s="3">
        <v>1</v>
      </c>
      <c r="B237" s="3">
        <v>1</v>
      </c>
    </row>
    <row r="238" spans="1:2" x14ac:dyDescent="0.25">
      <c r="A238" s="3">
        <v>-314</v>
      </c>
      <c r="B238" s="3">
        <v>9</v>
      </c>
    </row>
    <row r="239" spans="1:2" x14ac:dyDescent="0.25">
      <c r="A239" s="3">
        <v>2</v>
      </c>
      <c r="B239" s="3">
        <v>4</v>
      </c>
    </row>
    <row r="240" spans="1:2" x14ac:dyDescent="0.25">
      <c r="A240" s="3">
        <v>8</v>
      </c>
      <c r="B240" s="3">
        <v>5</v>
      </c>
    </row>
    <row r="241" spans="1:2" x14ac:dyDescent="0.25">
      <c r="A241" s="3">
        <v>13</v>
      </c>
      <c r="B241" s="3">
        <v>1</v>
      </c>
    </row>
    <row r="242" spans="1:2" x14ac:dyDescent="0.25">
      <c r="A242" s="3">
        <v>412</v>
      </c>
      <c r="B242" s="3">
        <v>6</v>
      </c>
    </row>
    <row r="243" spans="1:2" x14ac:dyDescent="0.25">
      <c r="A243" s="3">
        <v>-23</v>
      </c>
      <c r="B243" s="3">
        <v>2</v>
      </c>
    </row>
    <row r="244" spans="1:2" x14ac:dyDescent="0.25">
      <c r="A244" s="3">
        <v>-5</v>
      </c>
      <c r="B244" s="3">
        <v>5</v>
      </c>
    </row>
    <row r="245" spans="1:2" x14ac:dyDescent="0.25">
      <c r="A245" s="3">
        <v>27</v>
      </c>
      <c r="B245" s="3">
        <v>4</v>
      </c>
    </row>
    <row r="246" spans="1:2" x14ac:dyDescent="0.25">
      <c r="A246" s="3">
        <v>-124</v>
      </c>
      <c r="B246" s="3">
        <v>5</v>
      </c>
    </row>
    <row r="247" spans="1:2" x14ac:dyDescent="0.25">
      <c r="A247" s="3">
        <v>1</v>
      </c>
      <c r="B247" s="3">
        <v>2</v>
      </c>
    </row>
    <row r="248" spans="1:2" x14ac:dyDescent="0.25">
      <c r="A248" s="3">
        <v>86</v>
      </c>
      <c r="B248" s="3">
        <v>3</v>
      </c>
    </row>
    <row r="249" spans="1:2" x14ac:dyDescent="0.25">
      <c r="A249" s="3">
        <v>126</v>
      </c>
      <c r="B249" s="3">
        <v>2</v>
      </c>
    </row>
    <row r="250" spans="1:2" x14ac:dyDescent="0.25">
      <c r="A250" s="3">
        <v>66</v>
      </c>
      <c r="B250" s="3">
        <v>7</v>
      </c>
    </row>
    <row r="251" spans="1:2" x14ac:dyDescent="0.25">
      <c r="A251" s="3">
        <v>2</v>
      </c>
      <c r="B251" s="3">
        <v>6</v>
      </c>
    </row>
    <row r="252" spans="1:2" x14ac:dyDescent="0.25">
      <c r="A252" s="3">
        <v>118</v>
      </c>
      <c r="B252" s="3">
        <v>5</v>
      </c>
    </row>
    <row r="253" spans="1:2" x14ac:dyDescent="0.25">
      <c r="A253" s="3">
        <v>-56</v>
      </c>
      <c r="B253" s="3">
        <v>2</v>
      </c>
    </row>
    <row r="254" spans="1:2" x14ac:dyDescent="0.25">
      <c r="A254" s="3">
        <v>14</v>
      </c>
      <c r="B254" s="3">
        <v>3</v>
      </c>
    </row>
    <row r="255" spans="1:2" x14ac:dyDescent="0.25">
      <c r="A255" s="3">
        <v>111</v>
      </c>
      <c r="B255" s="3">
        <v>8</v>
      </c>
    </row>
    <row r="256" spans="1:2" x14ac:dyDescent="0.25">
      <c r="A256" s="3">
        <v>93</v>
      </c>
      <c r="B256" s="3">
        <v>2</v>
      </c>
    </row>
    <row r="257" spans="1:2" x14ac:dyDescent="0.25">
      <c r="A257" s="3">
        <v>-116</v>
      </c>
      <c r="B257" s="3">
        <v>4</v>
      </c>
    </row>
    <row r="258" spans="1:2" x14ac:dyDescent="0.25">
      <c r="A258" s="3">
        <v>212</v>
      </c>
      <c r="B258" s="3">
        <v>3</v>
      </c>
    </row>
    <row r="259" spans="1:2" x14ac:dyDescent="0.25">
      <c r="A259" s="3">
        <v>3</v>
      </c>
      <c r="B259" s="3">
        <v>4</v>
      </c>
    </row>
    <row r="260" spans="1:2" x14ac:dyDescent="0.25">
      <c r="A260" s="3">
        <v>-22</v>
      </c>
      <c r="B260" s="3">
        <v>4</v>
      </c>
    </row>
    <row r="261" spans="1:2" x14ac:dyDescent="0.25">
      <c r="A261" s="3">
        <v>6</v>
      </c>
      <c r="B261" s="3">
        <v>3</v>
      </c>
    </row>
    <row r="262" spans="1:2" x14ac:dyDescent="0.25">
      <c r="A262" s="3">
        <v>-192</v>
      </c>
      <c r="B262" s="3">
        <v>3</v>
      </c>
    </row>
    <row r="263" spans="1:2" x14ac:dyDescent="0.25">
      <c r="A263" s="3">
        <v>151</v>
      </c>
      <c r="B263" s="3">
        <v>3</v>
      </c>
    </row>
    <row r="264" spans="1:2" x14ac:dyDescent="0.25">
      <c r="A264" s="3">
        <v>-16</v>
      </c>
      <c r="B264" s="3">
        <v>6</v>
      </c>
    </row>
    <row r="265" spans="1:2" x14ac:dyDescent="0.25">
      <c r="A265" s="3">
        <v>-5</v>
      </c>
      <c r="B265" s="3">
        <v>5</v>
      </c>
    </row>
    <row r="266" spans="1:2" x14ac:dyDescent="0.25">
      <c r="A266" s="3">
        <v>234</v>
      </c>
      <c r="B266" s="3">
        <v>6</v>
      </c>
    </row>
    <row r="267" spans="1:2" x14ac:dyDescent="0.25">
      <c r="A267" s="3">
        <v>68</v>
      </c>
      <c r="B267" s="3">
        <v>3</v>
      </c>
    </row>
    <row r="268" spans="1:2" x14ac:dyDescent="0.25">
      <c r="A268" s="3">
        <v>13</v>
      </c>
      <c r="B268" s="3">
        <v>3</v>
      </c>
    </row>
    <row r="269" spans="1:2" x14ac:dyDescent="0.25">
      <c r="A269" s="3">
        <v>-13</v>
      </c>
      <c r="B269" s="3">
        <v>2</v>
      </c>
    </row>
    <row r="270" spans="1:2" x14ac:dyDescent="0.25">
      <c r="A270" s="3">
        <v>88</v>
      </c>
      <c r="B270" s="3">
        <v>2</v>
      </c>
    </row>
    <row r="271" spans="1:2" x14ac:dyDescent="0.25">
      <c r="A271" s="3">
        <v>144</v>
      </c>
      <c r="B271" s="3">
        <v>2</v>
      </c>
    </row>
    <row r="272" spans="1:2" x14ac:dyDescent="0.25">
      <c r="A272" s="3">
        <v>143</v>
      </c>
      <c r="B272" s="3">
        <v>4</v>
      </c>
    </row>
    <row r="273" spans="1:2" x14ac:dyDescent="0.25">
      <c r="A273" s="3">
        <v>84</v>
      </c>
      <c r="B273" s="3">
        <v>3</v>
      </c>
    </row>
    <row r="274" spans="1:2" x14ac:dyDescent="0.25">
      <c r="A274" s="3">
        <v>-29</v>
      </c>
      <c r="B274" s="3">
        <v>3</v>
      </c>
    </row>
    <row r="275" spans="1:2" x14ac:dyDescent="0.25">
      <c r="A275" s="3">
        <v>107</v>
      </c>
      <c r="B275" s="3">
        <v>3</v>
      </c>
    </row>
    <row r="276" spans="1:2" x14ac:dyDescent="0.25">
      <c r="A276" s="3">
        <v>-100</v>
      </c>
      <c r="B276" s="3">
        <v>2</v>
      </c>
    </row>
    <row r="277" spans="1:2" x14ac:dyDescent="0.25">
      <c r="A277" s="3">
        <v>-338</v>
      </c>
      <c r="B277" s="3">
        <v>5</v>
      </c>
    </row>
    <row r="278" spans="1:2" x14ac:dyDescent="0.25">
      <c r="A278" s="3">
        <v>-47</v>
      </c>
      <c r="B278" s="3">
        <v>8</v>
      </c>
    </row>
    <row r="279" spans="1:2" x14ac:dyDescent="0.25">
      <c r="A279" s="3">
        <v>199</v>
      </c>
      <c r="B279" s="3">
        <v>4</v>
      </c>
    </row>
    <row r="280" spans="1:2" x14ac:dyDescent="0.25">
      <c r="A280" s="3">
        <v>-23</v>
      </c>
      <c r="B280" s="3">
        <v>4</v>
      </c>
    </row>
    <row r="281" spans="1:2" x14ac:dyDescent="0.25">
      <c r="A281" s="3">
        <v>10</v>
      </c>
      <c r="B281" s="3">
        <v>2</v>
      </c>
    </row>
    <row r="282" spans="1:2" x14ac:dyDescent="0.25">
      <c r="A282" s="3">
        <v>108</v>
      </c>
      <c r="B282" s="3">
        <v>3</v>
      </c>
    </row>
    <row r="283" spans="1:2" x14ac:dyDescent="0.25">
      <c r="A283" s="3">
        <v>-103</v>
      </c>
      <c r="B283" s="3">
        <v>4</v>
      </c>
    </row>
    <row r="284" spans="1:2" x14ac:dyDescent="0.25">
      <c r="A284" s="3">
        <v>-8</v>
      </c>
      <c r="B284" s="3">
        <v>2</v>
      </c>
    </row>
    <row r="285" spans="1:2" x14ac:dyDescent="0.25">
      <c r="A285" s="3">
        <v>41</v>
      </c>
      <c r="B285" s="3">
        <v>4</v>
      </c>
    </row>
    <row r="286" spans="1:2" x14ac:dyDescent="0.25">
      <c r="A286" s="3">
        <v>57</v>
      </c>
      <c r="B286" s="3">
        <v>2</v>
      </c>
    </row>
    <row r="287" spans="1:2" x14ac:dyDescent="0.25">
      <c r="A287" s="3">
        <v>71</v>
      </c>
      <c r="B287" s="3">
        <v>3</v>
      </c>
    </row>
    <row r="288" spans="1:2" x14ac:dyDescent="0.25">
      <c r="A288" s="3">
        <v>4</v>
      </c>
      <c r="B288" s="3">
        <v>1</v>
      </c>
    </row>
    <row r="289" spans="1:2" x14ac:dyDescent="0.25">
      <c r="A289" s="3">
        <v>50</v>
      </c>
      <c r="B289" s="3">
        <v>2</v>
      </c>
    </row>
    <row r="290" spans="1:2" x14ac:dyDescent="0.25">
      <c r="A290" s="3">
        <v>7</v>
      </c>
      <c r="B290" s="3">
        <v>3</v>
      </c>
    </row>
    <row r="291" spans="1:2" x14ac:dyDescent="0.25">
      <c r="A291" s="3">
        <v>-15</v>
      </c>
      <c r="B291" s="3">
        <v>3</v>
      </c>
    </row>
    <row r="292" spans="1:2" x14ac:dyDescent="0.25">
      <c r="A292" s="3">
        <v>114</v>
      </c>
      <c r="B292" s="3">
        <v>4</v>
      </c>
    </row>
    <row r="293" spans="1:2" x14ac:dyDescent="0.25">
      <c r="A293" s="3">
        <v>6</v>
      </c>
      <c r="B293" s="3">
        <v>3</v>
      </c>
    </row>
    <row r="294" spans="1:2" x14ac:dyDescent="0.25">
      <c r="A294" s="3">
        <v>32</v>
      </c>
      <c r="B294" s="3">
        <v>7</v>
      </c>
    </row>
    <row r="295" spans="1:2" x14ac:dyDescent="0.25">
      <c r="A295" s="3">
        <v>-6</v>
      </c>
      <c r="B295" s="3">
        <v>7</v>
      </c>
    </row>
    <row r="296" spans="1:2" x14ac:dyDescent="0.25">
      <c r="A296" s="3">
        <v>-33</v>
      </c>
      <c r="B296" s="3">
        <v>4</v>
      </c>
    </row>
    <row r="297" spans="1:2" x14ac:dyDescent="0.25">
      <c r="A297" s="3">
        <v>-12</v>
      </c>
      <c r="B297" s="3">
        <v>3</v>
      </c>
    </row>
    <row r="298" spans="1:2" x14ac:dyDescent="0.25">
      <c r="A298" s="3">
        <v>36</v>
      </c>
      <c r="B298" s="3">
        <v>6</v>
      </c>
    </row>
    <row r="299" spans="1:2" x14ac:dyDescent="0.25">
      <c r="A299" s="3">
        <v>-312</v>
      </c>
      <c r="B299" s="3">
        <v>7</v>
      </c>
    </row>
    <row r="300" spans="1:2" x14ac:dyDescent="0.25">
      <c r="A300" s="3">
        <v>25</v>
      </c>
      <c r="B300" s="3">
        <v>3</v>
      </c>
    </row>
    <row r="301" spans="1:2" x14ac:dyDescent="0.25">
      <c r="A301" s="3">
        <v>62</v>
      </c>
      <c r="B301" s="3">
        <v>1</v>
      </c>
    </row>
    <row r="302" spans="1:2" x14ac:dyDescent="0.25">
      <c r="A302" s="3">
        <v>72</v>
      </c>
      <c r="B302" s="3">
        <v>2</v>
      </c>
    </row>
    <row r="303" spans="1:2" x14ac:dyDescent="0.25">
      <c r="A303" s="3">
        <v>5</v>
      </c>
      <c r="B303" s="3">
        <v>2</v>
      </c>
    </row>
    <row r="304" spans="1:2" x14ac:dyDescent="0.25">
      <c r="A304" s="3">
        <v>-5</v>
      </c>
      <c r="B304" s="3">
        <v>3</v>
      </c>
    </row>
    <row r="305" spans="1:2" x14ac:dyDescent="0.25">
      <c r="A305" s="3">
        <v>-200</v>
      </c>
      <c r="B305" s="3">
        <v>4</v>
      </c>
    </row>
    <row r="306" spans="1:2" x14ac:dyDescent="0.25">
      <c r="A306" s="3">
        <v>26</v>
      </c>
      <c r="B306" s="3">
        <v>11</v>
      </c>
    </row>
    <row r="307" spans="1:2" x14ac:dyDescent="0.25">
      <c r="A307" s="3">
        <v>0</v>
      </c>
      <c r="B307" s="3">
        <v>6</v>
      </c>
    </row>
    <row r="308" spans="1:2" x14ac:dyDescent="0.25">
      <c r="A308" s="3">
        <v>17</v>
      </c>
      <c r="B308" s="3">
        <v>3</v>
      </c>
    </row>
    <row r="309" spans="1:2" x14ac:dyDescent="0.25">
      <c r="A309" s="3">
        <v>113</v>
      </c>
      <c r="B309" s="3">
        <v>2</v>
      </c>
    </row>
    <row r="310" spans="1:2" x14ac:dyDescent="0.25">
      <c r="A310" s="3">
        <v>74</v>
      </c>
      <c r="B310" s="3">
        <v>2</v>
      </c>
    </row>
    <row r="311" spans="1:2" x14ac:dyDescent="0.25">
      <c r="A311" s="3">
        <v>7</v>
      </c>
      <c r="B311" s="3">
        <v>7</v>
      </c>
    </row>
    <row r="312" spans="1:2" x14ac:dyDescent="0.25">
      <c r="A312" s="3">
        <v>225</v>
      </c>
      <c r="B312" s="3">
        <v>11</v>
      </c>
    </row>
    <row r="313" spans="1:2" x14ac:dyDescent="0.25">
      <c r="A313" s="3">
        <v>17</v>
      </c>
      <c r="B313" s="3">
        <v>3</v>
      </c>
    </row>
    <row r="314" spans="1:2" x14ac:dyDescent="0.25">
      <c r="A314" s="3">
        <v>93</v>
      </c>
      <c r="B314" s="3">
        <v>2</v>
      </c>
    </row>
    <row r="315" spans="1:2" x14ac:dyDescent="0.25">
      <c r="A315" s="3">
        <v>-39</v>
      </c>
      <c r="B315" s="3">
        <v>1</v>
      </c>
    </row>
    <row r="316" spans="1:2" x14ac:dyDescent="0.25">
      <c r="A316" s="3">
        <v>119</v>
      </c>
      <c r="B316" s="3">
        <v>11</v>
      </c>
    </row>
    <row r="317" spans="1:2" x14ac:dyDescent="0.25">
      <c r="A317" s="3">
        <v>-66</v>
      </c>
      <c r="B317" s="3">
        <v>6</v>
      </c>
    </row>
    <row r="318" spans="1:2" x14ac:dyDescent="0.25">
      <c r="A318" s="3">
        <v>15</v>
      </c>
      <c r="B318" s="3">
        <v>1</v>
      </c>
    </row>
    <row r="319" spans="1:2" x14ac:dyDescent="0.25">
      <c r="A319" s="3">
        <v>61</v>
      </c>
      <c r="B319" s="3">
        <v>3</v>
      </c>
    </row>
    <row r="320" spans="1:2" x14ac:dyDescent="0.25">
      <c r="A320" s="3">
        <v>128</v>
      </c>
      <c r="B320" s="3">
        <v>2</v>
      </c>
    </row>
    <row r="321" spans="1:2" x14ac:dyDescent="0.25">
      <c r="A321" s="3">
        <v>3</v>
      </c>
      <c r="B321" s="3">
        <v>1</v>
      </c>
    </row>
    <row r="322" spans="1:2" x14ac:dyDescent="0.25">
      <c r="A322" s="3">
        <v>-7</v>
      </c>
      <c r="B322" s="3">
        <v>4</v>
      </c>
    </row>
    <row r="323" spans="1:2" x14ac:dyDescent="0.25">
      <c r="A323" s="3">
        <v>-87</v>
      </c>
      <c r="B323" s="3">
        <v>4</v>
      </c>
    </row>
    <row r="324" spans="1:2" x14ac:dyDescent="0.25">
      <c r="A324" s="3">
        <v>91</v>
      </c>
      <c r="B324" s="3">
        <v>1</v>
      </c>
    </row>
    <row r="325" spans="1:2" x14ac:dyDescent="0.25">
      <c r="A325" s="3">
        <v>5</v>
      </c>
      <c r="B325" s="3">
        <v>1</v>
      </c>
    </row>
    <row r="326" spans="1:2" x14ac:dyDescent="0.25">
      <c r="A326" s="3">
        <v>2</v>
      </c>
      <c r="B326" s="3">
        <v>2</v>
      </c>
    </row>
    <row r="327" spans="1:2" x14ac:dyDescent="0.25">
      <c r="A327" s="3">
        <v>-26</v>
      </c>
      <c r="B327" s="3">
        <v>3</v>
      </c>
    </row>
    <row r="328" spans="1:2" x14ac:dyDescent="0.25">
      <c r="A328" s="3">
        <v>16</v>
      </c>
      <c r="B328" s="3">
        <v>3</v>
      </c>
    </row>
    <row r="329" spans="1:2" x14ac:dyDescent="0.25">
      <c r="A329" s="3">
        <v>19</v>
      </c>
      <c r="B329" s="3">
        <v>2</v>
      </c>
    </row>
    <row r="330" spans="1:2" x14ac:dyDescent="0.25">
      <c r="A330" s="3">
        <v>-63</v>
      </c>
      <c r="B330" s="3">
        <v>2</v>
      </c>
    </row>
    <row r="331" spans="1:2" x14ac:dyDescent="0.25">
      <c r="A331" s="3">
        <v>97</v>
      </c>
      <c r="B331" s="3">
        <v>7</v>
      </c>
    </row>
    <row r="332" spans="1:2" x14ac:dyDescent="0.25">
      <c r="A332" s="3">
        <v>7</v>
      </c>
      <c r="B332" s="3">
        <v>3</v>
      </c>
    </row>
    <row r="333" spans="1:2" x14ac:dyDescent="0.25">
      <c r="A333" s="3">
        <v>68</v>
      </c>
      <c r="B333" s="3">
        <v>2</v>
      </c>
    </row>
    <row r="334" spans="1:2" x14ac:dyDescent="0.25">
      <c r="A334" s="3">
        <v>19</v>
      </c>
      <c r="B334" s="3">
        <v>5</v>
      </c>
    </row>
    <row r="335" spans="1:2" x14ac:dyDescent="0.25">
      <c r="A335" s="3">
        <v>13</v>
      </c>
      <c r="B335" s="3">
        <v>6</v>
      </c>
    </row>
    <row r="336" spans="1:2" x14ac:dyDescent="0.25">
      <c r="A336" s="3">
        <v>30</v>
      </c>
      <c r="B336" s="3">
        <v>3</v>
      </c>
    </row>
    <row r="337" spans="1:2" x14ac:dyDescent="0.25">
      <c r="A337" s="3">
        <v>251</v>
      </c>
      <c r="B337" s="3">
        <v>5</v>
      </c>
    </row>
    <row r="338" spans="1:2" x14ac:dyDescent="0.25">
      <c r="A338" s="3">
        <v>0</v>
      </c>
      <c r="B338" s="3">
        <v>3</v>
      </c>
    </row>
    <row r="339" spans="1:2" x14ac:dyDescent="0.25">
      <c r="A339" s="3">
        <v>-43</v>
      </c>
      <c r="B339" s="3">
        <v>7</v>
      </c>
    </row>
    <row r="340" spans="1:2" x14ac:dyDescent="0.25">
      <c r="A340" s="3">
        <v>29</v>
      </c>
      <c r="B340" s="3">
        <v>3</v>
      </c>
    </row>
    <row r="341" spans="1:2" x14ac:dyDescent="0.25">
      <c r="A341" s="3">
        <v>-26</v>
      </c>
      <c r="B341" s="3">
        <v>3</v>
      </c>
    </row>
    <row r="342" spans="1:2" x14ac:dyDescent="0.25">
      <c r="A342" s="3">
        <v>-55</v>
      </c>
      <c r="B342" s="3">
        <v>2</v>
      </c>
    </row>
    <row r="343" spans="1:2" x14ac:dyDescent="0.25">
      <c r="A343" s="3">
        <v>23</v>
      </c>
      <c r="B343" s="3">
        <v>5</v>
      </c>
    </row>
    <row r="344" spans="1:2" x14ac:dyDescent="0.25">
      <c r="A344" s="3">
        <v>27</v>
      </c>
      <c r="B344" s="3">
        <v>5</v>
      </c>
    </row>
    <row r="345" spans="1:2" x14ac:dyDescent="0.25">
      <c r="A345" s="3">
        <v>-32</v>
      </c>
      <c r="B345" s="3">
        <v>3</v>
      </c>
    </row>
    <row r="346" spans="1:2" x14ac:dyDescent="0.25">
      <c r="A346" s="3">
        <v>3</v>
      </c>
      <c r="B346" s="3">
        <v>2</v>
      </c>
    </row>
    <row r="347" spans="1:2" x14ac:dyDescent="0.25">
      <c r="A347" s="3">
        <v>76</v>
      </c>
      <c r="B347" s="3">
        <v>9</v>
      </c>
    </row>
    <row r="348" spans="1:2" x14ac:dyDescent="0.25">
      <c r="A348" s="3">
        <v>14</v>
      </c>
      <c r="B348" s="3">
        <v>3</v>
      </c>
    </row>
    <row r="349" spans="1:2" x14ac:dyDescent="0.25">
      <c r="A349" s="3">
        <v>-2</v>
      </c>
      <c r="B349" s="3">
        <v>4</v>
      </c>
    </row>
    <row r="350" spans="1:2" x14ac:dyDescent="0.25">
      <c r="A350" s="3">
        <v>-3</v>
      </c>
      <c r="B350" s="3">
        <v>1</v>
      </c>
    </row>
    <row r="351" spans="1:2" x14ac:dyDescent="0.25">
      <c r="A351" s="3">
        <v>119</v>
      </c>
      <c r="B351" s="3">
        <v>2</v>
      </c>
    </row>
    <row r="352" spans="1:2" x14ac:dyDescent="0.25">
      <c r="A352" s="3">
        <v>100</v>
      </c>
      <c r="B352" s="3">
        <v>3</v>
      </c>
    </row>
    <row r="353" spans="1:2" x14ac:dyDescent="0.25">
      <c r="A353" s="3">
        <v>-15</v>
      </c>
      <c r="B353" s="3">
        <v>2</v>
      </c>
    </row>
    <row r="354" spans="1:2" x14ac:dyDescent="0.25">
      <c r="A354" s="3">
        <v>61</v>
      </c>
      <c r="B354" s="3">
        <v>2</v>
      </c>
    </row>
    <row r="355" spans="1:2" x14ac:dyDescent="0.25">
      <c r="A355" s="3">
        <v>25</v>
      </c>
      <c r="B355" s="3">
        <v>5</v>
      </c>
    </row>
    <row r="356" spans="1:2" x14ac:dyDescent="0.25">
      <c r="A356" s="3">
        <v>98</v>
      </c>
      <c r="B356" s="3">
        <v>5</v>
      </c>
    </row>
    <row r="357" spans="1:2" x14ac:dyDescent="0.25">
      <c r="A357" s="3">
        <v>99</v>
      </c>
      <c r="B357" s="3">
        <v>3</v>
      </c>
    </row>
    <row r="358" spans="1:2" x14ac:dyDescent="0.25">
      <c r="A358" s="3">
        <v>-78</v>
      </c>
      <c r="B358" s="3">
        <v>3</v>
      </c>
    </row>
    <row r="359" spans="1:2" x14ac:dyDescent="0.25">
      <c r="A359" s="3">
        <v>30</v>
      </c>
      <c r="B359" s="3">
        <v>2</v>
      </c>
    </row>
    <row r="360" spans="1:2" x14ac:dyDescent="0.25">
      <c r="A360" s="3">
        <v>0</v>
      </c>
      <c r="B360" s="3">
        <v>7</v>
      </c>
    </row>
    <row r="361" spans="1:2" x14ac:dyDescent="0.25">
      <c r="A361" s="3">
        <v>1</v>
      </c>
      <c r="B361" s="3">
        <v>3</v>
      </c>
    </row>
    <row r="362" spans="1:2" x14ac:dyDescent="0.25">
      <c r="A362" s="3">
        <v>-28</v>
      </c>
      <c r="B362" s="3">
        <v>2</v>
      </c>
    </row>
    <row r="363" spans="1:2" x14ac:dyDescent="0.25">
      <c r="A363" s="3">
        <v>-122</v>
      </c>
      <c r="B363" s="3">
        <v>5</v>
      </c>
    </row>
    <row r="364" spans="1:2" x14ac:dyDescent="0.25">
      <c r="A364" s="3">
        <v>83</v>
      </c>
      <c r="B364" s="3">
        <v>2</v>
      </c>
    </row>
    <row r="365" spans="1:2" x14ac:dyDescent="0.25">
      <c r="A365" s="3">
        <v>4</v>
      </c>
      <c r="B365" s="3">
        <v>1</v>
      </c>
    </row>
    <row r="366" spans="1:2" x14ac:dyDescent="0.25">
      <c r="A366" s="3">
        <v>180</v>
      </c>
      <c r="B366" s="3">
        <v>3</v>
      </c>
    </row>
    <row r="367" spans="1:2" x14ac:dyDescent="0.25">
      <c r="A367" s="3">
        <v>14</v>
      </c>
      <c r="B367" s="3">
        <v>5</v>
      </c>
    </row>
    <row r="368" spans="1:2" x14ac:dyDescent="0.25">
      <c r="A368" s="3">
        <v>-31</v>
      </c>
      <c r="B368" s="3">
        <v>2</v>
      </c>
    </row>
    <row r="369" spans="1:2" x14ac:dyDescent="0.25">
      <c r="A369" s="3">
        <v>-20</v>
      </c>
      <c r="B369" s="3">
        <v>2</v>
      </c>
    </row>
    <row r="370" spans="1:2" x14ac:dyDescent="0.25">
      <c r="A370" s="3">
        <v>-114</v>
      </c>
      <c r="B370" s="3">
        <v>7</v>
      </c>
    </row>
    <row r="371" spans="1:2" x14ac:dyDescent="0.25">
      <c r="A371" s="3">
        <v>8</v>
      </c>
      <c r="B371" s="3">
        <v>5</v>
      </c>
    </row>
    <row r="372" spans="1:2" x14ac:dyDescent="0.25">
      <c r="A372" s="3">
        <v>-14</v>
      </c>
      <c r="B372" s="3">
        <v>2</v>
      </c>
    </row>
    <row r="373" spans="1:2" x14ac:dyDescent="0.25">
      <c r="A373" s="3">
        <v>-77</v>
      </c>
      <c r="B373" s="3">
        <v>4</v>
      </c>
    </row>
    <row r="374" spans="1:2" x14ac:dyDescent="0.25">
      <c r="A374" s="3">
        <v>15</v>
      </c>
      <c r="B374" s="3">
        <v>5</v>
      </c>
    </row>
    <row r="375" spans="1:2" x14ac:dyDescent="0.25">
      <c r="A375" s="3">
        <v>-10</v>
      </c>
      <c r="B375" s="3">
        <v>6</v>
      </c>
    </row>
    <row r="376" spans="1:2" x14ac:dyDescent="0.25">
      <c r="A376" s="3">
        <v>6</v>
      </c>
      <c r="B376" s="3">
        <v>2</v>
      </c>
    </row>
    <row r="377" spans="1:2" x14ac:dyDescent="0.25">
      <c r="A377" s="3">
        <v>24</v>
      </c>
      <c r="B377" s="3">
        <v>3</v>
      </c>
    </row>
    <row r="378" spans="1:2" x14ac:dyDescent="0.25">
      <c r="A378" s="3">
        <v>-28</v>
      </c>
      <c r="B378" s="3">
        <v>3</v>
      </c>
    </row>
    <row r="379" spans="1:2" x14ac:dyDescent="0.25">
      <c r="A379" s="3">
        <v>-30</v>
      </c>
      <c r="B379" s="3">
        <v>1</v>
      </c>
    </row>
    <row r="380" spans="1:2" x14ac:dyDescent="0.25">
      <c r="A380" s="3">
        <v>18</v>
      </c>
      <c r="B380" s="3">
        <v>5</v>
      </c>
    </row>
    <row r="381" spans="1:2" x14ac:dyDescent="0.25">
      <c r="A381" s="3">
        <v>-162</v>
      </c>
      <c r="B381" s="3">
        <v>5</v>
      </c>
    </row>
    <row r="382" spans="1:2" x14ac:dyDescent="0.25">
      <c r="A382" s="3">
        <v>6</v>
      </c>
      <c r="B382" s="3">
        <v>3</v>
      </c>
    </row>
    <row r="383" spans="1:2" x14ac:dyDescent="0.25">
      <c r="A383" s="3">
        <v>20</v>
      </c>
      <c r="B383" s="3">
        <v>2</v>
      </c>
    </row>
    <row r="384" spans="1:2" x14ac:dyDescent="0.25">
      <c r="A384" s="3">
        <v>16</v>
      </c>
      <c r="B384" s="3">
        <v>3</v>
      </c>
    </row>
    <row r="385" spans="1:2" x14ac:dyDescent="0.25">
      <c r="A385" s="3">
        <v>22</v>
      </c>
      <c r="B385" s="3">
        <v>3</v>
      </c>
    </row>
    <row r="386" spans="1:2" x14ac:dyDescent="0.25">
      <c r="A386" s="3">
        <v>24</v>
      </c>
      <c r="B386" s="3">
        <v>1</v>
      </c>
    </row>
    <row r="387" spans="1:2" x14ac:dyDescent="0.25">
      <c r="A387" s="3">
        <v>-10</v>
      </c>
      <c r="B387" s="3">
        <v>5</v>
      </c>
    </row>
    <row r="388" spans="1:2" x14ac:dyDescent="0.25">
      <c r="A388" s="3">
        <v>-2</v>
      </c>
      <c r="B388" s="3">
        <v>3</v>
      </c>
    </row>
    <row r="389" spans="1:2" x14ac:dyDescent="0.25">
      <c r="A389" s="3">
        <v>8</v>
      </c>
      <c r="B389" s="3">
        <v>4</v>
      </c>
    </row>
    <row r="390" spans="1:2" x14ac:dyDescent="0.25">
      <c r="A390" s="3">
        <v>-345</v>
      </c>
      <c r="B390" s="3">
        <v>5</v>
      </c>
    </row>
    <row r="391" spans="1:2" x14ac:dyDescent="0.25">
      <c r="A391" s="3">
        <v>0</v>
      </c>
      <c r="B391" s="3">
        <v>7</v>
      </c>
    </row>
    <row r="392" spans="1:2" x14ac:dyDescent="0.25">
      <c r="A392" s="3">
        <v>-85</v>
      </c>
      <c r="B392" s="3">
        <v>6</v>
      </c>
    </row>
    <row r="393" spans="1:2" x14ac:dyDescent="0.25">
      <c r="A393" s="3">
        <v>12</v>
      </c>
      <c r="B393" s="3">
        <v>3</v>
      </c>
    </row>
    <row r="394" spans="1:2" x14ac:dyDescent="0.25">
      <c r="A394" s="3">
        <v>7</v>
      </c>
      <c r="B394" s="3">
        <v>2</v>
      </c>
    </row>
    <row r="395" spans="1:2" x14ac:dyDescent="0.25">
      <c r="A395" s="3">
        <v>20</v>
      </c>
      <c r="B395" s="3">
        <v>7</v>
      </c>
    </row>
    <row r="396" spans="1:2" x14ac:dyDescent="0.25">
      <c r="A396" s="3">
        <v>48</v>
      </c>
      <c r="B396" s="3">
        <v>5</v>
      </c>
    </row>
    <row r="397" spans="1:2" x14ac:dyDescent="0.25">
      <c r="A397" s="3">
        <v>81</v>
      </c>
      <c r="B397" s="3">
        <v>1</v>
      </c>
    </row>
    <row r="398" spans="1:2" x14ac:dyDescent="0.25">
      <c r="A398" s="3">
        <v>-38</v>
      </c>
      <c r="B398" s="3">
        <v>6</v>
      </c>
    </row>
    <row r="399" spans="1:2" x14ac:dyDescent="0.25">
      <c r="A399" s="3">
        <v>-143</v>
      </c>
      <c r="B399" s="3">
        <v>3</v>
      </c>
    </row>
    <row r="400" spans="1:2" x14ac:dyDescent="0.25">
      <c r="A400" s="3">
        <v>-33</v>
      </c>
      <c r="B400" s="3">
        <v>2</v>
      </c>
    </row>
    <row r="401" spans="1:2" x14ac:dyDescent="0.25">
      <c r="A401" s="3">
        <v>21</v>
      </c>
      <c r="B401" s="3">
        <v>1</v>
      </c>
    </row>
    <row r="402" spans="1:2" x14ac:dyDescent="0.25">
      <c r="A402" s="3">
        <v>87</v>
      </c>
      <c r="B402" s="3">
        <v>3</v>
      </c>
    </row>
    <row r="403" spans="1:2" x14ac:dyDescent="0.25">
      <c r="A403" s="3">
        <v>27</v>
      </c>
      <c r="B403" s="3">
        <v>2</v>
      </c>
    </row>
    <row r="404" spans="1:2" x14ac:dyDescent="0.25">
      <c r="A404" s="3">
        <v>39</v>
      </c>
      <c r="B404" s="3">
        <v>8</v>
      </c>
    </row>
    <row r="405" spans="1:2" x14ac:dyDescent="0.25">
      <c r="A405" s="3">
        <v>18</v>
      </c>
      <c r="B405" s="3">
        <v>2</v>
      </c>
    </row>
    <row r="406" spans="1:2" x14ac:dyDescent="0.25">
      <c r="A406" s="3">
        <v>62</v>
      </c>
      <c r="B406" s="3">
        <v>7</v>
      </c>
    </row>
    <row r="407" spans="1:2" x14ac:dyDescent="0.25">
      <c r="A407" s="3">
        <v>2</v>
      </c>
      <c r="B407" s="3">
        <v>2</v>
      </c>
    </row>
    <row r="408" spans="1:2" x14ac:dyDescent="0.25">
      <c r="A408" s="3">
        <v>6</v>
      </c>
      <c r="B408" s="3">
        <v>5</v>
      </c>
    </row>
    <row r="409" spans="1:2" x14ac:dyDescent="0.25">
      <c r="A409" s="3">
        <v>-113</v>
      </c>
      <c r="B409" s="3">
        <v>4</v>
      </c>
    </row>
    <row r="410" spans="1:2" x14ac:dyDescent="0.25">
      <c r="A410" s="3">
        <v>4</v>
      </c>
      <c r="B410" s="3">
        <v>2</v>
      </c>
    </row>
    <row r="411" spans="1:2" x14ac:dyDescent="0.25">
      <c r="A411" s="3">
        <v>21</v>
      </c>
      <c r="B411" s="3">
        <v>7</v>
      </c>
    </row>
    <row r="412" spans="1:2" x14ac:dyDescent="0.25">
      <c r="A412" s="3">
        <v>-27</v>
      </c>
      <c r="B412" s="3">
        <v>4</v>
      </c>
    </row>
    <row r="413" spans="1:2" x14ac:dyDescent="0.25">
      <c r="A413" s="3">
        <v>0</v>
      </c>
      <c r="B413" s="3">
        <v>1</v>
      </c>
    </row>
    <row r="414" spans="1:2" x14ac:dyDescent="0.25">
      <c r="A414" s="3">
        <v>-48</v>
      </c>
      <c r="B414" s="3">
        <v>6</v>
      </c>
    </row>
    <row r="415" spans="1:2" x14ac:dyDescent="0.25">
      <c r="A415" s="3">
        <v>102</v>
      </c>
      <c r="B415" s="3">
        <v>6</v>
      </c>
    </row>
    <row r="416" spans="1:2" x14ac:dyDescent="0.25">
      <c r="A416" s="3">
        <v>-8</v>
      </c>
      <c r="B416" s="3">
        <v>3</v>
      </c>
    </row>
    <row r="417" spans="1:2" x14ac:dyDescent="0.25">
      <c r="A417" s="3">
        <v>-41</v>
      </c>
      <c r="B417" s="3">
        <v>3</v>
      </c>
    </row>
    <row r="418" spans="1:2" x14ac:dyDescent="0.25">
      <c r="A418" s="3">
        <v>40</v>
      </c>
      <c r="B418" s="3">
        <v>1</v>
      </c>
    </row>
    <row r="419" spans="1:2" x14ac:dyDescent="0.25">
      <c r="A419" s="3">
        <v>74</v>
      </c>
      <c r="B419" s="3">
        <v>3</v>
      </c>
    </row>
    <row r="420" spans="1:2" x14ac:dyDescent="0.25">
      <c r="A420" s="3">
        <v>109</v>
      </c>
      <c r="B420" s="3">
        <v>7</v>
      </c>
    </row>
    <row r="421" spans="1:2" x14ac:dyDescent="0.25">
      <c r="A421" s="3">
        <v>-83</v>
      </c>
      <c r="B421" s="3">
        <v>3</v>
      </c>
    </row>
    <row r="422" spans="1:2" x14ac:dyDescent="0.25">
      <c r="A422" s="3">
        <v>-42</v>
      </c>
      <c r="B422" s="3">
        <v>2</v>
      </c>
    </row>
    <row r="423" spans="1:2" x14ac:dyDescent="0.25">
      <c r="A423" s="3">
        <v>20</v>
      </c>
      <c r="B423" s="3">
        <v>4</v>
      </c>
    </row>
    <row r="424" spans="1:2" x14ac:dyDescent="0.25">
      <c r="A424" s="3">
        <v>14</v>
      </c>
      <c r="B424" s="3">
        <v>3</v>
      </c>
    </row>
    <row r="425" spans="1:2" x14ac:dyDescent="0.25">
      <c r="A425" s="3">
        <v>50</v>
      </c>
      <c r="B425" s="3">
        <v>4</v>
      </c>
    </row>
    <row r="426" spans="1:2" x14ac:dyDescent="0.25">
      <c r="A426" s="3">
        <v>-30</v>
      </c>
      <c r="B426" s="3">
        <v>2</v>
      </c>
    </row>
    <row r="427" spans="1:2" x14ac:dyDescent="0.25">
      <c r="A427" s="3">
        <v>8</v>
      </c>
      <c r="B427" s="3">
        <v>3</v>
      </c>
    </row>
    <row r="428" spans="1:2" x14ac:dyDescent="0.25">
      <c r="A428" s="3">
        <v>-33</v>
      </c>
      <c r="B428" s="3">
        <v>5</v>
      </c>
    </row>
    <row r="429" spans="1:2" x14ac:dyDescent="0.25">
      <c r="A429" s="3">
        <v>-30</v>
      </c>
      <c r="B429" s="3">
        <v>3</v>
      </c>
    </row>
    <row r="430" spans="1:2" x14ac:dyDescent="0.25">
      <c r="A430" s="3">
        <v>4</v>
      </c>
      <c r="B430" s="3">
        <v>14</v>
      </c>
    </row>
    <row r="431" spans="1:2" x14ac:dyDescent="0.25">
      <c r="A431" s="3">
        <v>21</v>
      </c>
      <c r="B431" s="3">
        <v>2</v>
      </c>
    </row>
    <row r="432" spans="1:2" x14ac:dyDescent="0.25">
      <c r="A432" s="3">
        <v>3</v>
      </c>
      <c r="B432" s="3">
        <v>3</v>
      </c>
    </row>
    <row r="433" spans="1:2" x14ac:dyDescent="0.25">
      <c r="A433" s="3">
        <v>62</v>
      </c>
      <c r="B433" s="3">
        <v>9</v>
      </c>
    </row>
    <row r="434" spans="1:2" x14ac:dyDescent="0.25">
      <c r="A434" s="3">
        <v>62</v>
      </c>
      <c r="B434" s="3">
        <v>2</v>
      </c>
    </row>
    <row r="435" spans="1:2" x14ac:dyDescent="0.25">
      <c r="A435" s="3">
        <v>24</v>
      </c>
      <c r="B435" s="3">
        <v>6</v>
      </c>
    </row>
    <row r="436" spans="1:2" x14ac:dyDescent="0.25">
      <c r="A436" s="3">
        <v>-31</v>
      </c>
      <c r="B436" s="3">
        <v>9</v>
      </c>
    </row>
    <row r="437" spans="1:2" x14ac:dyDescent="0.25">
      <c r="A437" s="3">
        <v>45</v>
      </c>
      <c r="B437" s="3">
        <v>2</v>
      </c>
    </row>
    <row r="438" spans="1:2" x14ac:dyDescent="0.25">
      <c r="A438" s="3">
        <v>52</v>
      </c>
      <c r="B438" s="3">
        <v>5</v>
      </c>
    </row>
    <row r="439" spans="1:2" x14ac:dyDescent="0.25">
      <c r="A439" s="3">
        <v>2</v>
      </c>
      <c r="B439" s="3">
        <v>2</v>
      </c>
    </row>
    <row r="440" spans="1:2" x14ac:dyDescent="0.25">
      <c r="A440" s="3">
        <v>-63</v>
      </c>
      <c r="B440" s="3">
        <v>4</v>
      </c>
    </row>
    <row r="441" spans="1:2" x14ac:dyDescent="0.25">
      <c r="A441" s="3">
        <v>-28</v>
      </c>
      <c r="B441" s="3">
        <v>5</v>
      </c>
    </row>
    <row r="442" spans="1:2" x14ac:dyDescent="0.25">
      <c r="A442" s="3">
        <v>27</v>
      </c>
      <c r="B442" s="3">
        <v>2</v>
      </c>
    </row>
    <row r="443" spans="1:2" x14ac:dyDescent="0.25">
      <c r="A443" s="3">
        <v>-21</v>
      </c>
      <c r="B443" s="3">
        <v>2</v>
      </c>
    </row>
    <row r="444" spans="1:2" x14ac:dyDescent="0.25">
      <c r="A444" s="3">
        <v>6</v>
      </c>
      <c r="B444" s="3">
        <v>2</v>
      </c>
    </row>
    <row r="445" spans="1:2" x14ac:dyDescent="0.25">
      <c r="A445" s="3">
        <v>111</v>
      </c>
      <c r="B445" s="3">
        <v>3</v>
      </c>
    </row>
    <row r="446" spans="1:2" x14ac:dyDescent="0.25">
      <c r="A446" s="3">
        <v>2</v>
      </c>
      <c r="B446" s="3">
        <v>1</v>
      </c>
    </row>
    <row r="447" spans="1:2" x14ac:dyDescent="0.25">
      <c r="A447" s="3">
        <v>-12</v>
      </c>
      <c r="B447" s="3">
        <v>4</v>
      </c>
    </row>
    <row r="448" spans="1:2" x14ac:dyDescent="0.25">
      <c r="A448" s="3">
        <v>-86</v>
      </c>
      <c r="B448" s="3">
        <v>2</v>
      </c>
    </row>
    <row r="449" spans="1:2" x14ac:dyDescent="0.25">
      <c r="A449" s="3">
        <v>-25</v>
      </c>
      <c r="B449" s="3">
        <v>2</v>
      </c>
    </row>
    <row r="450" spans="1:2" x14ac:dyDescent="0.25">
      <c r="A450" s="3">
        <v>2</v>
      </c>
      <c r="B450" s="3">
        <v>2</v>
      </c>
    </row>
    <row r="451" spans="1:2" x14ac:dyDescent="0.25">
      <c r="A451" s="3">
        <v>-206</v>
      </c>
      <c r="B451" s="3">
        <v>3</v>
      </c>
    </row>
    <row r="452" spans="1:2" x14ac:dyDescent="0.25">
      <c r="A452" s="3">
        <v>8</v>
      </c>
      <c r="B452" s="3">
        <v>4</v>
      </c>
    </row>
    <row r="453" spans="1:2" x14ac:dyDescent="0.25">
      <c r="A453" s="3">
        <v>-24</v>
      </c>
      <c r="B453" s="3">
        <v>2</v>
      </c>
    </row>
    <row r="454" spans="1:2" x14ac:dyDescent="0.25">
      <c r="A454" s="3">
        <v>64</v>
      </c>
      <c r="B454" s="3">
        <v>6</v>
      </c>
    </row>
    <row r="455" spans="1:2" x14ac:dyDescent="0.25">
      <c r="A455" s="3">
        <v>276</v>
      </c>
      <c r="B455" s="3">
        <v>3</v>
      </c>
    </row>
    <row r="456" spans="1:2" x14ac:dyDescent="0.25">
      <c r="A456" s="3">
        <v>-46</v>
      </c>
      <c r="B456" s="3">
        <v>7</v>
      </c>
    </row>
    <row r="457" spans="1:2" x14ac:dyDescent="0.25">
      <c r="A457" s="3">
        <v>-18</v>
      </c>
      <c r="B457" s="3">
        <v>2</v>
      </c>
    </row>
    <row r="458" spans="1:2" x14ac:dyDescent="0.25">
      <c r="A458" s="3">
        <v>6</v>
      </c>
      <c r="B458" s="3">
        <v>1</v>
      </c>
    </row>
    <row r="459" spans="1:2" x14ac:dyDescent="0.25">
      <c r="A459" s="3">
        <v>9</v>
      </c>
      <c r="B459" s="3">
        <v>3</v>
      </c>
    </row>
    <row r="460" spans="1:2" x14ac:dyDescent="0.25">
      <c r="A460" s="3">
        <v>19</v>
      </c>
      <c r="B460" s="3">
        <v>8</v>
      </c>
    </row>
    <row r="461" spans="1:2" x14ac:dyDescent="0.25">
      <c r="A461" s="3">
        <v>-16</v>
      </c>
      <c r="B461" s="3">
        <v>2</v>
      </c>
    </row>
    <row r="462" spans="1:2" x14ac:dyDescent="0.25">
      <c r="A462" s="3">
        <v>0</v>
      </c>
      <c r="B462" s="3">
        <v>4</v>
      </c>
    </row>
    <row r="463" spans="1:2" x14ac:dyDescent="0.25">
      <c r="A463" s="3">
        <v>-7</v>
      </c>
      <c r="B463" s="3">
        <v>5</v>
      </c>
    </row>
    <row r="464" spans="1:2" x14ac:dyDescent="0.25">
      <c r="A464" s="3">
        <v>13</v>
      </c>
      <c r="B464" s="3">
        <v>6</v>
      </c>
    </row>
    <row r="465" spans="1:2" x14ac:dyDescent="0.25">
      <c r="A465" s="3">
        <v>-117</v>
      </c>
      <c r="B465" s="3">
        <v>5</v>
      </c>
    </row>
    <row r="466" spans="1:2" x14ac:dyDescent="0.25">
      <c r="A466" s="3">
        <v>-146</v>
      </c>
      <c r="B466" s="3">
        <v>3</v>
      </c>
    </row>
    <row r="467" spans="1:2" x14ac:dyDescent="0.25">
      <c r="A467" s="3">
        <v>87</v>
      </c>
      <c r="B467" s="3">
        <v>7</v>
      </c>
    </row>
    <row r="468" spans="1:2" x14ac:dyDescent="0.25">
      <c r="A468" s="3">
        <v>2</v>
      </c>
      <c r="B468" s="3">
        <v>2</v>
      </c>
    </row>
    <row r="469" spans="1:2" x14ac:dyDescent="0.25">
      <c r="A469" s="3">
        <v>13</v>
      </c>
      <c r="B469" s="3">
        <v>7</v>
      </c>
    </row>
    <row r="470" spans="1:2" x14ac:dyDescent="0.25">
      <c r="A470" s="3">
        <v>-25</v>
      </c>
      <c r="B470" s="3">
        <v>3</v>
      </c>
    </row>
    <row r="471" spans="1:2" x14ac:dyDescent="0.25">
      <c r="A471" s="3">
        <v>47</v>
      </c>
      <c r="B471" s="3">
        <v>5</v>
      </c>
    </row>
    <row r="472" spans="1:2" x14ac:dyDescent="0.25">
      <c r="A472" s="3">
        <v>-15</v>
      </c>
      <c r="B472" s="3">
        <v>3</v>
      </c>
    </row>
    <row r="473" spans="1:2" x14ac:dyDescent="0.25">
      <c r="A473" s="3">
        <v>11</v>
      </c>
      <c r="B473" s="3">
        <v>2</v>
      </c>
    </row>
    <row r="474" spans="1:2" x14ac:dyDescent="0.25">
      <c r="A474" s="3">
        <v>-26</v>
      </c>
      <c r="B474" s="3">
        <v>6</v>
      </c>
    </row>
    <row r="475" spans="1:2" x14ac:dyDescent="0.25">
      <c r="A475" s="3">
        <v>8</v>
      </c>
      <c r="B475" s="3">
        <v>2</v>
      </c>
    </row>
    <row r="476" spans="1:2" x14ac:dyDescent="0.25">
      <c r="A476" s="3">
        <v>9</v>
      </c>
      <c r="B476" s="3">
        <v>4</v>
      </c>
    </row>
    <row r="477" spans="1:2" x14ac:dyDescent="0.25">
      <c r="A477" s="3">
        <v>-70</v>
      </c>
      <c r="B477" s="3">
        <v>3</v>
      </c>
    </row>
    <row r="478" spans="1:2" x14ac:dyDescent="0.25">
      <c r="A478" s="3">
        <v>61</v>
      </c>
      <c r="B478" s="3">
        <v>2</v>
      </c>
    </row>
    <row r="479" spans="1:2" x14ac:dyDescent="0.25">
      <c r="A479" s="3">
        <v>-25</v>
      </c>
      <c r="B479" s="3">
        <v>5</v>
      </c>
    </row>
    <row r="480" spans="1:2" x14ac:dyDescent="0.25">
      <c r="A480" s="3">
        <v>-28</v>
      </c>
      <c r="B480" s="3">
        <v>5</v>
      </c>
    </row>
    <row r="481" spans="1:2" x14ac:dyDescent="0.25">
      <c r="A481" s="3">
        <v>-13</v>
      </c>
      <c r="B481" s="3">
        <v>5</v>
      </c>
    </row>
    <row r="482" spans="1:2" x14ac:dyDescent="0.25">
      <c r="A482" s="3">
        <v>-62</v>
      </c>
      <c r="B482" s="3">
        <v>2</v>
      </c>
    </row>
    <row r="483" spans="1:2" x14ac:dyDescent="0.25">
      <c r="A483" s="3">
        <v>37</v>
      </c>
      <c r="B483" s="3">
        <v>6</v>
      </c>
    </row>
    <row r="484" spans="1:2" x14ac:dyDescent="0.25">
      <c r="A484" s="3">
        <v>11</v>
      </c>
      <c r="B484" s="3">
        <v>7</v>
      </c>
    </row>
    <row r="485" spans="1:2" x14ac:dyDescent="0.25">
      <c r="A485" s="3">
        <v>20</v>
      </c>
      <c r="B485" s="3">
        <v>5</v>
      </c>
    </row>
    <row r="486" spans="1:2" x14ac:dyDescent="0.25">
      <c r="A486" s="3">
        <v>99</v>
      </c>
      <c r="B486" s="3">
        <v>2</v>
      </c>
    </row>
    <row r="487" spans="1:2" x14ac:dyDescent="0.25">
      <c r="A487" s="3">
        <v>8</v>
      </c>
      <c r="B487" s="3">
        <v>2</v>
      </c>
    </row>
    <row r="488" spans="1:2" x14ac:dyDescent="0.25">
      <c r="A488" s="3">
        <v>77</v>
      </c>
      <c r="B488" s="3">
        <v>3</v>
      </c>
    </row>
    <row r="489" spans="1:2" x14ac:dyDescent="0.25">
      <c r="A489" s="3">
        <v>4</v>
      </c>
      <c r="B489" s="3">
        <v>5</v>
      </c>
    </row>
    <row r="490" spans="1:2" x14ac:dyDescent="0.25">
      <c r="A490" s="3">
        <v>-70</v>
      </c>
      <c r="B490" s="3">
        <v>3</v>
      </c>
    </row>
    <row r="491" spans="1:2" x14ac:dyDescent="0.25">
      <c r="A491" s="3">
        <v>69</v>
      </c>
      <c r="B491" s="3">
        <v>3</v>
      </c>
    </row>
    <row r="492" spans="1:2" x14ac:dyDescent="0.25">
      <c r="A492" s="3">
        <v>2</v>
      </c>
      <c r="B492" s="3">
        <v>2</v>
      </c>
    </row>
    <row r="493" spans="1:2" x14ac:dyDescent="0.25">
      <c r="A493" s="3">
        <v>-25</v>
      </c>
      <c r="B493" s="3">
        <v>3</v>
      </c>
    </row>
    <row r="494" spans="1:2" x14ac:dyDescent="0.25">
      <c r="A494" s="3">
        <v>32</v>
      </c>
      <c r="B494" s="3">
        <v>3</v>
      </c>
    </row>
    <row r="495" spans="1:2" x14ac:dyDescent="0.25">
      <c r="A495" s="3">
        <v>10</v>
      </c>
      <c r="B495" s="3">
        <v>4</v>
      </c>
    </row>
    <row r="496" spans="1:2" x14ac:dyDescent="0.25">
      <c r="A496" s="3">
        <v>17</v>
      </c>
      <c r="B496" s="3">
        <v>2</v>
      </c>
    </row>
    <row r="497" spans="1:2" x14ac:dyDescent="0.25">
      <c r="A497" s="3">
        <v>-46</v>
      </c>
      <c r="B497" s="3">
        <v>7</v>
      </c>
    </row>
    <row r="498" spans="1:2" x14ac:dyDescent="0.25">
      <c r="A498" s="3">
        <v>-51</v>
      </c>
      <c r="B498" s="3">
        <v>2</v>
      </c>
    </row>
    <row r="499" spans="1:2" x14ac:dyDescent="0.25">
      <c r="A499" s="3">
        <v>30</v>
      </c>
      <c r="B499" s="3">
        <v>3</v>
      </c>
    </row>
    <row r="500" spans="1:2" x14ac:dyDescent="0.25">
      <c r="A500" s="3">
        <v>-59</v>
      </c>
      <c r="B500" s="3">
        <v>2</v>
      </c>
    </row>
    <row r="501" spans="1:2" x14ac:dyDescent="0.25">
      <c r="A501" s="3">
        <v>17</v>
      </c>
      <c r="B501" s="3">
        <v>2</v>
      </c>
    </row>
    <row r="502" spans="1:2" x14ac:dyDescent="0.25">
      <c r="A502" s="3">
        <v>63</v>
      </c>
      <c r="B502" s="3">
        <v>3</v>
      </c>
    </row>
    <row r="503" spans="1:2" x14ac:dyDescent="0.25">
      <c r="A503" s="3">
        <v>-24</v>
      </c>
      <c r="B503" s="3">
        <v>4</v>
      </c>
    </row>
    <row r="504" spans="1:2" x14ac:dyDescent="0.25">
      <c r="A504" s="3">
        <v>-25</v>
      </c>
      <c r="B504" s="3">
        <v>3</v>
      </c>
    </row>
    <row r="505" spans="1:2" x14ac:dyDescent="0.25">
      <c r="A505" s="3">
        <v>20</v>
      </c>
      <c r="B505" s="3">
        <v>4</v>
      </c>
    </row>
    <row r="506" spans="1:2" x14ac:dyDescent="0.25">
      <c r="A506" s="3">
        <v>0</v>
      </c>
      <c r="B506" s="3">
        <v>1</v>
      </c>
    </row>
    <row r="507" spans="1:2" x14ac:dyDescent="0.25">
      <c r="A507" s="3">
        <v>35</v>
      </c>
      <c r="B507" s="3">
        <v>5</v>
      </c>
    </row>
    <row r="508" spans="1:2" x14ac:dyDescent="0.25">
      <c r="A508" s="3">
        <v>-9</v>
      </c>
      <c r="B508" s="3">
        <v>4</v>
      </c>
    </row>
    <row r="509" spans="1:2" x14ac:dyDescent="0.25">
      <c r="A509" s="3">
        <v>-23</v>
      </c>
      <c r="B509" s="3">
        <v>2</v>
      </c>
    </row>
    <row r="510" spans="1:2" x14ac:dyDescent="0.25">
      <c r="A510" s="3">
        <v>-135</v>
      </c>
      <c r="B510" s="3">
        <v>3</v>
      </c>
    </row>
    <row r="511" spans="1:2" x14ac:dyDescent="0.25">
      <c r="A511" s="3">
        <v>-21</v>
      </c>
      <c r="B511" s="3">
        <v>2</v>
      </c>
    </row>
    <row r="512" spans="1:2" x14ac:dyDescent="0.25">
      <c r="A512" s="3">
        <v>-55</v>
      </c>
      <c r="B512" s="3">
        <v>5</v>
      </c>
    </row>
    <row r="513" spans="1:2" x14ac:dyDescent="0.25">
      <c r="A513" s="3">
        <v>33</v>
      </c>
      <c r="B513" s="3">
        <v>2</v>
      </c>
    </row>
    <row r="514" spans="1:2" x14ac:dyDescent="0.25">
      <c r="A514" s="3">
        <v>46</v>
      </c>
      <c r="B514" s="3">
        <v>3</v>
      </c>
    </row>
    <row r="515" spans="1:2" x14ac:dyDescent="0.25">
      <c r="A515" s="3">
        <v>11</v>
      </c>
      <c r="B515" s="3">
        <v>2</v>
      </c>
    </row>
    <row r="516" spans="1:2" x14ac:dyDescent="0.25">
      <c r="A516" s="3">
        <v>73</v>
      </c>
      <c r="B516" s="3">
        <v>2</v>
      </c>
    </row>
    <row r="517" spans="1:2" x14ac:dyDescent="0.25">
      <c r="A517" s="3">
        <v>-22</v>
      </c>
      <c r="B517" s="3">
        <v>1</v>
      </c>
    </row>
    <row r="518" spans="1:2" x14ac:dyDescent="0.25">
      <c r="A518" s="3">
        <v>55</v>
      </c>
      <c r="B518" s="3">
        <v>3</v>
      </c>
    </row>
    <row r="519" spans="1:2" x14ac:dyDescent="0.25">
      <c r="A519" s="3">
        <v>-23</v>
      </c>
      <c r="B519" s="3">
        <v>2</v>
      </c>
    </row>
    <row r="520" spans="1:2" x14ac:dyDescent="0.25">
      <c r="A520" s="3">
        <v>0</v>
      </c>
      <c r="B520" s="3">
        <v>2</v>
      </c>
    </row>
    <row r="521" spans="1:2" x14ac:dyDescent="0.25">
      <c r="A521" s="3">
        <v>7</v>
      </c>
      <c r="B521" s="3">
        <v>7</v>
      </c>
    </row>
    <row r="522" spans="1:2" x14ac:dyDescent="0.25">
      <c r="A522" s="3">
        <v>2</v>
      </c>
      <c r="B522" s="3">
        <v>5</v>
      </c>
    </row>
    <row r="523" spans="1:2" x14ac:dyDescent="0.25">
      <c r="A523" s="3">
        <v>-229</v>
      </c>
      <c r="B523" s="3">
        <v>8</v>
      </c>
    </row>
    <row r="524" spans="1:2" x14ac:dyDescent="0.25">
      <c r="A524" s="3">
        <v>19</v>
      </c>
      <c r="B524" s="3">
        <v>3</v>
      </c>
    </row>
    <row r="525" spans="1:2" x14ac:dyDescent="0.25">
      <c r="A525" s="3">
        <v>-105</v>
      </c>
      <c r="B525" s="3">
        <v>2</v>
      </c>
    </row>
    <row r="526" spans="1:2" x14ac:dyDescent="0.25">
      <c r="A526" s="3">
        <v>5</v>
      </c>
      <c r="B526" s="3">
        <v>6</v>
      </c>
    </row>
    <row r="527" spans="1:2" x14ac:dyDescent="0.25">
      <c r="A527" s="3">
        <v>-22</v>
      </c>
      <c r="B527" s="3">
        <v>5</v>
      </c>
    </row>
    <row r="528" spans="1:2" x14ac:dyDescent="0.25">
      <c r="A528" s="3">
        <v>40</v>
      </c>
      <c r="B528" s="3">
        <v>3</v>
      </c>
    </row>
    <row r="529" spans="1:2" x14ac:dyDescent="0.25">
      <c r="A529" s="3">
        <v>4</v>
      </c>
      <c r="B529" s="3">
        <v>1</v>
      </c>
    </row>
    <row r="530" spans="1:2" x14ac:dyDescent="0.25">
      <c r="A530" s="3">
        <v>-50</v>
      </c>
      <c r="B530" s="3">
        <v>4</v>
      </c>
    </row>
    <row r="531" spans="1:2" x14ac:dyDescent="0.25">
      <c r="A531" s="3">
        <v>39</v>
      </c>
      <c r="B531" s="3">
        <v>2</v>
      </c>
    </row>
    <row r="532" spans="1:2" x14ac:dyDescent="0.25">
      <c r="A532" s="3">
        <v>153</v>
      </c>
      <c r="B532" s="3">
        <v>3</v>
      </c>
    </row>
    <row r="533" spans="1:2" x14ac:dyDescent="0.25">
      <c r="A533" s="3">
        <v>0</v>
      </c>
      <c r="B533" s="3">
        <v>4</v>
      </c>
    </row>
    <row r="534" spans="1:2" x14ac:dyDescent="0.25">
      <c r="A534" s="3">
        <v>12</v>
      </c>
      <c r="B534" s="3">
        <v>1</v>
      </c>
    </row>
    <row r="535" spans="1:2" x14ac:dyDescent="0.25">
      <c r="A535" s="3">
        <v>0</v>
      </c>
      <c r="B535" s="3">
        <v>4</v>
      </c>
    </row>
    <row r="536" spans="1:2" x14ac:dyDescent="0.25">
      <c r="A536" s="3">
        <v>23</v>
      </c>
      <c r="B536" s="3">
        <v>3</v>
      </c>
    </row>
    <row r="537" spans="1:2" x14ac:dyDescent="0.25">
      <c r="A537" s="3">
        <v>54</v>
      </c>
      <c r="B537" s="3">
        <v>3</v>
      </c>
    </row>
    <row r="538" spans="1:2" x14ac:dyDescent="0.25">
      <c r="A538" s="3">
        <v>15</v>
      </c>
      <c r="B538" s="3">
        <v>3</v>
      </c>
    </row>
    <row r="539" spans="1:2" x14ac:dyDescent="0.25">
      <c r="A539" s="3">
        <v>51</v>
      </c>
      <c r="B539" s="3">
        <v>4</v>
      </c>
    </row>
    <row r="540" spans="1:2" x14ac:dyDescent="0.25">
      <c r="A540" s="3">
        <v>7</v>
      </c>
      <c r="B540" s="3">
        <v>4</v>
      </c>
    </row>
    <row r="541" spans="1:2" x14ac:dyDescent="0.25">
      <c r="A541" s="3">
        <v>-1</v>
      </c>
      <c r="B541" s="3">
        <v>1</v>
      </c>
    </row>
    <row r="542" spans="1:2" x14ac:dyDescent="0.25">
      <c r="A542" s="3">
        <v>22</v>
      </c>
      <c r="B542" s="3">
        <v>7</v>
      </c>
    </row>
    <row r="543" spans="1:2" x14ac:dyDescent="0.25">
      <c r="A543" s="3">
        <v>23</v>
      </c>
      <c r="B543" s="3">
        <v>3</v>
      </c>
    </row>
    <row r="544" spans="1:2" x14ac:dyDescent="0.25">
      <c r="A544" s="3">
        <v>50</v>
      </c>
      <c r="B544" s="3">
        <v>6</v>
      </c>
    </row>
    <row r="545" spans="1:2" x14ac:dyDescent="0.25">
      <c r="A545" s="3">
        <v>-21</v>
      </c>
      <c r="B545" s="3">
        <v>3</v>
      </c>
    </row>
    <row r="546" spans="1:2" x14ac:dyDescent="0.25">
      <c r="A546" s="3">
        <v>48</v>
      </c>
      <c r="B546" s="3">
        <v>6</v>
      </c>
    </row>
    <row r="547" spans="1:2" x14ac:dyDescent="0.25">
      <c r="A547" s="3">
        <v>-87</v>
      </c>
      <c r="B547" s="3">
        <v>4</v>
      </c>
    </row>
    <row r="548" spans="1:2" x14ac:dyDescent="0.25">
      <c r="A548" s="3">
        <v>20</v>
      </c>
      <c r="B548" s="3">
        <v>4</v>
      </c>
    </row>
    <row r="549" spans="1:2" x14ac:dyDescent="0.25">
      <c r="A549" s="3">
        <v>-54</v>
      </c>
      <c r="B549" s="3">
        <v>3</v>
      </c>
    </row>
    <row r="550" spans="1:2" x14ac:dyDescent="0.25">
      <c r="A550" s="3">
        <v>-15</v>
      </c>
      <c r="B550" s="3">
        <v>2</v>
      </c>
    </row>
    <row r="551" spans="1:2" x14ac:dyDescent="0.25">
      <c r="A551" s="3">
        <v>32</v>
      </c>
      <c r="B551" s="3">
        <v>3</v>
      </c>
    </row>
    <row r="552" spans="1:2" x14ac:dyDescent="0.25">
      <c r="A552" s="3">
        <v>12</v>
      </c>
      <c r="B552" s="3">
        <v>7</v>
      </c>
    </row>
    <row r="553" spans="1:2" x14ac:dyDescent="0.25">
      <c r="A553" s="3">
        <v>-1</v>
      </c>
      <c r="B553" s="3">
        <v>1</v>
      </c>
    </row>
    <row r="554" spans="1:2" x14ac:dyDescent="0.25">
      <c r="A554" s="3">
        <v>22</v>
      </c>
      <c r="B554" s="3">
        <v>3</v>
      </c>
    </row>
    <row r="555" spans="1:2" x14ac:dyDescent="0.25">
      <c r="A555" s="3">
        <v>12</v>
      </c>
      <c r="B555" s="3">
        <v>9</v>
      </c>
    </row>
    <row r="556" spans="1:2" x14ac:dyDescent="0.25">
      <c r="A556" s="3">
        <v>0</v>
      </c>
      <c r="B556" s="3">
        <v>3</v>
      </c>
    </row>
    <row r="557" spans="1:2" x14ac:dyDescent="0.25">
      <c r="A557" s="3">
        <v>41</v>
      </c>
      <c r="B557" s="3">
        <v>3</v>
      </c>
    </row>
    <row r="558" spans="1:2" x14ac:dyDescent="0.25">
      <c r="A558" s="3">
        <v>34</v>
      </c>
      <c r="B558" s="3">
        <v>5</v>
      </c>
    </row>
    <row r="559" spans="1:2" x14ac:dyDescent="0.25">
      <c r="A559" s="3">
        <v>17</v>
      </c>
      <c r="B559" s="3">
        <v>4</v>
      </c>
    </row>
    <row r="560" spans="1:2" x14ac:dyDescent="0.25">
      <c r="A560" s="3">
        <v>46</v>
      </c>
      <c r="B560" s="3">
        <v>1</v>
      </c>
    </row>
    <row r="561" spans="1:2" x14ac:dyDescent="0.25">
      <c r="A561" s="3">
        <v>24</v>
      </c>
      <c r="B561" s="3">
        <v>10</v>
      </c>
    </row>
    <row r="562" spans="1:2" x14ac:dyDescent="0.25">
      <c r="A562" s="3">
        <v>-17</v>
      </c>
      <c r="B562" s="3">
        <v>5</v>
      </c>
    </row>
    <row r="563" spans="1:2" x14ac:dyDescent="0.25">
      <c r="A563" s="3">
        <v>-40</v>
      </c>
      <c r="B563" s="3">
        <v>2</v>
      </c>
    </row>
    <row r="564" spans="1:2" x14ac:dyDescent="0.25">
      <c r="A564" s="3">
        <v>0</v>
      </c>
      <c r="B564" s="3">
        <v>2</v>
      </c>
    </row>
    <row r="565" spans="1:2" x14ac:dyDescent="0.25">
      <c r="A565" s="3">
        <v>0</v>
      </c>
      <c r="B565" s="3">
        <v>4</v>
      </c>
    </row>
    <row r="566" spans="1:2" x14ac:dyDescent="0.25">
      <c r="A566" s="3">
        <v>22</v>
      </c>
      <c r="B566" s="3">
        <v>2</v>
      </c>
    </row>
    <row r="567" spans="1:2" x14ac:dyDescent="0.25">
      <c r="A567" s="3">
        <v>16</v>
      </c>
      <c r="B567" s="3">
        <v>3</v>
      </c>
    </row>
    <row r="568" spans="1:2" x14ac:dyDescent="0.25">
      <c r="A568" s="3">
        <v>-275</v>
      </c>
      <c r="B568" s="3">
        <v>3</v>
      </c>
    </row>
    <row r="569" spans="1:2" x14ac:dyDescent="0.25">
      <c r="A569" s="3">
        <v>0</v>
      </c>
      <c r="B569" s="3">
        <v>3</v>
      </c>
    </row>
    <row r="570" spans="1:2" x14ac:dyDescent="0.25">
      <c r="A570" s="3">
        <v>-14</v>
      </c>
      <c r="B570" s="3">
        <v>2</v>
      </c>
    </row>
    <row r="571" spans="1:2" x14ac:dyDescent="0.25">
      <c r="A571" s="3">
        <v>59</v>
      </c>
      <c r="B571" s="3">
        <v>3</v>
      </c>
    </row>
    <row r="572" spans="1:2" x14ac:dyDescent="0.25">
      <c r="A572" s="3">
        <v>19</v>
      </c>
      <c r="B572" s="3">
        <v>9</v>
      </c>
    </row>
    <row r="573" spans="1:2" x14ac:dyDescent="0.25">
      <c r="A573" s="3">
        <v>14</v>
      </c>
      <c r="B573" s="3">
        <v>2</v>
      </c>
    </row>
    <row r="574" spans="1:2" x14ac:dyDescent="0.25">
      <c r="A574" s="3">
        <v>44</v>
      </c>
      <c r="B574" s="3">
        <v>3</v>
      </c>
    </row>
    <row r="575" spans="1:2" x14ac:dyDescent="0.25">
      <c r="A575" s="3">
        <v>68</v>
      </c>
      <c r="B575" s="3">
        <v>8</v>
      </c>
    </row>
    <row r="576" spans="1:2" x14ac:dyDescent="0.25">
      <c r="A576" s="3">
        <v>-56</v>
      </c>
      <c r="B576" s="3">
        <v>4</v>
      </c>
    </row>
    <row r="577" spans="1:2" x14ac:dyDescent="0.25">
      <c r="A577" s="3">
        <v>48</v>
      </c>
      <c r="B577" s="3">
        <v>3</v>
      </c>
    </row>
    <row r="578" spans="1:2" x14ac:dyDescent="0.25">
      <c r="A578" s="3">
        <v>12</v>
      </c>
      <c r="B578" s="3">
        <v>3</v>
      </c>
    </row>
    <row r="579" spans="1:2" x14ac:dyDescent="0.25">
      <c r="A579" s="3">
        <v>8</v>
      </c>
      <c r="B579" s="3">
        <v>2</v>
      </c>
    </row>
    <row r="580" spans="1:2" x14ac:dyDescent="0.25">
      <c r="A580" s="3">
        <v>19</v>
      </c>
      <c r="B580" s="3">
        <v>2</v>
      </c>
    </row>
    <row r="581" spans="1:2" x14ac:dyDescent="0.25">
      <c r="A581" s="3">
        <v>-193</v>
      </c>
      <c r="B581" s="3">
        <v>2</v>
      </c>
    </row>
    <row r="582" spans="1:2" x14ac:dyDescent="0.25">
      <c r="A582" s="3">
        <v>29</v>
      </c>
      <c r="B582" s="3">
        <v>2</v>
      </c>
    </row>
    <row r="583" spans="1:2" x14ac:dyDescent="0.25">
      <c r="A583" s="3">
        <v>19</v>
      </c>
      <c r="B583" s="3">
        <v>5</v>
      </c>
    </row>
    <row r="584" spans="1:2" x14ac:dyDescent="0.25">
      <c r="A584" s="3">
        <v>32</v>
      </c>
      <c r="B584" s="3">
        <v>1</v>
      </c>
    </row>
    <row r="585" spans="1:2" x14ac:dyDescent="0.25">
      <c r="A585" s="3">
        <v>-1</v>
      </c>
      <c r="B585" s="3">
        <v>4</v>
      </c>
    </row>
    <row r="586" spans="1:2" x14ac:dyDescent="0.25">
      <c r="A586" s="3">
        <v>12</v>
      </c>
      <c r="B586" s="3">
        <v>3</v>
      </c>
    </row>
    <row r="587" spans="1:2" x14ac:dyDescent="0.25">
      <c r="A587" s="3">
        <v>-58</v>
      </c>
      <c r="B587" s="3">
        <v>4</v>
      </c>
    </row>
    <row r="588" spans="1:2" x14ac:dyDescent="0.25">
      <c r="A588" s="3">
        <v>-48</v>
      </c>
      <c r="B588" s="3">
        <v>1</v>
      </c>
    </row>
    <row r="589" spans="1:2" x14ac:dyDescent="0.25">
      <c r="A589" s="3">
        <v>6</v>
      </c>
      <c r="B589" s="3">
        <v>5</v>
      </c>
    </row>
    <row r="590" spans="1:2" x14ac:dyDescent="0.25">
      <c r="A590" s="3">
        <v>14</v>
      </c>
      <c r="B590" s="3">
        <v>4</v>
      </c>
    </row>
    <row r="591" spans="1:2" x14ac:dyDescent="0.25">
      <c r="A591" s="3">
        <v>14</v>
      </c>
      <c r="B591" s="3">
        <v>3</v>
      </c>
    </row>
    <row r="592" spans="1:2" x14ac:dyDescent="0.25">
      <c r="A592" s="3">
        <v>14</v>
      </c>
      <c r="B592" s="3">
        <v>3</v>
      </c>
    </row>
    <row r="593" spans="1:2" x14ac:dyDescent="0.25">
      <c r="A593" s="3">
        <v>36</v>
      </c>
      <c r="B593" s="3">
        <v>3</v>
      </c>
    </row>
    <row r="594" spans="1:2" x14ac:dyDescent="0.25">
      <c r="A594" s="3">
        <v>30</v>
      </c>
      <c r="B594" s="3">
        <v>4</v>
      </c>
    </row>
    <row r="595" spans="1:2" x14ac:dyDescent="0.25">
      <c r="A595" s="3">
        <v>21</v>
      </c>
      <c r="B595" s="3">
        <v>3</v>
      </c>
    </row>
    <row r="596" spans="1:2" x14ac:dyDescent="0.25">
      <c r="A596" s="3">
        <v>-14</v>
      </c>
      <c r="B596" s="3">
        <v>2</v>
      </c>
    </row>
    <row r="597" spans="1:2" x14ac:dyDescent="0.25">
      <c r="A597" s="3">
        <v>-3</v>
      </c>
      <c r="B597" s="3">
        <v>5</v>
      </c>
    </row>
    <row r="598" spans="1:2" x14ac:dyDescent="0.25">
      <c r="A598" s="3">
        <v>13</v>
      </c>
      <c r="B598" s="3">
        <v>2</v>
      </c>
    </row>
    <row r="599" spans="1:2" x14ac:dyDescent="0.25">
      <c r="A599" s="3">
        <v>12</v>
      </c>
      <c r="B599" s="3">
        <v>3</v>
      </c>
    </row>
    <row r="600" spans="1:2" x14ac:dyDescent="0.25">
      <c r="A600" s="3">
        <v>22</v>
      </c>
      <c r="B600" s="3">
        <v>2</v>
      </c>
    </row>
    <row r="601" spans="1:2" x14ac:dyDescent="0.25">
      <c r="A601" s="3">
        <v>5</v>
      </c>
      <c r="B601" s="3">
        <v>5</v>
      </c>
    </row>
    <row r="602" spans="1:2" x14ac:dyDescent="0.25">
      <c r="A602" s="3">
        <v>-12</v>
      </c>
      <c r="B602" s="3">
        <v>7</v>
      </c>
    </row>
    <row r="603" spans="1:2" x14ac:dyDescent="0.25">
      <c r="A603" s="3">
        <v>-34</v>
      </c>
      <c r="B603" s="3">
        <v>2</v>
      </c>
    </row>
    <row r="604" spans="1:2" x14ac:dyDescent="0.25">
      <c r="A604" s="3">
        <v>42</v>
      </c>
      <c r="B604" s="3">
        <v>2</v>
      </c>
    </row>
    <row r="605" spans="1:2" x14ac:dyDescent="0.25">
      <c r="A605" s="3">
        <v>-56</v>
      </c>
      <c r="B605" s="3">
        <v>2</v>
      </c>
    </row>
    <row r="606" spans="1:2" x14ac:dyDescent="0.25">
      <c r="A606" s="3">
        <v>-84</v>
      </c>
      <c r="B606" s="3">
        <v>3</v>
      </c>
    </row>
    <row r="607" spans="1:2" x14ac:dyDescent="0.25">
      <c r="A607" s="3">
        <v>-21</v>
      </c>
      <c r="B607" s="3">
        <v>1</v>
      </c>
    </row>
    <row r="608" spans="1:2" x14ac:dyDescent="0.25">
      <c r="A608" s="3">
        <v>54</v>
      </c>
      <c r="B608" s="3">
        <v>5</v>
      </c>
    </row>
    <row r="609" spans="1:2" x14ac:dyDescent="0.25">
      <c r="A609" s="3">
        <v>-10</v>
      </c>
      <c r="B609" s="3">
        <v>3</v>
      </c>
    </row>
    <row r="610" spans="1:2" x14ac:dyDescent="0.25">
      <c r="A610" s="3">
        <v>-79</v>
      </c>
      <c r="B610" s="3">
        <v>5</v>
      </c>
    </row>
    <row r="611" spans="1:2" x14ac:dyDescent="0.25">
      <c r="A611" s="3">
        <v>-65</v>
      </c>
      <c r="B611" s="3">
        <v>4</v>
      </c>
    </row>
    <row r="612" spans="1:2" x14ac:dyDescent="0.25">
      <c r="A612" s="3">
        <v>5</v>
      </c>
      <c r="B612" s="3">
        <v>2</v>
      </c>
    </row>
    <row r="613" spans="1:2" x14ac:dyDescent="0.25">
      <c r="A613" s="3">
        <v>12</v>
      </c>
      <c r="B613" s="3">
        <v>2</v>
      </c>
    </row>
    <row r="614" spans="1:2" x14ac:dyDescent="0.25">
      <c r="A614" s="3">
        <v>-154</v>
      </c>
      <c r="B614" s="3">
        <v>8</v>
      </c>
    </row>
    <row r="615" spans="1:2" x14ac:dyDescent="0.25">
      <c r="A615" s="3">
        <v>29</v>
      </c>
      <c r="B615" s="3">
        <v>2</v>
      </c>
    </row>
    <row r="616" spans="1:2" x14ac:dyDescent="0.25">
      <c r="A616" s="3">
        <v>4</v>
      </c>
      <c r="B616" s="3">
        <v>3</v>
      </c>
    </row>
    <row r="617" spans="1:2" x14ac:dyDescent="0.25">
      <c r="A617" s="3">
        <v>241</v>
      </c>
      <c r="B617" s="3">
        <v>9</v>
      </c>
    </row>
    <row r="618" spans="1:2" x14ac:dyDescent="0.25">
      <c r="A618" s="3">
        <v>47</v>
      </c>
      <c r="B618" s="3">
        <v>4</v>
      </c>
    </row>
    <row r="619" spans="1:2" x14ac:dyDescent="0.25">
      <c r="A619" s="3">
        <v>48</v>
      </c>
      <c r="B619" s="3">
        <v>4</v>
      </c>
    </row>
    <row r="620" spans="1:2" x14ac:dyDescent="0.25">
      <c r="A620" s="3">
        <v>10</v>
      </c>
      <c r="B620" s="3">
        <v>2</v>
      </c>
    </row>
    <row r="621" spans="1:2" x14ac:dyDescent="0.25">
      <c r="A621" s="3">
        <v>29</v>
      </c>
      <c r="B621" s="3">
        <v>3</v>
      </c>
    </row>
    <row r="622" spans="1:2" x14ac:dyDescent="0.25">
      <c r="A622" s="3">
        <v>36</v>
      </c>
      <c r="B622" s="3">
        <v>7</v>
      </c>
    </row>
    <row r="623" spans="1:2" x14ac:dyDescent="0.25">
      <c r="A623" s="3">
        <v>0</v>
      </c>
      <c r="B623" s="3">
        <v>3</v>
      </c>
    </row>
    <row r="624" spans="1:2" x14ac:dyDescent="0.25">
      <c r="A624" s="3">
        <v>-8</v>
      </c>
      <c r="B624" s="3">
        <v>2</v>
      </c>
    </row>
    <row r="625" spans="1:2" x14ac:dyDescent="0.25">
      <c r="A625" s="3">
        <v>54</v>
      </c>
      <c r="B625" s="3">
        <v>5</v>
      </c>
    </row>
    <row r="626" spans="1:2" x14ac:dyDescent="0.25">
      <c r="A626" s="3">
        <v>17</v>
      </c>
      <c r="B626" s="3">
        <v>3</v>
      </c>
    </row>
    <row r="627" spans="1:2" x14ac:dyDescent="0.25">
      <c r="A627" s="3">
        <v>11</v>
      </c>
      <c r="B627" s="3">
        <v>4</v>
      </c>
    </row>
    <row r="628" spans="1:2" x14ac:dyDescent="0.25">
      <c r="A628" s="3">
        <v>-66</v>
      </c>
      <c r="B628" s="3">
        <v>9</v>
      </c>
    </row>
    <row r="629" spans="1:2" x14ac:dyDescent="0.25">
      <c r="A629" s="3">
        <v>30</v>
      </c>
      <c r="B629" s="3">
        <v>2</v>
      </c>
    </row>
    <row r="630" spans="1:2" x14ac:dyDescent="0.25">
      <c r="A630" s="3">
        <v>-11</v>
      </c>
      <c r="B630" s="3">
        <v>3</v>
      </c>
    </row>
    <row r="631" spans="1:2" x14ac:dyDescent="0.25">
      <c r="A631" s="3">
        <v>59</v>
      </c>
      <c r="B631" s="3">
        <v>7</v>
      </c>
    </row>
    <row r="632" spans="1:2" x14ac:dyDescent="0.25">
      <c r="A632" s="3">
        <v>19</v>
      </c>
      <c r="B632" s="3">
        <v>4</v>
      </c>
    </row>
    <row r="633" spans="1:2" x14ac:dyDescent="0.25">
      <c r="A633" s="3">
        <v>1</v>
      </c>
      <c r="B633" s="3">
        <v>1</v>
      </c>
    </row>
    <row r="634" spans="1:2" x14ac:dyDescent="0.25">
      <c r="A634" s="3">
        <v>23</v>
      </c>
      <c r="B634" s="3">
        <v>5</v>
      </c>
    </row>
    <row r="635" spans="1:2" x14ac:dyDescent="0.25">
      <c r="A635" s="3">
        <v>-11</v>
      </c>
      <c r="B635" s="3">
        <v>5</v>
      </c>
    </row>
    <row r="636" spans="1:2" x14ac:dyDescent="0.25">
      <c r="A636" s="3">
        <v>17</v>
      </c>
      <c r="B636" s="3">
        <v>6</v>
      </c>
    </row>
    <row r="637" spans="1:2" x14ac:dyDescent="0.25">
      <c r="A637" s="3">
        <v>9</v>
      </c>
      <c r="B637" s="3">
        <v>2</v>
      </c>
    </row>
    <row r="638" spans="1:2" x14ac:dyDescent="0.25">
      <c r="A638" s="3">
        <v>-6</v>
      </c>
      <c r="B638" s="3">
        <v>3</v>
      </c>
    </row>
    <row r="639" spans="1:2" x14ac:dyDescent="0.25">
      <c r="A639" s="3">
        <v>54</v>
      </c>
      <c r="B639" s="3">
        <v>4</v>
      </c>
    </row>
    <row r="640" spans="1:2" x14ac:dyDescent="0.25">
      <c r="A640" s="3">
        <v>-5</v>
      </c>
      <c r="B640" s="3">
        <v>1</v>
      </c>
    </row>
    <row r="641" spans="1:2" x14ac:dyDescent="0.25">
      <c r="A641" s="3">
        <v>-103</v>
      </c>
      <c r="B641" s="3">
        <v>3</v>
      </c>
    </row>
    <row r="642" spans="1:2" x14ac:dyDescent="0.25">
      <c r="A642" s="3">
        <v>16</v>
      </c>
      <c r="B642" s="3">
        <v>4</v>
      </c>
    </row>
    <row r="643" spans="1:2" x14ac:dyDescent="0.25">
      <c r="A643" s="3">
        <v>-4</v>
      </c>
      <c r="B643" s="3">
        <v>1</v>
      </c>
    </row>
    <row r="644" spans="1:2" x14ac:dyDescent="0.25">
      <c r="A644" s="3">
        <v>68</v>
      </c>
      <c r="B644" s="3">
        <v>7</v>
      </c>
    </row>
    <row r="645" spans="1:2" x14ac:dyDescent="0.25">
      <c r="A645" s="3">
        <v>14</v>
      </c>
      <c r="B645" s="3">
        <v>5</v>
      </c>
    </row>
    <row r="646" spans="1:2" x14ac:dyDescent="0.25">
      <c r="A646" s="3">
        <v>-39</v>
      </c>
      <c r="B646" s="3">
        <v>3</v>
      </c>
    </row>
    <row r="647" spans="1:2" x14ac:dyDescent="0.25">
      <c r="A647" s="3">
        <v>7</v>
      </c>
      <c r="B647" s="3">
        <v>2</v>
      </c>
    </row>
    <row r="648" spans="1:2" x14ac:dyDescent="0.25">
      <c r="A648" s="3">
        <v>8</v>
      </c>
      <c r="B648" s="3">
        <v>2</v>
      </c>
    </row>
    <row r="649" spans="1:2" x14ac:dyDescent="0.25">
      <c r="A649" s="3">
        <v>14</v>
      </c>
      <c r="B649" s="3">
        <v>3</v>
      </c>
    </row>
    <row r="650" spans="1:2" x14ac:dyDescent="0.25">
      <c r="A650" s="3">
        <v>-140</v>
      </c>
      <c r="B650" s="3">
        <v>2</v>
      </c>
    </row>
    <row r="651" spans="1:2" x14ac:dyDescent="0.25">
      <c r="A651" s="3">
        <v>12</v>
      </c>
      <c r="B651" s="3">
        <v>2</v>
      </c>
    </row>
    <row r="652" spans="1:2" x14ac:dyDescent="0.25">
      <c r="A652" s="3">
        <v>25</v>
      </c>
      <c r="B652" s="3">
        <v>6</v>
      </c>
    </row>
    <row r="653" spans="1:2" x14ac:dyDescent="0.25">
      <c r="A653" s="3">
        <v>-9</v>
      </c>
      <c r="B653" s="3">
        <v>3</v>
      </c>
    </row>
    <row r="654" spans="1:2" x14ac:dyDescent="0.25">
      <c r="A654" s="3">
        <v>47</v>
      </c>
      <c r="B654" s="3">
        <v>2</v>
      </c>
    </row>
    <row r="655" spans="1:2" x14ac:dyDescent="0.25">
      <c r="A655" s="3">
        <v>-111</v>
      </c>
      <c r="B655" s="3">
        <v>2</v>
      </c>
    </row>
    <row r="656" spans="1:2" x14ac:dyDescent="0.25">
      <c r="A656" s="3">
        <v>-7</v>
      </c>
      <c r="B656" s="3">
        <v>5</v>
      </c>
    </row>
    <row r="657" spans="1:2" x14ac:dyDescent="0.25">
      <c r="A657" s="3">
        <v>41</v>
      </c>
      <c r="B657" s="3">
        <v>6</v>
      </c>
    </row>
    <row r="658" spans="1:2" x14ac:dyDescent="0.25">
      <c r="A658" s="3">
        <v>9</v>
      </c>
      <c r="B658" s="3">
        <v>4</v>
      </c>
    </row>
    <row r="659" spans="1:2" x14ac:dyDescent="0.25">
      <c r="A659" s="3">
        <v>-8</v>
      </c>
      <c r="B659" s="3">
        <v>2</v>
      </c>
    </row>
    <row r="660" spans="1:2" x14ac:dyDescent="0.25">
      <c r="A660" s="3">
        <v>35</v>
      </c>
      <c r="B660" s="3">
        <v>1</v>
      </c>
    </row>
    <row r="661" spans="1:2" x14ac:dyDescent="0.25">
      <c r="A661" s="3">
        <v>15</v>
      </c>
      <c r="B661" s="3">
        <v>2</v>
      </c>
    </row>
    <row r="662" spans="1:2" x14ac:dyDescent="0.25">
      <c r="A662" s="3">
        <v>27</v>
      </c>
      <c r="B662" s="3">
        <v>2</v>
      </c>
    </row>
    <row r="663" spans="1:2" x14ac:dyDescent="0.25">
      <c r="A663" s="3">
        <v>-6</v>
      </c>
      <c r="B663" s="3">
        <v>6</v>
      </c>
    </row>
    <row r="664" spans="1:2" x14ac:dyDescent="0.25">
      <c r="A664" s="3">
        <v>-6</v>
      </c>
      <c r="B664" s="3">
        <v>4</v>
      </c>
    </row>
    <row r="665" spans="1:2" x14ac:dyDescent="0.25">
      <c r="A665" s="3">
        <v>40</v>
      </c>
      <c r="B665" s="3">
        <v>1</v>
      </c>
    </row>
    <row r="666" spans="1:2" x14ac:dyDescent="0.25">
      <c r="A666" s="3">
        <v>22</v>
      </c>
      <c r="B666" s="3">
        <v>3</v>
      </c>
    </row>
    <row r="667" spans="1:2" x14ac:dyDescent="0.25">
      <c r="A667" s="3">
        <v>50</v>
      </c>
      <c r="B667" s="3">
        <v>2</v>
      </c>
    </row>
    <row r="668" spans="1:2" x14ac:dyDescent="0.25">
      <c r="A668" s="3">
        <v>-8</v>
      </c>
      <c r="B668" s="3">
        <v>2</v>
      </c>
    </row>
    <row r="669" spans="1:2" x14ac:dyDescent="0.25">
      <c r="A669" s="3">
        <v>17</v>
      </c>
      <c r="B669" s="3">
        <v>3</v>
      </c>
    </row>
    <row r="670" spans="1:2" x14ac:dyDescent="0.25">
      <c r="A670" s="3">
        <v>46</v>
      </c>
      <c r="B670" s="3">
        <v>2</v>
      </c>
    </row>
    <row r="671" spans="1:2" x14ac:dyDescent="0.25">
      <c r="A671" s="3">
        <v>20</v>
      </c>
      <c r="B671" s="3">
        <v>2</v>
      </c>
    </row>
    <row r="672" spans="1:2" x14ac:dyDescent="0.25">
      <c r="A672" s="3">
        <v>-6</v>
      </c>
      <c r="B672" s="3">
        <v>1</v>
      </c>
    </row>
    <row r="673" spans="1:2" x14ac:dyDescent="0.25">
      <c r="A673" s="3">
        <v>-33</v>
      </c>
      <c r="B673" s="3">
        <v>5</v>
      </c>
    </row>
    <row r="674" spans="1:2" x14ac:dyDescent="0.25">
      <c r="A674" s="3">
        <v>25</v>
      </c>
      <c r="B674" s="3">
        <v>2</v>
      </c>
    </row>
    <row r="675" spans="1:2" x14ac:dyDescent="0.25">
      <c r="A675" s="3">
        <v>-7</v>
      </c>
      <c r="B675" s="3">
        <v>5</v>
      </c>
    </row>
    <row r="676" spans="1:2" x14ac:dyDescent="0.25">
      <c r="A676" s="3">
        <v>2</v>
      </c>
      <c r="B676" s="3">
        <v>2</v>
      </c>
    </row>
    <row r="677" spans="1:2" x14ac:dyDescent="0.25">
      <c r="A677" s="3">
        <v>5</v>
      </c>
      <c r="B677" s="3">
        <v>1</v>
      </c>
    </row>
    <row r="678" spans="1:2" x14ac:dyDescent="0.25">
      <c r="A678" s="3">
        <v>-7</v>
      </c>
      <c r="B678" s="3">
        <v>3</v>
      </c>
    </row>
    <row r="679" spans="1:2" x14ac:dyDescent="0.25">
      <c r="A679" s="3">
        <v>-6</v>
      </c>
      <c r="B679" s="3">
        <v>2</v>
      </c>
    </row>
    <row r="680" spans="1:2" x14ac:dyDescent="0.25">
      <c r="A680" s="3">
        <v>12</v>
      </c>
      <c r="B680" s="3">
        <v>2</v>
      </c>
    </row>
    <row r="681" spans="1:2" x14ac:dyDescent="0.25">
      <c r="A681" s="3">
        <v>36</v>
      </c>
      <c r="B681" s="3">
        <v>2</v>
      </c>
    </row>
    <row r="682" spans="1:2" x14ac:dyDescent="0.25">
      <c r="A682" s="3">
        <v>-6</v>
      </c>
      <c r="B682" s="3">
        <v>1</v>
      </c>
    </row>
    <row r="683" spans="1:2" x14ac:dyDescent="0.25">
      <c r="A683" s="3">
        <v>33</v>
      </c>
      <c r="B683" s="3">
        <v>6</v>
      </c>
    </row>
    <row r="684" spans="1:2" x14ac:dyDescent="0.25">
      <c r="A684" s="3">
        <v>-6</v>
      </c>
      <c r="B684" s="3">
        <v>2</v>
      </c>
    </row>
    <row r="685" spans="1:2" x14ac:dyDescent="0.25">
      <c r="A685" s="3">
        <v>-90</v>
      </c>
      <c r="B685" s="3">
        <v>1</v>
      </c>
    </row>
    <row r="686" spans="1:2" x14ac:dyDescent="0.25">
      <c r="A686" s="3">
        <v>11</v>
      </c>
      <c r="B686" s="3">
        <v>6</v>
      </c>
    </row>
    <row r="687" spans="1:2" x14ac:dyDescent="0.25">
      <c r="A687" s="3">
        <v>-8</v>
      </c>
      <c r="B687" s="3">
        <v>1</v>
      </c>
    </row>
    <row r="688" spans="1:2" x14ac:dyDescent="0.25">
      <c r="A688" s="3">
        <v>18</v>
      </c>
      <c r="B688" s="3">
        <v>9</v>
      </c>
    </row>
    <row r="689" spans="1:2" x14ac:dyDescent="0.25">
      <c r="A689" s="3">
        <v>-6</v>
      </c>
      <c r="B689" s="3">
        <v>4</v>
      </c>
    </row>
    <row r="690" spans="1:2" x14ac:dyDescent="0.25">
      <c r="A690" s="3">
        <v>18</v>
      </c>
      <c r="B690" s="3">
        <v>2</v>
      </c>
    </row>
    <row r="691" spans="1:2" x14ac:dyDescent="0.25">
      <c r="A691" s="3">
        <v>5</v>
      </c>
      <c r="B691" s="3">
        <v>2</v>
      </c>
    </row>
    <row r="692" spans="1:2" x14ac:dyDescent="0.25">
      <c r="A692" s="3">
        <v>2</v>
      </c>
      <c r="B692" s="3">
        <v>3</v>
      </c>
    </row>
    <row r="693" spans="1:2" x14ac:dyDescent="0.25">
      <c r="A693" s="3">
        <v>69</v>
      </c>
      <c r="B693" s="3">
        <v>3</v>
      </c>
    </row>
    <row r="694" spans="1:2" x14ac:dyDescent="0.25">
      <c r="A694" s="3">
        <v>0</v>
      </c>
      <c r="B694" s="3">
        <v>2</v>
      </c>
    </row>
    <row r="695" spans="1:2" x14ac:dyDescent="0.25">
      <c r="A695" s="3">
        <v>16</v>
      </c>
      <c r="B695" s="3">
        <v>4</v>
      </c>
    </row>
    <row r="696" spans="1:2" x14ac:dyDescent="0.25">
      <c r="A696" s="3">
        <v>37</v>
      </c>
      <c r="B696" s="3">
        <v>3</v>
      </c>
    </row>
    <row r="697" spans="1:2" x14ac:dyDescent="0.25">
      <c r="A697" s="3">
        <v>36</v>
      </c>
      <c r="B697" s="3">
        <v>5</v>
      </c>
    </row>
    <row r="698" spans="1:2" x14ac:dyDescent="0.25">
      <c r="A698" s="3">
        <v>-19</v>
      </c>
      <c r="B698" s="3">
        <v>3</v>
      </c>
    </row>
    <row r="699" spans="1:2" x14ac:dyDescent="0.25">
      <c r="A699" s="3">
        <v>-54</v>
      </c>
      <c r="B699" s="3">
        <v>4</v>
      </c>
    </row>
    <row r="700" spans="1:2" x14ac:dyDescent="0.25">
      <c r="A700" s="3">
        <v>-58</v>
      </c>
      <c r="B700" s="3">
        <v>4</v>
      </c>
    </row>
    <row r="701" spans="1:2" x14ac:dyDescent="0.25">
      <c r="A701" s="3">
        <v>26</v>
      </c>
      <c r="B701" s="3">
        <v>4</v>
      </c>
    </row>
    <row r="702" spans="1:2" x14ac:dyDescent="0.25">
      <c r="A702" s="3">
        <v>6</v>
      </c>
      <c r="B702" s="3">
        <v>4</v>
      </c>
    </row>
    <row r="703" spans="1:2" x14ac:dyDescent="0.25">
      <c r="A703" s="3">
        <v>-23</v>
      </c>
      <c r="B703" s="3">
        <v>1</v>
      </c>
    </row>
    <row r="704" spans="1:2" x14ac:dyDescent="0.25">
      <c r="A704" s="3">
        <v>17</v>
      </c>
      <c r="B704" s="3">
        <v>2</v>
      </c>
    </row>
    <row r="705" spans="1:2" x14ac:dyDescent="0.25">
      <c r="A705" s="3">
        <v>26</v>
      </c>
      <c r="B705" s="3">
        <v>3</v>
      </c>
    </row>
    <row r="706" spans="1:2" x14ac:dyDescent="0.25">
      <c r="A706" s="3">
        <v>9</v>
      </c>
      <c r="B706" s="3">
        <v>3</v>
      </c>
    </row>
    <row r="707" spans="1:2" x14ac:dyDescent="0.25">
      <c r="A707" s="3">
        <v>29</v>
      </c>
      <c r="B707" s="3">
        <v>5</v>
      </c>
    </row>
    <row r="708" spans="1:2" x14ac:dyDescent="0.25">
      <c r="A708" s="3">
        <v>-68</v>
      </c>
      <c r="B708" s="3">
        <v>4</v>
      </c>
    </row>
    <row r="709" spans="1:2" x14ac:dyDescent="0.25">
      <c r="A709" s="3">
        <v>9</v>
      </c>
      <c r="B709" s="3">
        <v>2</v>
      </c>
    </row>
    <row r="710" spans="1:2" x14ac:dyDescent="0.25">
      <c r="A710" s="3">
        <v>-62</v>
      </c>
      <c r="B710" s="3">
        <v>2</v>
      </c>
    </row>
    <row r="711" spans="1:2" x14ac:dyDescent="0.25">
      <c r="A711" s="3">
        <v>35</v>
      </c>
      <c r="B711" s="3">
        <v>5</v>
      </c>
    </row>
    <row r="712" spans="1:2" x14ac:dyDescent="0.25">
      <c r="A712" s="3">
        <v>17</v>
      </c>
      <c r="B712" s="3">
        <v>1</v>
      </c>
    </row>
    <row r="713" spans="1:2" x14ac:dyDescent="0.25">
      <c r="A713" s="3">
        <v>15</v>
      </c>
      <c r="B713" s="3">
        <v>2</v>
      </c>
    </row>
    <row r="714" spans="1:2" x14ac:dyDescent="0.25">
      <c r="A714" s="3">
        <v>20</v>
      </c>
      <c r="B714" s="3">
        <v>5</v>
      </c>
    </row>
    <row r="715" spans="1:2" x14ac:dyDescent="0.25">
      <c r="A715" s="3">
        <v>-5</v>
      </c>
      <c r="B715" s="3">
        <v>2</v>
      </c>
    </row>
    <row r="716" spans="1:2" x14ac:dyDescent="0.25">
      <c r="A716" s="3">
        <v>12</v>
      </c>
      <c r="B716" s="3">
        <v>7</v>
      </c>
    </row>
    <row r="717" spans="1:2" x14ac:dyDescent="0.25">
      <c r="A717" s="3">
        <v>11</v>
      </c>
      <c r="B717" s="3">
        <v>4</v>
      </c>
    </row>
    <row r="718" spans="1:2" x14ac:dyDescent="0.25">
      <c r="A718" s="3">
        <v>14</v>
      </c>
      <c r="B718" s="3">
        <v>3</v>
      </c>
    </row>
    <row r="719" spans="1:2" x14ac:dyDescent="0.25">
      <c r="A719" s="3">
        <v>0</v>
      </c>
      <c r="B719" s="3">
        <v>3</v>
      </c>
    </row>
    <row r="720" spans="1:2" x14ac:dyDescent="0.25">
      <c r="A720" s="3">
        <v>27</v>
      </c>
      <c r="B720" s="3">
        <v>2</v>
      </c>
    </row>
    <row r="721" spans="1:2" x14ac:dyDescent="0.25">
      <c r="A721" s="3">
        <v>25</v>
      </c>
      <c r="B721" s="3">
        <v>1</v>
      </c>
    </row>
    <row r="722" spans="1:2" x14ac:dyDescent="0.25">
      <c r="A722" s="3">
        <v>15</v>
      </c>
      <c r="B722" s="3">
        <v>3</v>
      </c>
    </row>
    <row r="723" spans="1:2" x14ac:dyDescent="0.25">
      <c r="A723" s="3">
        <v>23</v>
      </c>
      <c r="B723" s="3">
        <v>4</v>
      </c>
    </row>
    <row r="724" spans="1:2" x14ac:dyDescent="0.25">
      <c r="A724" s="3">
        <v>15</v>
      </c>
      <c r="B724" s="3">
        <v>2</v>
      </c>
    </row>
    <row r="725" spans="1:2" x14ac:dyDescent="0.25">
      <c r="A725" s="3">
        <v>24</v>
      </c>
      <c r="B725" s="3">
        <v>4</v>
      </c>
    </row>
    <row r="726" spans="1:2" x14ac:dyDescent="0.25">
      <c r="A726" s="3">
        <v>2</v>
      </c>
      <c r="B726" s="3">
        <v>3</v>
      </c>
    </row>
    <row r="727" spans="1:2" x14ac:dyDescent="0.25">
      <c r="A727" s="3">
        <v>9</v>
      </c>
      <c r="B727" s="3">
        <v>1</v>
      </c>
    </row>
    <row r="728" spans="1:2" x14ac:dyDescent="0.25">
      <c r="A728" s="3">
        <v>11</v>
      </c>
      <c r="B728" s="3">
        <v>4</v>
      </c>
    </row>
    <row r="729" spans="1:2" x14ac:dyDescent="0.25">
      <c r="A729" s="3">
        <v>42</v>
      </c>
      <c r="B729" s="3">
        <v>2</v>
      </c>
    </row>
    <row r="730" spans="1:2" x14ac:dyDescent="0.25">
      <c r="A730" s="3">
        <v>14</v>
      </c>
      <c r="B730" s="3">
        <v>3</v>
      </c>
    </row>
    <row r="731" spans="1:2" x14ac:dyDescent="0.25">
      <c r="A731" s="3">
        <v>-10</v>
      </c>
      <c r="B731" s="3">
        <v>4</v>
      </c>
    </row>
    <row r="732" spans="1:2" x14ac:dyDescent="0.25">
      <c r="A732" s="3">
        <v>-10</v>
      </c>
      <c r="B732" s="3">
        <v>6</v>
      </c>
    </row>
    <row r="733" spans="1:2" x14ac:dyDescent="0.25">
      <c r="A733" s="3">
        <v>8</v>
      </c>
      <c r="B733" s="3">
        <v>3</v>
      </c>
    </row>
    <row r="734" spans="1:2" x14ac:dyDescent="0.25">
      <c r="A734" s="3">
        <v>0</v>
      </c>
      <c r="B734" s="3">
        <v>1</v>
      </c>
    </row>
    <row r="735" spans="1:2" x14ac:dyDescent="0.25">
      <c r="A735" s="3">
        <v>29</v>
      </c>
      <c r="B735" s="3">
        <v>5</v>
      </c>
    </row>
    <row r="736" spans="1:2" x14ac:dyDescent="0.25">
      <c r="A736" s="3">
        <v>1</v>
      </c>
      <c r="B736" s="3">
        <v>2</v>
      </c>
    </row>
    <row r="737" spans="1:2" x14ac:dyDescent="0.25">
      <c r="A737" s="3">
        <v>1</v>
      </c>
      <c r="B737" s="3">
        <v>1</v>
      </c>
    </row>
    <row r="738" spans="1:2" x14ac:dyDescent="0.25">
      <c r="A738" s="3">
        <v>36</v>
      </c>
      <c r="B738" s="3">
        <v>2</v>
      </c>
    </row>
    <row r="739" spans="1:2" x14ac:dyDescent="0.25">
      <c r="A739" s="3">
        <v>54</v>
      </c>
      <c r="B739" s="3">
        <v>2</v>
      </c>
    </row>
    <row r="740" spans="1:2" x14ac:dyDescent="0.25">
      <c r="A740" s="3">
        <v>-5</v>
      </c>
      <c r="B740" s="3">
        <v>4</v>
      </c>
    </row>
    <row r="741" spans="1:2" x14ac:dyDescent="0.25">
      <c r="A741" s="3">
        <v>73</v>
      </c>
      <c r="B741" s="3">
        <v>3</v>
      </c>
    </row>
    <row r="742" spans="1:2" x14ac:dyDescent="0.25">
      <c r="A742" s="3">
        <v>35</v>
      </c>
      <c r="B742" s="3">
        <v>7</v>
      </c>
    </row>
    <row r="743" spans="1:2" x14ac:dyDescent="0.25">
      <c r="A743" s="3">
        <v>56</v>
      </c>
      <c r="B743" s="3">
        <v>7</v>
      </c>
    </row>
    <row r="744" spans="1:2" x14ac:dyDescent="0.25">
      <c r="A744" s="3">
        <v>27</v>
      </c>
      <c r="B744" s="3">
        <v>2</v>
      </c>
    </row>
    <row r="745" spans="1:2" x14ac:dyDescent="0.25">
      <c r="A745" s="3">
        <v>1</v>
      </c>
      <c r="B745" s="3">
        <v>2</v>
      </c>
    </row>
    <row r="746" spans="1:2" x14ac:dyDescent="0.25">
      <c r="A746" s="3">
        <v>-89</v>
      </c>
      <c r="B746" s="3">
        <v>2</v>
      </c>
    </row>
    <row r="747" spans="1:2" x14ac:dyDescent="0.25">
      <c r="A747" s="3">
        <v>66</v>
      </c>
      <c r="B747" s="3">
        <v>1</v>
      </c>
    </row>
    <row r="748" spans="1:2" x14ac:dyDescent="0.25">
      <c r="A748" s="3">
        <v>-37</v>
      </c>
      <c r="B748" s="3">
        <v>4</v>
      </c>
    </row>
    <row r="749" spans="1:2" x14ac:dyDescent="0.25">
      <c r="A749" s="3">
        <v>11</v>
      </c>
      <c r="B749" s="3">
        <v>3</v>
      </c>
    </row>
    <row r="750" spans="1:2" x14ac:dyDescent="0.25">
      <c r="A750" s="3">
        <v>41</v>
      </c>
      <c r="B750" s="3">
        <v>4</v>
      </c>
    </row>
    <row r="751" spans="1:2" x14ac:dyDescent="0.25">
      <c r="A751" s="3">
        <v>20</v>
      </c>
      <c r="B751" s="3">
        <v>2</v>
      </c>
    </row>
    <row r="752" spans="1:2" x14ac:dyDescent="0.25">
      <c r="A752" s="3">
        <v>-83</v>
      </c>
      <c r="B752" s="3">
        <v>5</v>
      </c>
    </row>
    <row r="753" spans="1:2" x14ac:dyDescent="0.25">
      <c r="A753" s="3">
        <v>4</v>
      </c>
      <c r="B753" s="3">
        <v>2</v>
      </c>
    </row>
    <row r="754" spans="1:2" x14ac:dyDescent="0.25">
      <c r="A754" s="3">
        <v>15</v>
      </c>
      <c r="B754" s="3">
        <v>3</v>
      </c>
    </row>
    <row r="755" spans="1:2" x14ac:dyDescent="0.25">
      <c r="A755" s="3">
        <v>10</v>
      </c>
      <c r="B755" s="3">
        <v>3</v>
      </c>
    </row>
    <row r="756" spans="1:2" x14ac:dyDescent="0.25">
      <c r="A756" s="3">
        <v>8</v>
      </c>
      <c r="B756" s="3">
        <v>3</v>
      </c>
    </row>
    <row r="757" spans="1:2" x14ac:dyDescent="0.25">
      <c r="A757" s="3">
        <v>-32</v>
      </c>
      <c r="B757" s="3">
        <v>9</v>
      </c>
    </row>
    <row r="758" spans="1:2" x14ac:dyDescent="0.25">
      <c r="A758" s="3">
        <v>-55</v>
      </c>
      <c r="B758" s="3">
        <v>6</v>
      </c>
    </row>
    <row r="759" spans="1:2" x14ac:dyDescent="0.25">
      <c r="A759" s="3">
        <v>22</v>
      </c>
      <c r="B759" s="3">
        <v>3</v>
      </c>
    </row>
    <row r="760" spans="1:2" x14ac:dyDescent="0.25">
      <c r="A760" s="3">
        <v>-3</v>
      </c>
      <c r="B760" s="3">
        <v>3</v>
      </c>
    </row>
    <row r="761" spans="1:2" x14ac:dyDescent="0.25">
      <c r="A761" s="3">
        <v>-124</v>
      </c>
      <c r="B761" s="3">
        <v>5</v>
      </c>
    </row>
    <row r="762" spans="1:2" x14ac:dyDescent="0.25">
      <c r="A762" s="3">
        <v>22</v>
      </c>
      <c r="B762" s="3">
        <v>2</v>
      </c>
    </row>
    <row r="763" spans="1:2" x14ac:dyDescent="0.25">
      <c r="A763" s="3">
        <v>9</v>
      </c>
      <c r="B763" s="3">
        <v>3</v>
      </c>
    </row>
    <row r="764" spans="1:2" x14ac:dyDescent="0.25">
      <c r="A764" s="3">
        <v>-9</v>
      </c>
      <c r="B764" s="3">
        <v>4</v>
      </c>
    </row>
    <row r="765" spans="1:2" x14ac:dyDescent="0.25">
      <c r="A765" s="3">
        <v>-75</v>
      </c>
      <c r="B765" s="3">
        <v>5</v>
      </c>
    </row>
    <row r="766" spans="1:2" x14ac:dyDescent="0.25">
      <c r="A766" s="3">
        <v>-42</v>
      </c>
      <c r="B766" s="3">
        <v>2</v>
      </c>
    </row>
    <row r="767" spans="1:2" x14ac:dyDescent="0.25">
      <c r="A767" s="3">
        <v>-81</v>
      </c>
      <c r="B767" s="3">
        <v>3</v>
      </c>
    </row>
    <row r="768" spans="1:2" x14ac:dyDescent="0.25">
      <c r="A768" s="3">
        <v>6</v>
      </c>
      <c r="B768" s="3">
        <v>2</v>
      </c>
    </row>
    <row r="769" spans="1:2" x14ac:dyDescent="0.25">
      <c r="A769" s="3">
        <v>123</v>
      </c>
      <c r="B769" s="3">
        <v>3</v>
      </c>
    </row>
    <row r="770" spans="1:2" x14ac:dyDescent="0.25">
      <c r="A770" s="3">
        <v>122</v>
      </c>
      <c r="B770" s="3">
        <v>5</v>
      </c>
    </row>
    <row r="771" spans="1:2" x14ac:dyDescent="0.25">
      <c r="A771" s="3">
        <v>61</v>
      </c>
      <c r="B771" s="3">
        <v>3</v>
      </c>
    </row>
    <row r="772" spans="1:2" x14ac:dyDescent="0.25">
      <c r="A772" s="3">
        <v>-3</v>
      </c>
      <c r="B772" s="3">
        <v>5</v>
      </c>
    </row>
    <row r="773" spans="1:2" x14ac:dyDescent="0.25">
      <c r="A773" s="3">
        <v>10</v>
      </c>
      <c r="B773" s="3">
        <v>1</v>
      </c>
    </row>
    <row r="774" spans="1:2" x14ac:dyDescent="0.25">
      <c r="A774" s="3">
        <v>15</v>
      </c>
      <c r="B774" s="3">
        <v>5</v>
      </c>
    </row>
    <row r="775" spans="1:2" x14ac:dyDescent="0.25">
      <c r="A775" s="3">
        <v>0</v>
      </c>
      <c r="B775" s="3">
        <v>2</v>
      </c>
    </row>
    <row r="776" spans="1:2" x14ac:dyDescent="0.25">
      <c r="A776" s="3">
        <v>49</v>
      </c>
      <c r="B776" s="3">
        <v>3</v>
      </c>
    </row>
    <row r="777" spans="1:2" x14ac:dyDescent="0.25">
      <c r="A777" s="3">
        <v>12</v>
      </c>
      <c r="B777" s="3">
        <v>5</v>
      </c>
    </row>
    <row r="778" spans="1:2" x14ac:dyDescent="0.25">
      <c r="A778" s="3">
        <v>13</v>
      </c>
      <c r="B778" s="3">
        <v>2</v>
      </c>
    </row>
    <row r="779" spans="1:2" x14ac:dyDescent="0.25">
      <c r="A779" s="3">
        <v>56</v>
      </c>
      <c r="B779" s="3">
        <v>4</v>
      </c>
    </row>
    <row r="780" spans="1:2" x14ac:dyDescent="0.25">
      <c r="A780" s="3">
        <v>19</v>
      </c>
      <c r="B780" s="3">
        <v>7</v>
      </c>
    </row>
    <row r="781" spans="1:2" x14ac:dyDescent="0.25">
      <c r="A781" s="3">
        <v>38</v>
      </c>
      <c r="B781" s="3">
        <v>5</v>
      </c>
    </row>
    <row r="782" spans="1:2" x14ac:dyDescent="0.25">
      <c r="A782" s="3">
        <v>-41</v>
      </c>
      <c r="B782" s="3">
        <v>3</v>
      </c>
    </row>
    <row r="783" spans="1:2" x14ac:dyDescent="0.25">
      <c r="A783" s="3">
        <v>57</v>
      </c>
      <c r="B783" s="3">
        <v>2</v>
      </c>
    </row>
    <row r="784" spans="1:2" x14ac:dyDescent="0.25">
      <c r="A784" s="3">
        <v>30</v>
      </c>
      <c r="B784" s="3">
        <v>3</v>
      </c>
    </row>
    <row r="785" spans="1:2" x14ac:dyDescent="0.25">
      <c r="A785" s="3">
        <v>11</v>
      </c>
      <c r="B785" s="3">
        <v>5</v>
      </c>
    </row>
    <row r="786" spans="1:2" x14ac:dyDescent="0.25">
      <c r="A786" s="3">
        <v>-124</v>
      </c>
      <c r="B786" s="3">
        <v>9</v>
      </c>
    </row>
    <row r="787" spans="1:2" x14ac:dyDescent="0.25">
      <c r="A787" s="3">
        <v>41</v>
      </c>
      <c r="B787" s="3">
        <v>3</v>
      </c>
    </row>
    <row r="788" spans="1:2" x14ac:dyDescent="0.25">
      <c r="A788" s="3">
        <v>16</v>
      </c>
      <c r="B788" s="3">
        <v>3</v>
      </c>
    </row>
    <row r="789" spans="1:2" x14ac:dyDescent="0.25">
      <c r="A789" s="3">
        <v>20</v>
      </c>
      <c r="B789" s="3">
        <v>2</v>
      </c>
    </row>
    <row r="790" spans="1:2" x14ac:dyDescent="0.25">
      <c r="A790" s="3">
        <v>6</v>
      </c>
      <c r="B790" s="3">
        <v>7</v>
      </c>
    </row>
    <row r="791" spans="1:2" x14ac:dyDescent="0.25">
      <c r="A791" s="3">
        <v>36</v>
      </c>
      <c r="B791" s="3">
        <v>4</v>
      </c>
    </row>
    <row r="792" spans="1:2" x14ac:dyDescent="0.25">
      <c r="A792" s="3">
        <v>-13</v>
      </c>
      <c r="B792" s="3">
        <v>3</v>
      </c>
    </row>
    <row r="793" spans="1:2" x14ac:dyDescent="0.25">
      <c r="A793" s="3">
        <v>5</v>
      </c>
      <c r="B793" s="3">
        <v>5</v>
      </c>
    </row>
    <row r="794" spans="1:2" x14ac:dyDescent="0.25">
      <c r="A794" s="3">
        <v>20</v>
      </c>
      <c r="B794" s="3">
        <v>7</v>
      </c>
    </row>
    <row r="795" spans="1:2" x14ac:dyDescent="0.25">
      <c r="A795" s="3">
        <v>-42</v>
      </c>
      <c r="B795" s="3">
        <v>1</v>
      </c>
    </row>
    <row r="796" spans="1:2" x14ac:dyDescent="0.25">
      <c r="A796" s="3">
        <v>27</v>
      </c>
      <c r="B796" s="3">
        <v>3</v>
      </c>
    </row>
    <row r="797" spans="1:2" x14ac:dyDescent="0.25">
      <c r="A797" s="3">
        <v>7</v>
      </c>
      <c r="B797" s="3">
        <v>1</v>
      </c>
    </row>
    <row r="798" spans="1:2" x14ac:dyDescent="0.25">
      <c r="A798" s="3">
        <v>-92</v>
      </c>
      <c r="B798" s="3">
        <v>8</v>
      </c>
    </row>
    <row r="799" spans="1:2" x14ac:dyDescent="0.25">
      <c r="A799" s="3">
        <v>-50</v>
      </c>
      <c r="B799" s="3">
        <v>1</v>
      </c>
    </row>
    <row r="800" spans="1:2" x14ac:dyDescent="0.25">
      <c r="A800" s="3">
        <v>19</v>
      </c>
      <c r="B800" s="3">
        <v>3</v>
      </c>
    </row>
    <row r="801" spans="1:2" x14ac:dyDescent="0.25">
      <c r="A801" s="3">
        <v>29</v>
      </c>
      <c r="B801" s="3">
        <v>3</v>
      </c>
    </row>
    <row r="802" spans="1:2" x14ac:dyDescent="0.25">
      <c r="A802" s="3">
        <v>-25</v>
      </c>
      <c r="B802" s="3">
        <v>3</v>
      </c>
    </row>
    <row r="803" spans="1:2" x14ac:dyDescent="0.25">
      <c r="A803" s="3">
        <v>-63</v>
      </c>
      <c r="B803" s="3">
        <v>3</v>
      </c>
    </row>
    <row r="804" spans="1:2" x14ac:dyDescent="0.25">
      <c r="A804" s="3">
        <v>-31</v>
      </c>
      <c r="B804" s="3">
        <v>1</v>
      </c>
    </row>
    <row r="805" spans="1:2" x14ac:dyDescent="0.25">
      <c r="A805" s="3">
        <v>22</v>
      </c>
      <c r="B805" s="3">
        <v>3</v>
      </c>
    </row>
    <row r="806" spans="1:2" x14ac:dyDescent="0.25">
      <c r="A806" s="3">
        <v>46</v>
      </c>
      <c r="B806" s="3">
        <v>5</v>
      </c>
    </row>
    <row r="807" spans="1:2" x14ac:dyDescent="0.25">
      <c r="A807" s="3">
        <v>7</v>
      </c>
      <c r="B807" s="3">
        <v>2</v>
      </c>
    </row>
    <row r="808" spans="1:2" x14ac:dyDescent="0.25">
      <c r="A808" s="3">
        <v>-41</v>
      </c>
      <c r="B808" s="3">
        <v>4</v>
      </c>
    </row>
    <row r="809" spans="1:2" x14ac:dyDescent="0.25">
      <c r="A809" s="3">
        <v>41</v>
      </c>
      <c r="B809" s="3">
        <v>3</v>
      </c>
    </row>
    <row r="810" spans="1:2" x14ac:dyDescent="0.25">
      <c r="A810" s="3">
        <v>21</v>
      </c>
      <c r="B810" s="3">
        <v>3</v>
      </c>
    </row>
    <row r="811" spans="1:2" x14ac:dyDescent="0.25">
      <c r="A811" s="3">
        <v>-7</v>
      </c>
      <c r="B811" s="3">
        <v>1</v>
      </c>
    </row>
    <row r="812" spans="1:2" x14ac:dyDescent="0.25">
      <c r="A812" s="3">
        <v>72</v>
      </c>
      <c r="B812" s="3">
        <v>7</v>
      </c>
    </row>
    <row r="813" spans="1:2" x14ac:dyDescent="0.25">
      <c r="A813" s="3">
        <v>0</v>
      </c>
      <c r="B813" s="3">
        <v>4</v>
      </c>
    </row>
    <row r="814" spans="1:2" x14ac:dyDescent="0.25">
      <c r="A814" s="3">
        <v>-13</v>
      </c>
      <c r="B814" s="3">
        <v>3</v>
      </c>
    </row>
    <row r="815" spans="1:2" x14ac:dyDescent="0.25">
      <c r="A815" s="3">
        <v>25</v>
      </c>
      <c r="B815" s="3">
        <v>3</v>
      </c>
    </row>
    <row r="816" spans="1:2" x14ac:dyDescent="0.25">
      <c r="A816" s="3">
        <v>-7</v>
      </c>
      <c r="B816" s="3">
        <v>4</v>
      </c>
    </row>
    <row r="817" spans="1:2" x14ac:dyDescent="0.25">
      <c r="A817" s="3">
        <v>-104</v>
      </c>
      <c r="B817" s="3">
        <v>5</v>
      </c>
    </row>
    <row r="818" spans="1:2" x14ac:dyDescent="0.25">
      <c r="A818" s="3">
        <v>-49</v>
      </c>
      <c r="B818" s="3">
        <v>1</v>
      </c>
    </row>
    <row r="819" spans="1:2" x14ac:dyDescent="0.25">
      <c r="A819" s="3">
        <v>15</v>
      </c>
      <c r="B819" s="3">
        <v>5</v>
      </c>
    </row>
    <row r="820" spans="1:2" x14ac:dyDescent="0.25">
      <c r="A820" s="3">
        <v>15</v>
      </c>
      <c r="B820" s="3">
        <v>3</v>
      </c>
    </row>
    <row r="821" spans="1:2" x14ac:dyDescent="0.25">
      <c r="A821" s="3">
        <v>16</v>
      </c>
      <c r="B821" s="3">
        <v>2</v>
      </c>
    </row>
    <row r="822" spans="1:2" x14ac:dyDescent="0.25">
      <c r="A822" s="3">
        <v>0</v>
      </c>
      <c r="B822" s="3">
        <v>8</v>
      </c>
    </row>
    <row r="823" spans="1:2" x14ac:dyDescent="0.25">
      <c r="A823" s="3">
        <v>-14</v>
      </c>
      <c r="B823" s="3">
        <v>4</v>
      </c>
    </row>
    <row r="824" spans="1:2" x14ac:dyDescent="0.25">
      <c r="A824" s="3">
        <v>-85</v>
      </c>
      <c r="B824" s="3">
        <v>3</v>
      </c>
    </row>
    <row r="825" spans="1:2" x14ac:dyDescent="0.25">
      <c r="A825" s="3">
        <v>13</v>
      </c>
      <c r="B825" s="3">
        <v>8</v>
      </c>
    </row>
    <row r="826" spans="1:2" x14ac:dyDescent="0.25">
      <c r="A826" s="3">
        <v>19</v>
      </c>
      <c r="B826" s="3">
        <v>5</v>
      </c>
    </row>
    <row r="827" spans="1:2" x14ac:dyDescent="0.25">
      <c r="A827" s="3">
        <v>-3</v>
      </c>
      <c r="B827" s="3">
        <v>2</v>
      </c>
    </row>
    <row r="828" spans="1:2" x14ac:dyDescent="0.25">
      <c r="A828" s="3">
        <v>-47</v>
      </c>
      <c r="B828" s="3">
        <v>4</v>
      </c>
    </row>
    <row r="829" spans="1:2" x14ac:dyDescent="0.25">
      <c r="A829" s="3">
        <v>26</v>
      </c>
      <c r="B829" s="3">
        <v>5</v>
      </c>
    </row>
    <row r="830" spans="1:2" x14ac:dyDescent="0.25">
      <c r="A830" s="3">
        <v>5</v>
      </c>
      <c r="B830" s="3">
        <v>3</v>
      </c>
    </row>
    <row r="831" spans="1:2" x14ac:dyDescent="0.25">
      <c r="A831" s="3">
        <v>-86</v>
      </c>
      <c r="B831" s="3">
        <v>9</v>
      </c>
    </row>
    <row r="832" spans="1:2" x14ac:dyDescent="0.25">
      <c r="A832" s="3">
        <v>-42</v>
      </c>
      <c r="B832" s="3">
        <v>3</v>
      </c>
    </row>
    <row r="833" spans="1:2" x14ac:dyDescent="0.25">
      <c r="A833" s="3">
        <v>-101</v>
      </c>
      <c r="B833" s="3">
        <v>2</v>
      </c>
    </row>
    <row r="834" spans="1:2" x14ac:dyDescent="0.25">
      <c r="A834" s="3">
        <v>38</v>
      </c>
      <c r="B834" s="3">
        <v>6</v>
      </c>
    </row>
    <row r="835" spans="1:2" x14ac:dyDescent="0.25">
      <c r="A835" s="3">
        <v>-5</v>
      </c>
      <c r="B835" s="3">
        <v>2</v>
      </c>
    </row>
    <row r="836" spans="1:2" x14ac:dyDescent="0.25">
      <c r="A836" s="3">
        <v>-17</v>
      </c>
      <c r="B836" s="3">
        <v>3</v>
      </c>
    </row>
    <row r="837" spans="1:2" x14ac:dyDescent="0.25">
      <c r="A837" s="3">
        <v>-15</v>
      </c>
      <c r="B837" s="3">
        <v>12</v>
      </c>
    </row>
    <row r="838" spans="1:2" x14ac:dyDescent="0.25">
      <c r="A838" s="3">
        <v>-4</v>
      </c>
      <c r="B838" s="3">
        <v>6</v>
      </c>
    </row>
    <row r="839" spans="1:2" x14ac:dyDescent="0.25">
      <c r="A839" s="3">
        <v>-43</v>
      </c>
      <c r="B839" s="3">
        <v>7</v>
      </c>
    </row>
    <row r="840" spans="1:2" x14ac:dyDescent="0.25">
      <c r="A840" s="3">
        <v>56</v>
      </c>
      <c r="B840" s="3">
        <v>3</v>
      </c>
    </row>
    <row r="841" spans="1:2" x14ac:dyDescent="0.25">
      <c r="A841" s="3">
        <v>-5</v>
      </c>
      <c r="B841" s="3">
        <v>8</v>
      </c>
    </row>
    <row r="842" spans="1:2" x14ac:dyDescent="0.25">
      <c r="A842" s="3">
        <v>25</v>
      </c>
      <c r="B842" s="3">
        <v>4</v>
      </c>
    </row>
    <row r="843" spans="1:2" x14ac:dyDescent="0.25">
      <c r="A843" s="3">
        <v>22</v>
      </c>
      <c r="B843" s="3">
        <v>1</v>
      </c>
    </row>
    <row r="844" spans="1:2" x14ac:dyDescent="0.25">
      <c r="A844" s="3">
        <v>-29</v>
      </c>
      <c r="B844" s="3">
        <v>10</v>
      </c>
    </row>
    <row r="845" spans="1:2" x14ac:dyDescent="0.25">
      <c r="A845" s="3">
        <v>69</v>
      </c>
      <c r="B845" s="3">
        <v>3</v>
      </c>
    </row>
    <row r="846" spans="1:2" x14ac:dyDescent="0.25">
      <c r="A846" s="3">
        <v>-52</v>
      </c>
      <c r="B846" s="3">
        <v>3</v>
      </c>
    </row>
    <row r="847" spans="1:2" x14ac:dyDescent="0.25">
      <c r="A847" s="3">
        <v>-59</v>
      </c>
      <c r="B847" s="3">
        <v>2</v>
      </c>
    </row>
    <row r="848" spans="1:2" x14ac:dyDescent="0.25">
      <c r="A848" s="3">
        <v>20</v>
      </c>
      <c r="B848" s="3">
        <v>3</v>
      </c>
    </row>
    <row r="849" spans="1:2" x14ac:dyDescent="0.25">
      <c r="A849" s="3">
        <v>1</v>
      </c>
      <c r="B849" s="3">
        <v>4</v>
      </c>
    </row>
    <row r="850" spans="1:2" x14ac:dyDescent="0.25">
      <c r="A850" s="3">
        <v>27</v>
      </c>
      <c r="B850" s="3">
        <v>5</v>
      </c>
    </row>
    <row r="851" spans="1:2" x14ac:dyDescent="0.25">
      <c r="A851" s="3">
        <v>-113</v>
      </c>
      <c r="B851" s="3">
        <v>4</v>
      </c>
    </row>
    <row r="852" spans="1:2" x14ac:dyDescent="0.25">
      <c r="A852" s="3">
        <v>43</v>
      </c>
      <c r="B852" s="3">
        <v>7</v>
      </c>
    </row>
    <row r="853" spans="1:2" x14ac:dyDescent="0.25">
      <c r="A853" s="3">
        <v>17</v>
      </c>
      <c r="B853" s="3">
        <v>3</v>
      </c>
    </row>
    <row r="854" spans="1:2" x14ac:dyDescent="0.25">
      <c r="A854" s="3">
        <v>14</v>
      </c>
      <c r="B854" s="3">
        <v>2</v>
      </c>
    </row>
    <row r="855" spans="1:2" x14ac:dyDescent="0.25">
      <c r="A855" s="3">
        <v>0</v>
      </c>
      <c r="B855" s="3">
        <v>5</v>
      </c>
    </row>
    <row r="856" spans="1:2" x14ac:dyDescent="0.25">
      <c r="A856" s="3">
        <v>28</v>
      </c>
      <c r="B856" s="3">
        <v>9</v>
      </c>
    </row>
    <row r="857" spans="1:2" x14ac:dyDescent="0.25">
      <c r="A857" s="3">
        <v>6</v>
      </c>
      <c r="B857" s="3">
        <v>5</v>
      </c>
    </row>
    <row r="858" spans="1:2" x14ac:dyDescent="0.25">
      <c r="A858" s="3">
        <v>-18</v>
      </c>
      <c r="B858" s="3">
        <v>7</v>
      </c>
    </row>
    <row r="859" spans="1:2" x14ac:dyDescent="0.25">
      <c r="A859" s="3">
        <v>18</v>
      </c>
      <c r="B859" s="3">
        <v>6</v>
      </c>
    </row>
    <row r="860" spans="1:2" x14ac:dyDescent="0.25">
      <c r="A860" s="3">
        <v>24</v>
      </c>
      <c r="B860" s="3">
        <v>3</v>
      </c>
    </row>
    <row r="861" spans="1:2" x14ac:dyDescent="0.25">
      <c r="A861" s="3">
        <v>55</v>
      </c>
      <c r="B861" s="3">
        <v>4</v>
      </c>
    </row>
    <row r="862" spans="1:2" x14ac:dyDescent="0.25">
      <c r="A862" s="3">
        <v>-8</v>
      </c>
      <c r="B862" s="3">
        <v>2</v>
      </c>
    </row>
    <row r="863" spans="1:2" x14ac:dyDescent="0.25">
      <c r="A863" s="3">
        <v>-8</v>
      </c>
      <c r="B863" s="3">
        <v>3</v>
      </c>
    </row>
    <row r="864" spans="1:2" x14ac:dyDescent="0.25">
      <c r="A864" s="3">
        <v>-56</v>
      </c>
      <c r="B864" s="3">
        <v>5</v>
      </c>
    </row>
    <row r="865" spans="1:2" x14ac:dyDescent="0.25">
      <c r="A865" s="3">
        <v>21</v>
      </c>
      <c r="B865" s="3">
        <v>3</v>
      </c>
    </row>
    <row r="866" spans="1:2" x14ac:dyDescent="0.25">
      <c r="A866" s="3">
        <v>6</v>
      </c>
      <c r="B866" s="3">
        <v>6</v>
      </c>
    </row>
    <row r="867" spans="1:2" x14ac:dyDescent="0.25">
      <c r="A867" s="3">
        <v>1</v>
      </c>
      <c r="B867" s="3">
        <v>2</v>
      </c>
    </row>
    <row r="868" spans="1:2" x14ac:dyDescent="0.25">
      <c r="A868" s="3">
        <v>11</v>
      </c>
      <c r="B868" s="3">
        <v>9</v>
      </c>
    </row>
    <row r="869" spans="1:2" x14ac:dyDescent="0.25">
      <c r="A869" s="3">
        <v>-63</v>
      </c>
      <c r="B869" s="3">
        <v>4</v>
      </c>
    </row>
    <row r="870" spans="1:2" x14ac:dyDescent="0.25">
      <c r="A870" s="3">
        <v>-3</v>
      </c>
      <c r="B870" s="3">
        <v>2</v>
      </c>
    </row>
    <row r="871" spans="1:2" x14ac:dyDescent="0.25">
      <c r="A871" s="3">
        <v>28</v>
      </c>
      <c r="B871" s="3">
        <v>2</v>
      </c>
    </row>
    <row r="872" spans="1:2" x14ac:dyDescent="0.25">
      <c r="A872" s="3">
        <v>-50</v>
      </c>
      <c r="B872" s="3">
        <v>4</v>
      </c>
    </row>
    <row r="873" spans="1:2" x14ac:dyDescent="0.25">
      <c r="A873" s="3">
        <v>26</v>
      </c>
      <c r="B873" s="3">
        <v>4</v>
      </c>
    </row>
    <row r="874" spans="1:2" x14ac:dyDescent="0.25">
      <c r="A874" s="3">
        <v>1</v>
      </c>
      <c r="B874" s="3">
        <v>3</v>
      </c>
    </row>
    <row r="875" spans="1:2" x14ac:dyDescent="0.25">
      <c r="A875" s="3">
        <v>38</v>
      </c>
      <c r="B875" s="3">
        <v>3</v>
      </c>
    </row>
    <row r="876" spans="1:2" x14ac:dyDescent="0.25">
      <c r="A876" s="3">
        <v>18</v>
      </c>
      <c r="B876" s="3">
        <v>2</v>
      </c>
    </row>
    <row r="877" spans="1:2" x14ac:dyDescent="0.25">
      <c r="A877" s="3">
        <v>-23</v>
      </c>
      <c r="B877" s="3">
        <v>2</v>
      </c>
    </row>
    <row r="878" spans="1:2" x14ac:dyDescent="0.25">
      <c r="A878" s="3">
        <v>14</v>
      </c>
      <c r="B878" s="3">
        <v>9</v>
      </c>
    </row>
    <row r="879" spans="1:2" x14ac:dyDescent="0.25">
      <c r="A879" s="3">
        <v>-49</v>
      </c>
      <c r="B879" s="3">
        <v>8</v>
      </c>
    </row>
    <row r="880" spans="1:2" x14ac:dyDescent="0.25">
      <c r="A880" s="3">
        <v>-11</v>
      </c>
      <c r="B880" s="3">
        <v>1</v>
      </c>
    </row>
    <row r="881" spans="1:2" x14ac:dyDescent="0.25">
      <c r="A881" s="3">
        <v>26</v>
      </c>
      <c r="B881" s="3">
        <v>4</v>
      </c>
    </row>
    <row r="882" spans="1:2" x14ac:dyDescent="0.25">
      <c r="A882" s="3">
        <v>86</v>
      </c>
      <c r="B882" s="3">
        <v>1</v>
      </c>
    </row>
    <row r="883" spans="1:2" x14ac:dyDescent="0.25">
      <c r="A883" s="3">
        <v>-3</v>
      </c>
      <c r="B883" s="3">
        <v>2</v>
      </c>
    </row>
    <row r="884" spans="1:2" x14ac:dyDescent="0.25">
      <c r="A884" s="3">
        <v>37</v>
      </c>
      <c r="B884" s="3">
        <v>2</v>
      </c>
    </row>
    <row r="885" spans="1:2" x14ac:dyDescent="0.25">
      <c r="A885" s="3">
        <v>41</v>
      </c>
      <c r="B885" s="3">
        <v>4</v>
      </c>
    </row>
    <row r="886" spans="1:2" x14ac:dyDescent="0.25">
      <c r="A886" s="3">
        <v>15</v>
      </c>
      <c r="B886" s="3">
        <v>7</v>
      </c>
    </row>
    <row r="887" spans="1:2" x14ac:dyDescent="0.25">
      <c r="A887" s="3">
        <v>-14</v>
      </c>
      <c r="B887" s="3">
        <v>5</v>
      </c>
    </row>
    <row r="888" spans="1:2" x14ac:dyDescent="0.25">
      <c r="A888" s="3">
        <v>-10</v>
      </c>
      <c r="B888" s="3">
        <v>3</v>
      </c>
    </row>
    <row r="889" spans="1:2" x14ac:dyDescent="0.25">
      <c r="A889" s="3">
        <v>21</v>
      </c>
      <c r="B889" s="3">
        <v>4</v>
      </c>
    </row>
    <row r="890" spans="1:2" x14ac:dyDescent="0.25">
      <c r="A890" s="3">
        <v>-11</v>
      </c>
      <c r="B890" s="3">
        <v>4</v>
      </c>
    </row>
    <row r="891" spans="1:2" x14ac:dyDescent="0.25">
      <c r="A891" s="3">
        <v>0</v>
      </c>
      <c r="B891" s="3">
        <v>2</v>
      </c>
    </row>
    <row r="892" spans="1:2" x14ac:dyDescent="0.25">
      <c r="A892" s="3">
        <v>12</v>
      </c>
      <c r="B892" s="3">
        <v>3</v>
      </c>
    </row>
    <row r="893" spans="1:2" x14ac:dyDescent="0.25">
      <c r="A893" s="3">
        <v>13</v>
      </c>
      <c r="B893" s="3">
        <v>2</v>
      </c>
    </row>
    <row r="894" spans="1:2" x14ac:dyDescent="0.25">
      <c r="A894" s="3">
        <v>5</v>
      </c>
      <c r="B894" s="3">
        <v>3</v>
      </c>
    </row>
    <row r="895" spans="1:2" x14ac:dyDescent="0.25">
      <c r="A895" s="3">
        <v>-10</v>
      </c>
      <c r="B895" s="3">
        <v>2</v>
      </c>
    </row>
    <row r="896" spans="1:2" x14ac:dyDescent="0.25">
      <c r="A896" s="3">
        <v>25</v>
      </c>
      <c r="B896" s="3">
        <v>3</v>
      </c>
    </row>
    <row r="897" spans="1:2" x14ac:dyDescent="0.25">
      <c r="A897" s="3">
        <v>73</v>
      </c>
      <c r="B897" s="3">
        <v>2</v>
      </c>
    </row>
    <row r="898" spans="1:2" x14ac:dyDescent="0.25">
      <c r="A898" s="3">
        <v>10</v>
      </c>
      <c r="B898" s="3">
        <v>2</v>
      </c>
    </row>
    <row r="899" spans="1:2" x14ac:dyDescent="0.25">
      <c r="A899" s="3">
        <v>-21</v>
      </c>
      <c r="B899" s="3">
        <v>7</v>
      </c>
    </row>
    <row r="900" spans="1:2" x14ac:dyDescent="0.25">
      <c r="A900" s="3">
        <v>-26</v>
      </c>
      <c r="B900" s="3">
        <v>8</v>
      </c>
    </row>
    <row r="901" spans="1:2" x14ac:dyDescent="0.25">
      <c r="A901" s="3">
        <v>46</v>
      </c>
      <c r="B901" s="3">
        <v>2</v>
      </c>
    </row>
    <row r="902" spans="1:2" x14ac:dyDescent="0.25">
      <c r="A902" s="3">
        <v>17</v>
      </c>
      <c r="B902" s="3">
        <v>6</v>
      </c>
    </row>
    <row r="903" spans="1:2" x14ac:dyDescent="0.25">
      <c r="A903" s="3">
        <v>13</v>
      </c>
      <c r="B903" s="3">
        <v>2</v>
      </c>
    </row>
    <row r="904" spans="1:2" x14ac:dyDescent="0.25">
      <c r="A904" s="3">
        <v>12</v>
      </c>
      <c r="B904" s="3">
        <v>2</v>
      </c>
    </row>
    <row r="905" spans="1:2" x14ac:dyDescent="0.25">
      <c r="A905" s="3">
        <v>10</v>
      </c>
      <c r="B905" s="3">
        <v>4</v>
      </c>
    </row>
    <row r="906" spans="1:2" x14ac:dyDescent="0.25">
      <c r="A906" s="3">
        <v>60</v>
      </c>
      <c r="B906" s="3">
        <v>4</v>
      </c>
    </row>
    <row r="907" spans="1:2" x14ac:dyDescent="0.25">
      <c r="A907" s="3">
        <v>-52</v>
      </c>
      <c r="B907" s="3">
        <v>3</v>
      </c>
    </row>
    <row r="908" spans="1:2" x14ac:dyDescent="0.25">
      <c r="A908" s="3">
        <v>3</v>
      </c>
      <c r="B908" s="3">
        <v>3</v>
      </c>
    </row>
    <row r="909" spans="1:2" x14ac:dyDescent="0.25">
      <c r="A909" s="3">
        <v>-8</v>
      </c>
      <c r="B909" s="3">
        <v>2</v>
      </c>
    </row>
    <row r="910" spans="1:2" x14ac:dyDescent="0.25">
      <c r="A910" s="3">
        <v>20</v>
      </c>
      <c r="B910" s="3">
        <v>2</v>
      </c>
    </row>
    <row r="911" spans="1:2" x14ac:dyDescent="0.25">
      <c r="A911" s="3">
        <v>-166</v>
      </c>
      <c r="B911" s="3">
        <v>3</v>
      </c>
    </row>
    <row r="912" spans="1:2" x14ac:dyDescent="0.25">
      <c r="A912" s="3">
        <v>0</v>
      </c>
      <c r="B912" s="3">
        <v>4</v>
      </c>
    </row>
    <row r="913" spans="1:2" x14ac:dyDescent="0.25">
      <c r="A913" s="3">
        <v>89</v>
      </c>
      <c r="B913" s="3">
        <v>9</v>
      </c>
    </row>
    <row r="914" spans="1:2" x14ac:dyDescent="0.25">
      <c r="A914" s="3">
        <v>17</v>
      </c>
      <c r="B914" s="3">
        <v>2</v>
      </c>
    </row>
    <row r="915" spans="1:2" x14ac:dyDescent="0.25">
      <c r="A915" s="3">
        <v>-28</v>
      </c>
      <c r="B915" s="3">
        <v>2</v>
      </c>
    </row>
    <row r="916" spans="1:2" x14ac:dyDescent="0.25">
      <c r="A916" s="3">
        <v>-94</v>
      </c>
      <c r="B916" s="3">
        <v>4</v>
      </c>
    </row>
    <row r="917" spans="1:2" x14ac:dyDescent="0.25">
      <c r="A917" s="3">
        <v>-12</v>
      </c>
      <c r="B917" s="3">
        <v>2</v>
      </c>
    </row>
    <row r="918" spans="1:2" x14ac:dyDescent="0.25">
      <c r="A918" s="3">
        <v>-12</v>
      </c>
      <c r="B918" s="3">
        <v>3</v>
      </c>
    </row>
    <row r="919" spans="1:2" x14ac:dyDescent="0.25">
      <c r="A919" s="3">
        <v>17</v>
      </c>
      <c r="B919" s="3">
        <v>2</v>
      </c>
    </row>
    <row r="920" spans="1:2" x14ac:dyDescent="0.25">
      <c r="A920" s="3">
        <v>24</v>
      </c>
      <c r="B920" s="3">
        <v>5</v>
      </c>
    </row>
    <row r="921" spans="1:2" x14ac:dyDescent="0.25">
      <c r="A921" s="3">
        <v>14</v>
      </c>
      <c r="B921" s="3">
        <v>2</v>
      </c>
    </row>
    <row r="922" spans="1:2" x14ac:dyDescent="0.25">
      <c r="A922" s="3">
        <v>17</v>
      </c>
      <c r="B922" s="3">
        <v>2</v>
      </c>
    </row>
    <row r="923" spans="1:2" x14ac:dyDescent="0.25">
      <c r="A923" s="3">
        <v>22</v>
      </c>
      <c r="B923" s="3">
        <v>5</v>
      </c>
    </row>
    <row r="924" spans="1:2" x14ac:dyDescent="0.25">
      <c r="A924" s="3">
        <v>27</v>
      </c>
      <c r="B924" s="3">
        <v>2</v>
      </c>
    </row>
    <row r="925" spans="1:2" x14ac:dyDescent="0.25">
      <c r="A925" s="3">
        <v>-17</v>
      </c>
      <c r="B925" s="3">
        <v>1</v>
      </c>
    </row>
    <row r="926" spans="1:2" x14ac:dyDescent="0.25">
      <c r="A926" s="3">
        <v>44</v>
      </c>
      <c r="B926" s="3">
        <v>2</v>
      </c>
    </row>
    <row r="927" spans="1:2" x14ac:dyDescent="0.25">
      <c r="A927" s="3">
        <v>-65</v>
      </c>
      <c r="B927" s="3">
        <v>4</v>
      </c>
    </row>
    <row r="928" spans="1:2" x14ac:dyDescent="0.25">
      <c r="A928" s="3">
        <v>5</v>
      </c>
      <c r="B928" s="3">
        <v>6</v>
      </c>
    </row>
    <row r="929" spans="1:2" x14ac:dyDescent="0.25">
      <c r="A929" s="3">
        <v>27</v>
      </c>
      <c r="B929" s="3">
        <v>2</v>
      </c>
    </row>
    <row r="930" spans="1:2" x14ac:dyDescent="0.25">
      <c r="A930" s="3">
        <v>7</v>
      </c>
      <c r="B930" s="3">
        <v>3</v>
      </c>
    </row>
    <row r="931" spans="1:2" x14ac:dyDescent="0.25">
      <c r="A931" s="3">
        <v>21</v>
      </c>
      <c r="B931" s="3">
        <v>4</v>
      </c>
    </row>
    <row r="932" spans="1:2" x14ac:dyDescent="0.25">
      <c r="A932" s="3">
        <v>4</v>
      </c>
      <c r="B932" s="3">
        <v>3</v>
      </c>
    </row>
    <row r="933" spans="1:2" x14ac:dyDescent="0.25">
      <c r="A933" s="3">
        <v>-4</v>
      </c>
      <c r="B933" s="3">
        <v>5</v>
      </c>
    </row>
    <row r="934" spans="1:2" x14ac:dyDescent="0.25">
      <c r="A934" s="3">
        <v>26</v>
      </c>
      <c r="B934" s="3">
        <v>7</v>
      </c>
    </row>
    <row r="935" spans="1:2" x14ac:dyDescent="0.25">
      <c r="A935" s="3">
        <v>-119</v>
      </c>
      <c r="B935" s="3">
        <v>3</v>
      </c>
    </row>
    <row r="936" spans="1:2" x14ac:dyDescent="0.25">
      <c r="A936" s="3">
        <v>51</v>
      </c>
      <c r="B936" s="3">
        <v>5</v>
      </c>
    </row>
    <row r="937" spans="1:2" x14ac:dyDescent="0.25">
      <c r="A937" s="3">
        <v>18</v>
      </c>
      <c r="B937" s="3">
        <v>4</v>
      </c>
    </row>
    <row r="938" spans="1:2" x14ac:dyDescent="0.25">
      <c r="A938" s="3">
        <v>0</v>
      </c>
      <c r="B938" s="3">
        <v>4</v>
      </c>
    </row>
    <row r="939" spans="1:2" x14ac:dyDescent="0.25">
      <c r="A939" s="3">
        <v>16</v>
      </c>
      <c r="B939" s="3">
        <v>4</v>
      </c>
    </row>
    <row r="940" spans="1:2" x14ac:dyDescent="0.25">
      <c r="A940" s="3">
        <v>58</v>
      </c>
      <c r="B940" s="3">
        <v>3</v>
      </c>
    </row>
    <row r="941" spans="1:2" x14ac:dyDescent="0.25">
      <c r="A941" s="3">
        <v>8</v>
      </c>
      <c r="B941" s="3">
        <v>4</v>
      </c>
    </row>
    <row r="942" spans="1:2" x14ac:dyDescent="0.25">
      <c r="A942" s="3">
        <v>36</v>
      </c>
      <c r="B942" s="3">
        <v>5</v>
      </c>
    </row>
    <row r="943" spans="1:2" x14ac:dyDescent="0.25">
      <c r="A943" s="3">
        <v>4</v>
      </c>
      <c r="B943" s="3">
        <v>1</v>
      </c>
    </row>
    <row r="944" spans="1:2" x14ac:dyDescent="0.25">
      <c r="A944" s="3">
        <v>-33</v>
      </c>
      <c r="B944" s="3">
        <v>2</v>
      </c>
    </row>
    <row r="945" spans="1:2" x14ac:dyDescent="0.25">
      <c r="A945" s="3">
        <v>-1</v>
      </c>
      <c r="B945" s="3">
        <v>3</v>
      </c>
    </row>
    <row r="946" spans="1:2" x14ac:dyDescent="0.25">
      <c r="A946" s="3">
        <v>56</v>
      </c>
      <c r="B946" s="3">
        <v>2</v>
      </c>
    </row>
    <row r="947" spans="1:2" x14ac:dyDescent="0.25">
      <c r="A947" s="3">
        <v>73</v>
      </c>
      <c r="B947" s="3">
        <v>1</v>
      </c>
    </row>
    <row r="948" spans="1:2" x14ac:dyDescent="0.25">
      <c r="A948" s="3">
        <v>-3</v>
      </c>
      <c r="B948" s="3">
        <v>2</v>
      </c>
    </row>
    <row r="949" spans="1:2" x14ac:dyDescent="0.25">
      <c r="A949" s="3">
        <v>28</v>
      </c>
      <c r="B949" s="3">
        <v>2</v>
      </c>
    </row>
    <row r="950" spans="1:2" x14ac:dyDescent="0.25">
      <c r="A950" s="3">
        <v>-19</v>
      </c>
      <c r="B950" s="3">
        <v>5</v>
      </c>
    </row>
    <row r="951" spans="1:2" x14ac:dyDescent="0.25">
      <c r="A951" s="3">
        <v>29</v>
      </c>
      <c r="B951" s="3">
        <v>1</v>
      </c>
    </row>
    <row r="952" spans="1:2" x14ac:dyDescent="0.25">
      <c r="A952" s="3">
        <v>4</v>
      </c>
      <c r="B952" s="3">
        <v>2</v>
      </c>
    </row>
    <row r="953" spans="1:2" x14ac:dyDescent="0.25">
      <c r="A953" s="3">
        <v>12</v>
      </c>
      <c r="B953" s="3">
        <v>5</v>
      </c>
    </row>
    <row r="954" spans="1:2" x14ac:dyDescent="0.25">
      <c r="A954" s="3">
        <v>5</v>
      </c>
      <c r="B954" s="3">
        <v>9</v>
      </c>
    </row>
    <row r="955" spans="1:2" x14ac:dyDescent="0.25">
      <c r="A955" s="3">
        <v>-60</v>
      </c>
      <c r="B955" s="3">
        <v>4</v>
      </c>
    </row>
    <row r="956" spans="1:2" x14ac:dyDescent="0.25">
      <c r="A956" s="3">
        <v>5</v>
      </c>
      <c r="B956" s="3">
        <v>2</v>
      </c>
    </row>
    <row r="957" spans="1:2" x14ac:dyDescent="0.25">
      <c r="A957" s="3">
        <v>-145</v>
      </c>
      <c r="B957" s="3">
        <v>3</v>
      </c>
    </row>
    <row r="958" spans="1:2" x14ac:dyDescent="0.25">
      <c r="A958" s="3">
        <v>4</v>
      </c>
      <c r="B958" s="3">
        <v>2</v>
      </c>
    </row>
    <row r="959" spans="1:2" x14ac:dyDescent="0.25">
      <c r="A959" s="3">
        <v>-19</v>
      </c>
      <c r="B959" s="3">
        <v>2</v>
      </c>
    </row>
    <row r="960" spans="1:2" x14ac:dyDescent="0.25">
      <c r="A960" s="3">
        <v>32</v>
      </c>
      <c r="B960" s="3">
        <v>3</v>
      </c>
    </row>
    <row r="961" spans="1:2" x14ac:dyDescent="0.25">
      <c r="A961" s="3">
        <v>84</v>
      </c>
      <c r="B961" s="3">
        <v>2</v>
      </c>
    </row>
    <row r="962" spans="1:2" x14ac:dyDescent="0.25">
      <c r="A962" s="3">
        <v>31</v>
      </c>
      <c r="B962" s="3">
        <v>3</v>
      </c>
    </row>
    <row r="963" spans="1:2" x14ac:dyDescent="0.25">
      <c r="A963" s="3">
        <v>35</v>
      </c>
      <c r="B963" s="3">
        <v>6</v>
      </c>
    </row>
    <row r="964" spans="1:2" x14ac:dyDescent="0.25">
      <c r="A964" s="3">
        <v>6</v>
      </c>
      <c r="B964" s="3">
        <v>1</v>
      </c>
    </row>
    <row r="965" spans="1:2" x14ac:dyDescent="0.25">
      <c r="A965" s="3">
        <v>35</v>
      </c>
      <c r="B965" s="3">
        <v>4</v>
      </c>
    </row>
    <row r="966" spans="1:2" x14ac:dyDescent="0.25">
      <c r="A966" s="3">
        <v>18</v>
      </c>
      <c r="B966" s="3">
        <v>2</v>
      </c>
    </row>
    <row r="967" spans="1:2" x14ac:dyDescent="0.25">
      <c r="A967" s="3">
        <v>102</v>
      </c>
      <c r="B967" s="3">
        <v>8</v>
      </c>
    </row>
    <row r="968" spans="1:2" x14ac:dyDescent="0.25">
      <c r="A968" s="3">
        <v>-39</v>
      </c>
      <c r="B968" s="3">
        <v>4</v>
      </c>
    </row>
    <row r="969" spans="1:2" x14ac:dyDescent="0.25">
      <c r="A969" s="3">
        <v>33</v>
      </c>
      <c r="B969" s="3">
        <v>2</v>
      </c>
    </row>
    <row r="970" spans="1:2" x14ac:dyDescent="0.25">
      <c r="A970" s="3">
        <v>6</v>
      </c>
      <c r="B970" s="3">
        <v>4</v>
      </c>
    </row>
    <row r="971" spans="1:2" x14ac:dyDescent="0.25">
      <c r="A971" s="3">
        <v>6</v>
      </c>
      <c r="B971" s="3">
        <v>5</v>
      </c>
    </row>
    <row r="972" spans="1:2" x14ac:dyDescent="0.25">
      <c r="A972" s="3">
        <v>27</v>
      </c>
      <c r="B972" s="3">
        <v>2</v>
      </c>
    </row>
    <row r="973" spans="1:2" x14ac:dyDescent="0.25">
      <c r="A973" s="3">
        <v>41</v>
      </c>
      <c r="B973" s="3">
        <v>3</v>
      </c>
    </row>
    <row r="974" spans="1:2" x14ac:dyDescent="0.25">
      <c r="A974" s="3">
        <v>-21</v>
      </c>
      <c r="B974" s="3">
        <v>2</v>
      </c>
    </row>
    <row r="975" spans="1:2" x14ac:dyDescent="0.25">
      <c r="A975" s="3">
        <v>33</v>
      </c>
      <c r="B975" s="3">
        <v>4</v>
      </c>
    </row>
    <row r="976" spans="1:2" x14ac:dyDescent="0.25">
      <c r="A976" s="3">
        <v>8</v>
      </c>
      <c r="B976" s="3">
        <v>4</v>
      </c>
    </row>
    <row r="977" spans="1:2" x14ac:dyDescent="0.25">
      <c r="A977" s="3">
        <v>59</v>
      </c>
      <c r="B977" s="3">
        <v>9</v>
      </c>
    </row>
    <row r="978" spans="1:2" x14ac:dyDescent="0.25">
      <c r="A978" s="3">
        <v>38</v>
      </c>
      <c r="B978" s="3">
        <v>3</v>
      </c>
    </row>
    <row r="979" spans="1:2" x14ac:dyDescent="0.25">
      <c r="A979" s="3">
        <v>105</v>
      </c>
      <c r="B979" s="3">
        <v>2</v>
      </c>
    </row>
    <row r="980" spans="1:2" x14ac:dyDescent="0.25">
      <c r="A980" s="3">
        <v>6</v>
      </c>
      <c r="B980" s="3">
        <v>2</v>
      </c>
    </row>
    <row r="981" spans="1:2" x14ac:dyDescent="0.25">
      <c r="A981" s="3">
        <v>-11</v>
      </c>
      <c r="B981" s="3">
        <v>1</v>
      </c>
    </row>
    <row r="982" spans="1:2" x14ac:dyDescent="0.25">
      <c r="A982" s="3">
        <v>-252</v>
      </c>
      <c r="B982" s="3">
        <v>4</v>
      </c>
    </row>
    <row r="983" spans="1:2" x14ac:dyDescent="0.25">
      <c r="A983" s="3">
        <v>33</v>
      </c>
      <c r="B983" s="3">
        <v>5</v>
      </c>
    </row>
    <row r="984" spans="1:2" x14ac:dyDescent="0.25">
      <c r="A984" s="3">
        <v>35</v>
      </c>
      <c r="B984" s="3">
        <v>6</v>
      </c>
    </row>
    <row r="985" spans="1:2" x14ac:dyDescent="0.25">
      <c r="A985" s="3">
        <v>30</v>
      </c>
      <c r="B985" s="3">
        <v>3</v>
      </c>
    </row>
    <row r="986" spans="1:2" x14ac:dyDescent="0.25">
      <c r="A986" s="3">
        <v>7</v>
      </c>
      <c r="B986" s="3">
        <v>7</v>
      </c>
    </row>
    <row r="987" spans="1:2" x14ac:dyDescent="0.25">
      <c r="A987" s="3">
        <v>32</v>
      </c>
      <c r="B987" s="3">
        <v>4</v>
      </c>
    </row>
    <row r="988" spans="1:2" x14ac:dyDescent="0.25">
      <c r="A988" s="3">
        <v>12</v>
      </c>
      <c r="B988" s="3">
        <v>4</v>
      </c>
    </row>
    <row r="989" spans="1:2" x14ac:dyDescent="0.25">
      <c r="A989" s="3">
        <v>6</v>
      </c>
      <c r="B989" s="3">
        <v>6</v>
      </c>
    </row>
    <row r="990" spans="1:2" x14ac:dyDescent="0.25">
      <c r="A990" s="3">
        <v>-3</v>
      </c>
      <c r="B990" s="3">
        <v>3</v>
      </c>
    </row>
    <row r="991" spans="1:2" x14ac:dyDescent="0.25">
      <c r="A991" s="3">
        <v>5</v>
      </c>
      <c r="B991" s="3">
        <v>3</v>
      </c>
    </row>
    <row r="992" spans="1:2" x14ac:dyDescent="0.25">
      <c r="A992" s="3">
        <v>-27</v>
      </c>
      <c r="B992" s="3">
        <v>2</v>
      </c>
    </row>
    <row r="993" spans="1:2" x14ac:dyDescent="0.25">
      <c r="A993" s="3">
        <v>8</v>
      </c>
      <c r="B993" s="3">
        <v>2</v>
      </c>
    </row>
    <row r="994" spans="1:2" x14ac:dyDescent="0.25">
      <c r="A994" s="3">
        <v>-27</v>
      </c>
      <c r="B994" s="3">
        <v>3</v>
      </c>
    </row>
    <row r="995" spans="1:2" x14ac:dyDescent="0.25">
      <c r="A995" s="3">
        <v>36</v>
      </c>
      <c r="B995" s="3">
        <v>3</v>
      </c>
    </row>
    <row r="996" spans="1:2" x14ac:dyDescent="0.25">
      <c r="A996" s="3">
        <v>15</v>
      </c>
      <c r="B996" s="3">
        <v>2</v>
      </c>
    </row>
    <row r="997" spans="1:2" x14ac:dyDescent="0.25">
      <c r="A997" s="3">
        <v>1</v>
      </c>
      <c r="B997" s="3">
        <v>4</v>
      </c>
    </row>
    <row r="998" spans="1:2" x14ac:dyDescent="0.25">
      <c r="A998" s="3">
        <v>38</v>
      </c>
      <c r="B998" s="3">
        <v>2</v>
      </c>
    </row>
    <row r="999" spans="1:2" x14ac:dyDescent="0.25">
      <c r="A999" s="3">
        <v>215</v>
      </c>
      <c r="B999" s="3">
        <v>2</v>
      </c>
    </row>
    <row r="1000" spans="1:2" x14ac:dyDescent="0.25">
      <c r="A1000" s="3">
        <v>-39</v>
      </c>
      <c r="B1000" s="3">
        <v>5</v>
      </c>
    </row>
    <row r="1001" spans="1:2" x14ac:dyDescent="0.25">
      <c r="A1001" s="3">
        <v>39</v>
      </c>
      <c r="B1001" s="3">
        <v>3</v>
      </c>
    </row>
    <row r="1002" spans="1:2" x14ac:dyDescent="0.25">
      <c r="A1002" s="3">
        <v>18</v>
      </c>
      <c r="B1002" s="3">
        <v>2</v>
      </c>
    </row>
    <row r="1003" spans="1:2" x14ac:dyDescent="0.25">
      <c r="A1003" s="3">
        <v>37</v>
      </c>
      <c r="B1003" s="3">
        <v>6</v>
      </c>
    </row>
    <row r="1004" spans="1:2" x14ac:dyDescent="0.25">
      <c r="A1004" s="3">
        <v>41</v>
      </c>
      <c r="B1004" s="3">
        <v>7</v>
      </c>
    </row>
    <row r="1005" spans="1:2" x14ac:dyDescent="0.25">
      <c r="A1005" s="3">
        <v>-49</v>
      </c>
      <c r="B1005" s="3">
        <v>2</v>
      </c>
    </row>
    <row r="1006" spans="1:2" x14ac:dyDescent="0.25">
      <c r="A1006" s="3">
        <v>-81</v>
      </c>
      <c r="B1006" s="3">
        <v>3</v>
      </c>
    </row>
    <row r="1007" spans="1:2" x14ac:dyDescent="0.25">
      <c r="A1007" s="3">
        <v>37</v>
      </c>
      <c r="B1007" s="3">
        <v>4</v>
      </c>
    </row>
    <row r="1008" spans="1:2" x14ac:dyDescent="0.25">
      <c r="A1008" s="3">
        <v>14</v>
      </c>
      <c r="B1008" s="3">
        <v>2</v>
      </c>
    </row>
    <row r="1009" spans="1:2" x14ac:dyDescent="0.25">
      <c r="A1009" s="3">
        <v>8</v>
      </c>
      <c r="B1009" s="3">
        <v>3</v>
      </c>
    </row>
    <row r="1010" spans="1:2" x14ac:dyDescent="0.25">
      <c r="A1010" s="3">
        <v>-17</v>
      </c>
      <c r="B1010" s="3">
        <v>2</v>
      </c>
    </row>
    <row r="1011" spans="1:2" x14ac:dyDescent="0.25">
      <c r="A1011" s="3">
        <v>-31</v>
      </c>
      <c r="B1011" s="3">
        <v>9</v>
      </c>
    </row>
    <row r="1012" spans="1:2" x14ac:dyDescent="0.25">
      <c r="A1012" s="3">
        <v>7</v>
      </c>
      <c r="B1012" s="3">
        <v>6</v>
      </c>
    </row>
    <row r="1013" spans="1:2" x14ac:dyDescent="0.25">
      <c r="A1013" s="3">
        <v>-3</v>
      </c>
      <c r="B1013" s="3">
        <v>4</v>
      </c>
    </row>
    <row r="1014" spans="1:2" x14ac:dyDescent="0.25">
      <c r="A1014" s="3">
        <v>24</v>
      </c>
      <c r="B1014" s="3">
        <v>6</v>
      </c>
    </row>
    <row r="1015" spans="1:2" x14ac:dyDescent="0.25">
      <c r="A1015" s="3">
        <v>-41</v>
      </c>
      <c r="B1015" s="3">
        <v>8</v>
      </c>
    </row>
    <row r="1016" spans="1:2" x14ac:dyDescent="0.25">
      <c r="A1016" s="3">
        <v>14</v>
      </c>
      <c r="B1016" s="3">
        <v>1</v>
      </c>
    </row>
    <row r="1017" spans="1:2" x14ac:dyDescent="0.25">
      <c r="A1017" s="3">
        <v>40</v>
      </c>
      <c r="B1017" s="3">
        <v>2</v>
      </c>
    </row>
    <row r="1018" spans="1:2" x14ac:dyDescent="0.25">
      <c r="A1018" s="3">
        <v>-63</v>
      </c>
      <c r="B1018" s="3">
        <v>2</v>
      </c>
    </row>
    <row r="1019" spans="1:2" x14ac:dyDescent="0.25">
      <c r="A1019" s="3">
        <v>-41</v>
      </c>
      <c r="B1019" s="3">
        <v>5</v>
      </c>
    </row>
    <row r="1020" spans="1:2" x14ac:dyDescent="0.25">
      <c r="A1020" s="3">
        <v>-17</v>
      </c>
      <c r="B1020" s="3">
        <v>2</v>
      </c>
    </row>
    <row r="1021" spans="1:2" x14ac:dyDescent="0.25">
      <c r="A1021" s="3">
        <v>5</v>
      </c>
      <c r="B1021" s="3">
        <v>4</v>
      </c>
    </row>
    <row r="1022" spans="1:2" x14ac:dyDescent="0.25">
      <c r="A1022" s="3">
        <v>47</v>
      </c>
      <c r="B1022" s="3">
        <v>9</v>
      </c>
    </row>
    <row r="1023" spans="1:2" x14ac:dyDescent="0.25">
      <c r="A1023" s="3">
        <v>-30</v>
      </c>
      <c r="B1023" s="3">
        <v>3</v>
      </c>
    </row>
    <row r="1024" spans="1:2" x14ac:dyDescent="0.25">
      <c r="A1024" s="3">
        <v>3</v>
      </c>
      <c r="B1024" s="3">
        <v>1</v>
      </c>
    </row>
    <row r="1025" spans="1:2" x14ac:dyDescent="0.25">
      <c r="A1025" s="3">
        <v>-24</v>
      </c>
      <c r="B1025" s="3">
        <v>6</v>
      </c>
    </row>
    <row r="1026" spans="1:2" x14ac:dyDescent="0.25">
      <c r="A1026" s="3">
        <v>-51</v>
      </c>
      <c r="B1026" s="3">
        <v>7</v>
      </c>
    </row>
    <row r="1027" spans="1:2" x14ac:dyDescent="0.25">
      <c r="A1027" s="3">
        <v>71</v>
      </c>
      <c r="B1027" s="3">
        <v>10</v>
      </c>
    </row>
    <row r="1028" spans="1:2" x14ac:dyDescent="0.25">
      <c r="A1028" s="3">
        <v>11</v>
      </c>
      <c r="B1028" s="3">
        <v>2</v>
      </c>
    </row>
    <row r="1029" spans="1:2" x14ac:dyDescent="0.25">
      <c r="A1029" s="3">
        <v>15</v>
      </c>
      <c r="B1029" s="3">
        <v>1</v>
      </c>
    </row>
    <row r="1030" spans="1:2" x14ac:dyDescent="0.25">
      <c r="A1030" s="3">
        <v>-78</v>
      </c>
      <c r="B1030" s="3">
        <v>2</v>
      </c>
    </row>
    <row r="1031" spans="1:2" x14ac:dyDescent="0.25">
      <c r="A1031" s="3">
        <v>42</v>
      </c>
      <c r="B1031" s="3">
        <v>5</v>
      </c>
    </row>
    <row r="1032" spans="1:2" x14ac:dyDescent="0.25">
      <c r="A1032" s="3">
        <v>10</v>
      </c>
      <c r="B1032" s="3">
        <v>2</v>
      </c>
    </row>
    <row r="1033" spans="1:2" x14ac:dyDescent="0.25">
      <c r="A1033" s="3">
        <v>91</v>
      </c>
      <c r="B1033" s="3">
        <v>2</v>
      </c>
    </row>
    <row r="1034" spans="1:2" x14ac:dyDescent="0.25">
      <c r="A1034" s="3">
        <v>3</v>
      </c>
      <c r="B1034" s="3">
        <v>3</v>
      </c>
    </row>
    <row r="1035" spans="1:2" x14ac:dyDescent="0.25">
      <c r="A1035" s="3">
        <v>33</v>
      </c>
      <c r="B1035" s="3">
        <v>5</v>
      </c>
    </row>
    <row r="1036" spans="1:2" x14ac:dyDescent="0.25">
      <c r="A1036" s="3">
        <v>22</v>
      </c>
      <c r="B1036" s="3">
        <v>3</v>
      </c>
    </row>
    <row r="1037" spans="1:2" x14ac:dyDescent="0.25">
      <c r="A1037" s="3">
        <v>44</v>
      </c>
      <c r="B1037" s="3">
        <v>6</v>
      </c>
    </row>
    <row r="1038" spans="1:2" x14ac:dyDescent="0.25">
      <c r="A1038" s="3">
        <v>44</v>
      </c>
      <c r="B1038" s="3">
        <v>3</v>
      </c>
    </row>
    <row r="1039" spans="1:2" x14ac:dyDescent="0.25">
      <c r="A1039" s="3">
        <v>-26</v>
      </c>
      <c r="B1039" s="3">
        <v>9</v>
      </c>
    </row>
    <row r="1040" spans="1:2" x14ac:dyDescent="0.25">
      <c r="A1040" s="3">
        <v>-8</v>
      </c>
      <c r="B1040" s="3">
        <v>8</v>
      </c>
    </row>
    <row r="1041" spans="1:2" x14ac:dyDescent="0.25">
      <c r="A1041" s="3">
        <v>16</v>
      </c>
      <c r="B1041" s="3">
        <v>2</v>
      </c>
    </row>
    <row r="1042" spans="1:2" x14ac:dyDescent="0.25">
      <c r="A1042" s="3">
        <v>-114</v>
      </c>
      <c r="B1042" s="3">
        <v>5</v>
      </c>
    </row>
    <row r="1043" spans="1:2" x14ac:dyDescent="0.25">
      <c r="A1043" s="3">
        <v>28</v>
      </c>
      <c r="B1043" s="3">
        <v>2</v>
      </c>
    </row>
    <row r="1044" spans="1:2" x14ac:dyDescent="0.25">
      <c r="A1044" s="3">
        <v>1</v>
      </c>
      <c r="B1044" s="3">
        <v>2</v>
      </c>
    </row>
    <row r="1045" spans="1:2" x14ac:dyDescent="0.25">
      <c r="A1045" s="3">
        <v>-2</v>
      </c>
      <c r="B1045" s="3">
        <v>2</v>
      </c>
    </row>
    <row r="1046" spans="1:2" x14ac:dyDescent="0.25">
      <c r="A1046" s="3">
        <v>-64</v>
      </c>
      <c r="B1046" s="3">
        <v>7</v>
      </c>
    </row>
    <row r="1047" spans="1:2" x14ac:dyDescent="0.25">
      <c r="A1047" s="3">
        <v>-3</v>
      </c>
      <c r="B1047" s="3">
        <v>2</v>
      </c>
    </row>
    <row r="1048" spans="1:2" x14ac:dyDescent="0.25">
      <c r="A1048" s="3">
        <v>48</v>
      </c>
      <c r="B1048" s="3">
        <v>4</v>
      </c>
    </row>
    <row r="1049" spans="1:2" x14ac:dyDescent="0.25">
      <c r="A1049" s="3">
        <v>36</v>
      </c>
      <c r="B1049" s="3">
        <v>2</v>
      </c>
    </row>
    <row r="1050" spans="1:2" x14ac:dyDescent="0.25">
      <c r="A1050" s="3">
        <v>47</v>
      </c>
      <c r="B1050" s="3">
        <v>5</v>
      </c>
    </row>
    <row r="1051" spans="1:2" x14ac:dyDescent="0.25">
      <c r="A1051" s="3">
        <v>0</v>
      </c>
      <c r="B1051" s="3">
        <v>7</v>
      </c>
    </row>
    <row r="1052" spans="1:2" x14ac:dyDescent="0.25">
      <c r="A1052" s="3">
        <v>0</v>
      </c>
      <c r="B1052" s="3">
        <v>3</v>
      </c>
    </row>
    <row r="1053" spans="1:2" x14ac:dyDescent="0.25">
      <c r="A1053" s="3">
        <v>0</v>
      </c>
      <c r="B1053" s="3">
        <v>4</v>
      </c>
    </row>
    <row r="1054" spans="1:2" x14ac:dyDescent="0.25">
      <c r="A1054" s="3">
        <v>13</v>
      </c>
      <c r="B1054" s="3">
        <v>3</v>
      </c>
    </row>
    <row r="1055" spans="1:2" x14ac:dyDescent="0.25">
      <c r="A1055" s="3">
        <v>13</v>
      </c>
      <c r="B1055" s="3">
        <v>5</v>
      </c>
    </row>
    <row r="1056" spans="1:2" x14ac:dyDescent="0.25">
      <c r="A1056" s="3">
        <v>-14</v>
      </c>
      <c r="B1056" s="3">
        <v>1</v>
      </c>
    </row>
    <row r="1057" spans="1:2" x14ac:dyDescent="0.25">
      <c r="A1057" s="3">
        <v>52</v>
      </c>
      <c r="B1057" s="3">
        <v>4</v>
      </c>
    </row>
    <row r="1058" spans="1:2" x14ac:dyDescent="0.25">
      <c r="A1058" s="3">
        <v>29</v>
      </c>
      <c r="B1058" s="3">
        <v>3</v>
      </c>
    </row>
    <row r="1059" spans="1:2" x14ac:dyDescent="0.25">
      <c r="A1059" s="3">
        <v>13</v>
      </c>
      <c r="B1059" s="3">
        <v>4</v>
      </c>
    </row>
    <row r="1060" spans="1:2" x14ac:dyDescent="0.25">
      <c r="A1060" s="3">
        <v>9</v>
      </c>
      <c r="B1060" s="3">
        <v>3</v>
      </c>
    </row>
    <row r="1061" spans="1:2" x14ac:dyDescent="0.25">
      <c r="A1061" s="3">
        <v>11</v>
      </c>
      <c r="B1061" s="3">
        <v>2</v>
      </c>
    </row>
    <row r="1062" spans="1:2" x14ac:dyDescent="0.25">
      <c r="A1062" s="3">
        <v>50</v>
      </c>
      <c r="B1062" s="3">
        <v>7</v>
      </c>
    </row>
    <row r="1063" spans="1:2" x14ac:dyDescent="0.25">
      <c r="A1063" s="3">
        <v>-51</v>
      </c>
      <c r="B1063" s="3">
        <v>3</v>
      </c>
    </row>
    <row r="1064" spans="1:2" x14ac:dyDescent="0.25">
      <c r="A1064" s="3">
        <v>39</v>
      </c>
      <c r="B1064" s="3">
        <v>5</v>
      </c>
    </row>
    <row r="1065" spans="1:2" x14ac:dyDescent="0.25">
      <c r="A1065" s="3">
        <v>14</v>
      </c>
      <c r="B1065" s="3">
        <v>4</v>
      </c>
    </row>
    <row r="1066" spans="1:2" x14ac:dyDescent="0.25">
      <c r="A1066" s="3">
        <v>0</v>
      </c>
      <c r="B1066" s="3">
        <v>2</v>
      </c>
    </row>
    <row r="1067" spans="1:2" x14ac:dyDescent="0.25">
      <c r="A1067" s="3">
        <v>6</v>
      </c>
      <c r="B1067" s="3">
        <v>3</v>
      </c>
    </row>
    <row r="1068" spans="1:2" x14ac:dyDescent="0.25">
      <c r="A1068" s="3">
        <v>16</v>
      </c>
      <c r="B1068" s="3">
        <v>3</v>
      </c>
    </row>
    <row r="1069" spans="1:2" x14ac:dyDescent="0.25">
      <c r="A1069" s="3">
        <v>-36</v>
      </c>
      <c r="B1069" s="3">
        <v>3</v>
      </c>
    </row>
    <row r="1070" spans="1:2" x14ac:dyDescent="0.25">
      <c r="A1070" s="3">
        <v>12</v>
      </c>
      <c r="B1070" s="3">
        <v>4</v>
      </c>
    </row>
    <row r="1071" spans="1:2" x14ac:dyDescent="0.25">
      <c r="A1071" s="3">
        <v>-6</v>
      </c>
      <c r="B1071" s="3">
        <v>3</v>
      </c>
    </row>
    <row r="1072" spans="1:2" x14ac:dyDescent="0.25">
      <c r="A1072" s="3">
        <v>-44</v>
      </c>
      <c r="B1072" s="3">
        <v>5</v>
      </c>
    </row>
    <row r="1073" spans="1:2" x14ac:dyDescent="0.25">
      <c r="A1073" s="3">
        <v>-2</v>
      </c>
      <c r="B1073" s="3">
        <v>4</v>
      </c>
    </row>
    <row r="1074" spans="1:2" x14ac:dyDescent="0.25">
      <c r="A1074" s="3">
        <v>140</v>
      </c>
      <c r="B1074" s="3">
        <v>6</v>
      </c>
    </row>
    <row r="1075" spans="1:2" x14ac:dyDescent="0.25">
      <c r="A1075" s="3">
        <v>138</v>
      </c>
      <c r="B1075" s="3">
        <v>2</v>
      </c>
    </row>
    <row r="1076" spans="1:2" x14ac:dyDescent="0.25">
      <c r="A1076" s="3">
        <v>4</v>
      </c>
      <c r="B1076" s="3">
        <v>3</v>
      </c>
    </row>
    <row r="1077" spans="1:2" x14ac:dyDescent="0.25">
      <c r="A1077" s="3">
        <v>-2</v>
      </c>
      <c r="B1077" s="3">
        <v>1</v>
      </c>
    </row>
    <row r="1078" spans="1:2" x14ac:dyDescent="0.25">
      <c r="A1078" s="3">
        <v>75</v>
      </c>
      <c r="B1078" s="3">
        <v>6</v>
      </c>
    </row>
    <row r="1079" spans="1:2" x14ac:dyDescent="0.25">
      <c r="A1079" s="3">
        <v>28</v>
      </c>
      <c r="B1079" s="3">
        <v>2</v>
      </c>
    </row>
    <row r="1080" spans="1:2" x14ac:dyDescent="0.25">
      <c r="A1080" s="3">
        <v>2</v>
      </c>
      <c r="B1080" s="3">
        <v>3</v>
      </c>
    </row>
    <row r="1081" spans="1:2" x14ac:dyDescent="0.25">
      <c r="A1081" s="3">
        <v>-270</v>
      </c>
      <c r="B1081" s="3">
        <v>5</v>
      </c>
    </row>
    <row r="1082" spans="1:2" x14ac:dyDescent="0.25">
      <c r="A1082" s="3">
        <v>-147</v>
      </c>
      <c r="B1082" s="3">
        <v>3</v>
      </c>
    </row>
    <row r="1083" spans="1:2" x14ac:dyDescent="0.25">
      <c r="A1083" s="3">
        <v>-64</v>
      </c>
      <c r="B1083" s="3">
        <v>5</v>
      </c>
    </row>
    <row r="1084" spans="1:2" x14ac:dyDescent="0.25">
      <c r="A1084" s="3">
        <v>11</v>
      </c>
      <c r="B1084" s="3">
        <v>4</v>
      </c>
    </row>
    <row r="1085" spans="1:2" x14ac:dyDescent="0.25">
      <c r="A1085" s="3">
        <v>14</v>
      </c>
      <c r="B1085" s="3">
        <v>3</v>
      </c>
    </row>
    <row r="1086" spans="1:2" x14ac:dyDescent="0.25">
      <c r="A1086" s="3">
        <v>312</v>
      </c>
      <c r="B1086" s="3">
        <v>5</v>
      </c>
    </row>
    <row r="1087" spans="1:2" x14ac:dyDescent="0.25">
      <c r="A1087" s="3">
        <v>-280</v>
      </c>
      <c r="B1087" s="3">
        <v>12</v>
      </c>
    </row>
    <row r="1088" spans="1:2" x14ac:dyDescent="0.25">
      <c r="A1088" s="3">
        <v>10</v>
      </c>
      <c r="B1088" s="3">
        <v>3</v>
      </c>
    </row>
    <row r="1089" spans="1:2" x14ac:dyDescent="0.25">
      <c r="A1089" s="3">
        <v>-180</v>
      </c>
      <c r="B1089" s="3">
        <v>4</v>
      </c>
    </row>
    <row r="1090" spans="1:2" x14ac:dyDescent="0.25">
      <c r="A1090" s="3">
        <v>-31</v>
      </c>
      <c r="B1090" s="3">
        <v>2</v>
      </c>
    </row>
    <row r="1091" spans="1:2" x14ac:dyDescent="0.25">
      <c r="A1091" s="3">
        <v>-10</v>
      </c>
      <c r="B1091" s="3">
        <v>4</v>
      </c>
    </row>
    <row r="1092" spans="1:2" x14ac:dyDescent="0.25">
      <c r="A1092" s="3">
        <v>5</v>
      </c>
      <c r="B1092" s="3">
        <v>3</v>
      </c>
    </row>
    <row r="1093" spans="1:2" x14ac:dyDescent="0.25">
      <c r="A1093" s="3">
        <v>-27</v>
      </c>
      <c r="B1093" s="3">
        <v>3</v>
      </c>
    </row>
    <row r="1094" spans="1:2" x14ac:dyDescent="0.25">
      <c r="A1094" s="3">
        <v>144</v>
      </c>
      <c r="B1094" s="3">
        <v>1</v>
      </c>
    </row>
    <row r="1095" spans="1:2" x14ac:dyDescent="0.25">
      <c r="A1095" s="3">
        <v>2</v>
      </c>
      <c r="B1095" s="3">
        <v>4</v>
      </c>
    </row>
    <row r="1096" spans="1:2" x14ac:dyDescent="0.25">
      <c r="A1096" s="3">
        <v>-12</v>
      </c>
      <c r="B1096" s="3">
        <v>5</v>
      </c>
    </row>
    <row r="1097" spans="1:2" x14ac:dyDescent="0.25">
      <c r="A1097" s="3">
        <v>26</v>
      </c>
      <c r="B1097" s="3">
        <v>3</v>
      </c>
    </row>
    <row r="1098" spans="1:2" x14ac:dyDescent="0.25">
      <c r="A1098" s="3">
        <v>-5</v>
      </c>
      <c r="B1098" s="3">
        <v>2</v>
      </c>
    </row>
    <row r="1099" spans="1:2" x14ac:dyDescent="0.25">
      <c r="A1099" s="3">
        <v>-39</v>
      </c>
      <c r="B1099" s="3">
        <v>5</v>
      </c>
    </row>
    <row r="1100" spans="1:2" x14ac:dyDescent="0.25">
      <c r="A1100" s="3">
        <v>17</v>
      </c>
      <c r="B1100" s="3">
        <v>1</v>
      </c>
    </row>
    <row r="1101" spans="1:2" x14ac:dyDescent="0.25">
      <c r="A1101" s="3">
        <v>21</v>
      </c>
      <c r="B1101" s="3">
        <v>3</v>
      </c>
    </row>
    <row r="1102" spans="1:2" x14ac:dyDescent="0.25">
      <c r="A1102" s="3">
        <v>50</v>
      </c>
      <c r="B1102" s="3">
        <v>5</v>
      </c>
    </row>
    <row r="1103" spans="1:2" x14ac:dyDescent="0.25">
      <c r="A1103" s="3">
        <v>42</v>
      </c>
      <c r="B1103" s="3">
        <v>2</v>
      </c>
    </row>
    <row r="1104" spans="1:2" x14ac:dyDescent="0.25">
      <c r="A1104" s="3">
        <v>44</v>
      </c>
      <c r="B1104" s="3">
        <v>7</v>
      </c>
    </row>
    <row r="1105" spans="1:2" x14ac:dyDescent="0.25">
      <c r="A1105" s="3">
        <v>0</v>
      </c>
      <c r="B1105" s="3">
        <v>3</v>
      </c>
    </row>
    <row r="1106" spans="1:2" x14ac:dyDescent="0.25">
      <c r="A1106" s="3">
        <v>-15</v>
      </c>
      <c r="B1106" s="3">
        <v>3</v>
      </c>
    </row>
    <row r="1107" spans="1:2" x14ac:dyDescent="0.25">
      <c r="A1107" s="3">
        <v>160</v>
      </c>
      <c r="B1107" s="3">
        <v>7</v>
      </c>
    </row>
    <row r="1108" spans="1:2" x14ac:dyDescent="0.25">
      <c r="A1108" s="3">
        <v>11</v>
      </c>
      <c r="B1108" s="3">
        <v>7</v>
      </c>
    </row>
    <row r="1109" spans="1:2" x14ac:dyDescent="0.25">
      <c r="A1109" s="3">
        <v>13</v>
      </c>
      <c r="B1109" s="3">
        <v>3</v>
      </c>
    </row>
    <row r="1110" spans="1:2" x14ac:dyDescent="0.25">
      <c r="A1110" s="3">
        <v>28</v>
      </c>
      <c r="B1110" s="3">
        <v>5</v>
      </c>
    </row>
    <row r="1111" spans="1:2" x14ac:dyDescent="0.25">
      <c r="A1111" s="3">
        <v>7</v>
      </c>
      <c r="B1111" s="3">
        <v>2</v>
      </c>
    </row>
    <row r="1112" spans="1:2" x14ac:dyDescent="0.25">
      <c r="A1112" s="3">
        <v>-3</v>
      </c>
      <c r="B1112" s="3">
        <v>1</v>
      </c>
    </row>
    <row r="1113" spans="1:2" x14ac:dyDescent="0.25">
      <c r="A1113" s="3">
        <v>-13</v>
      </c>
      <c r="B1113" s="3">
        <v>5</v>
      </c>
    </row>
    <row r="1114" spans="1:2" x14ac:dyDescent="0.25">
      <c r="A1114" s="3">
        <v>52</v>
      </c>
      <c r="B1114" s="3">
        <v>2</v>
      </c>
    </row>
    <row r="1115" spans="1:2" x14ac:dyDescent="0.25">
      <c r="A1115" s="3">
        <v>58</v>
      </c>
      <c r="B1115" s="3">
        <v>3</v>
      </c>
    </row>
    <row r="1116" spans="1:2" x14ac:dyDescent="0.25">
      <c r="A1116" s="3">
        <v>-1</v>
      </c>
      <c r="B1116" s="3">
        <v>1</v>
      </c>
    </row>
    <row r="1117" spans="1:2" x14ac:dyDescent="0.25">
      <c r="A1117" s="3">
        <v>-25</v>
      </c>
      <c r="B1117" s="3">
        <v>4</v>
      </c>
    </row>
    <row r="1118" spans="1:2" x14ac:dyDescent="0.25">
      <c r="A1118" s="3">
        <v>74</v>
      </c>
      <c r="B1118" s="3">
        <v>5</v>
      </c>
    </row>
    <row r="1119" spans="1:2" x14ac:dyDescent="0.25">
      <c r="A1119" s="3">
        <v>-154</v>
      </c>
      <c r="B1119" s="3">
        <v>7</v>
      </c>
    </row>
    <row r="1120" spans="1:2" x14ac:dyDescent="0.25">
      <c r="A1120" s="3">
        <v>-34</v>
      </c>
      <c r="B1120" s="3">
        <v>3</v>
      </c>
    </row>
    <row r="1121" spans="1:2" x14ac:dyDescent="0.25">
      <c r="A1121" s="3">
        <v>38</v>
      </c>
      <c r="B1121" s="3">
        <v>7</v>
      </c>
    </row>
    <row r="1122" spans="1:2" x14ac:dyDescent="0.25">
      <c r="A1122" s="3">
        <v>0</v>
      </c>
      <c r="B1122" s="3">
        <v>2</v>
      </c>
    </row>
    <row r="1123" spans="1:2" x14ac:dyDescent="0.25">
      <c r="A1123" s="3">
        <v>74</v>
      </c>
      <c r="B1123" s="3">
        <v>5</v>
      </c>
    </row>
    <row r="1124" spans="1:2" x14ac:dyDescent="0.25">
      <c r="A1124" s="3">
        <v>32</v>
      </c>
      <c r="B1124" s="3">
        <v>3</v>
      </c>
    </row>
    <row r="1125" spans="1:2" x14ac:dyDescent="0.25">
      <c r="A1125" s="3">
        <v>59</v>
      </c>
      <c r="B1125" s="3">
        <v>3</v>
      </c>
    </row>
    <row r="1126" spans="1:2" x14ac:dyDescent="0.25">
      <c r="A1126" s="3">
        <v>30</v>
      </c>
      <c r="B1126" s="3">
        <v>2</v>
      </c>
    </row>
    <row r="1127" spans="1:2" x14ac:dyDescent="0.25">
      <c r="A1127" s="3">
        <v>12</v>
      </c>
      <c r="B1127" s="3">
        <v>5</v>
      </c>
    </row>
    <row r="1128" spans="1:2" x14ac:dyDescent="0.25">
      <c r="A1128" s="3">
        <v>-26</v>
      </c>
      <c r="B1128" s="3">
        <v>2</v>
      </c>
    </row>
    <row r="1129" spans="1:2" x14ac:dyDescent="0.25">
      <c r="A1129" s="3">
        <v>25</v>
      </c>
      <c r="B1129" s="3">
        <v>4</v>
      </c>
    </row>
    <row r="1130" spans="1:2" x14ac:dyDescent="0.25">
      <c r="A1130" s="3">
        <v>11</v>
      </c>
      <c r="B1130" s="3">
        <v>6</v>
      </c>
    </row>
    <row r="1131" spans="1:2" x14ac:dyDescent="0.25">
      <c r="A1131" s="3">
        <v>13</v>
      </c>
      <c r="B1131" s="3">
        <v>3</v>
      </c>
    </row>
    <row r="1132" spans="1:2" x14ac:dyDescent="0.25">
      <c r="A1132" s="3">
        <v>21</v>
      </c>
      <c r="B1132" s="3">
        <v>2</v>
      </c>
    </row>
    <row r="1133" spans="1:2" x14ac:dyDescent="0.25">
      <c r="A1133" s="3">
        <v>27</v>
      </c>
      <c r="B1133" s="3">
        <v>2</v>
      </c>
    </row>
    <row r="1134" spans="1:2" x14ac:dyDescent="0.25">
      <c r="A1134" s="3">
        <v>6</v>
      </c>
      <c r="B1134" s="3">
        <v>1</v>
      </c>
    </row>
    <row r="1135" spans="1:2" x14ac:dyDescent="0.25">
      <c r="A1135" s="3">
        <v>10</v>
      </c>
      <c r="B1135" s="3">
        <v>2</v>
      </c>
    </row>
    <row r="1136" spans="1:2" x14ac:dyDescent="0.25">
      <c r="A1136" s="3">
        <v>-24</v>
      </c>
      <c r="B1136" s="3">
        <v>2</v>
      </c>
    </row>
    <row r="1137" spans="1:2" x14ac:dyDescent="0.25">
      <c r="A1137" s="3">
        <v>-22</v>
      </c>
      <c r="B1137" s="3">
        <v>7</v>
      </c>
    </row>
    <row r="1138" spans="1:2" x14ac:dyDescent="0.25">
      <c r="A1138" s="3">
        <v>16</v>
      </c>
      <c r="B1138" s="3">
        <v>3</v>
      </c>
    </row>
    <row r="1139" spans="1:2" x14ac:dyDescent="0.25">
      <c r="A1139" s="3">
        <v>17</v>
      </c>
      <c r="B1139" s="3">
        <v>2</v>
      </c>
    </row>
    <row r="1140" spans="1:2" x14ac:dyDescent="0.25">
      <c r="A1140" s="3">
        <v>-7</v>
      </c>
      <c r="B1140" s="3">
        <v>3</v>
      </c>
    </row>
    <row r="1141" spans="1:2" x14ac:dyDescent="0.25">
      <c r="A1141" s="3">
        <v>74</v>
      </c>
      <c r="B1141" s="3">
        <v>8</v>
      </c>
    </row>
    <row r="1142" spans="1:2" x14ac:dyDescent="0.25">
      <c r="A1142" s="3">
        <v>-26</v>
      </c>
      <c r="B1142" s="3">
        <v>4</v>
      </c>
    </row>
    <row r="1143" spans="1:2" x14ac:dyDescent="0.25">
      <c r="A1143" s="3">
        <v>18</v>
      </c>
      <c r="B1143" s="3">
        <v>5</v>
      </c>
    </row>
    <row r="1144" spans="1:2" x14ac:dyDescent="0.25">
      <c r="A1144" s="3">
        <v>-18</v>
      </c>
      <c r="B1144" s="3">
        <v>4</v>
      </c>
    </row>
    <row r="1145" spans="1:2" x14ac:dyDescent="0.25">
      <c r="A1145" s="3">
        <v>7</v>
      </c>
      <c r="B1145" s="3">
        <v>2</v>
      </c>
    </row>
    <row r="1146" spans="1:2" x14ac:dyDescent="0.25">
      <c r="A1146" s="3">
        <v>-37</v>
      </c>
      <c r="B1146" s="3">
        <v>3</v>
      </c>
    </row>
    <row r="1147" spans="1:2" x14ac:dyDescent="0.25">
      <c r="A1147" s="3">
        <v>14</v>
      </c>
      <c r="B1147" s="3">
        <v>5</v>
      </c>
    </row>
    <row r="1148" spans="1:2" x14ac:dyDescent="0.25">
      <c r="A1148" s="3">
        <v>-4</v>
      </c>
      <c r="B1148" s="3">
        <v>2</v>
      </c>
    </row>
    <row r="1149" spans="1:2" x14ac:dyDescent="0.25">
      <c r="A1149" s="3">
        <v>139</v>
      </c>
      <c r="B1149" s="3">
        <v>2</v>
      </c>
    </row>
    <row r="1150" spans="1:2" x14ac:dyDescent="0.25">
      <c r="A1150" s="3">
        <v>18</v>
      </c>
      <c r="B1150" s="3">
        <v>1</v>
      </c>
    </row>
    <row r="1151" spans="1:2" x14ac:dyDescent="0.25">
      <c r="A1151" s="3">
        <v>9</v>
      </c>
      <c r="B1151" s="3">
        <v>2</v>
      </c>
    </row>
    <row r="1152" spans="1:2" x14ac:dyDescent="0.25">
      <c r="A1152" s="3">
        <v>10</v>
      </c>
      <c r="B1152" s="3">
        <v>4</v>
      </c>
    </row>
    <row r="1153" spans="1:2" x14ac:dyDescent="0.25">
      <c r="A1153" s="3">
        <v>4</v>
      </c>
      <c r="B1153" s="3">
        <v>9</v>
      </c>
    </row>
    <row r="1154" spans="1:2" x14ac:dyDescent="0.25">
      <c r="A1154" s="3">
        <v>-94</v>
      </c>
      <c r="B1154" s="3">
        <v>5</v>
      </c>
    </row>
    <row r="1155" spans="1:2" x14ac:dyDescent="0.25">
      <c r="A1155" s="3">
        <v>15</v>
      </c>
      <c r="B1155" s="3">
        <v>3</v>
      </c>
    </row>
    <row r="1156" spans="1:2" x14ac:dyDescent="0.25">
      <c r="A1156" s="3">
        <v>24</v>
      </c>
      <c r="B1156" s="3">
        <v>6</v>
      </c>
    </row>
    <row r="1157" spans="1:2" x14ac:dyDescent="0.25">
      <c r="A1157" s="3">
        <v>115</v>
      </c>
      <c r="B1157" s="3">
        <v>1</v>
      </c>
    </row>
    <row r="1158" spans="1:2" x14ac:dyDescent="0.25">
      <c r="A1158" s="3">
        <v>33</v>
      </c>
      <c r="B1158" s="3">
        <v>4</v>
      </c>
    </row>
    <row r="1159" spans="1:2" x14ac:dyDescent="0.25">
      <c r="A1159" s="3">
        <v>62</v>
      </c>
      <c r="B1159" s="3">
        <v>7</v>
      </c>
    </row>
    <row r="1160" spans="1:2" x14ac:dyDescent="0.25">
      <c r="A1160" s="3">
        <v>-4</v>
      </c>
      <c r="B1160" s="3">
        <v>6</v>
      </c>
    </row>
    <row r="1161" spans="1:2" x14ac:dyDescent="0.25">
      <c r="A1161" s="3">
        <v>90</v>
      </c>
      <c r="B1161" s="3">
        <v>6</v>
      </c>
    </row>
    <row r="1162" spans="1:2" x14ac:dyDescent="0.25">
      <c r="A1162" s="3">
        <v>137</v>
      </c>
      <c r="B1162" s="3">
        <v>3</v>
      </c>
    </row>
    <row r="1163" spans="1:2" x14ac:dyDescent="0.25">
      <c r="A1163" s="3">
        <v>-17</v>
      </c>
      <c r="B1163" s="3">
        <v>9</v>
      </c>
    </row>
    <row r="1164" spans="1:2" x14ac:dyDescent="0.25">
      <c r="A1164" s="3">
        <v>127</v>
      </c>
      <c r="B1164" s="3">
        <v>1</v>
      </c>
    </row>
    <row r="1165" spans="1:2" x14ac:dyDescent="0.25">
      <c r="A1165" s="3">
        <v>-7</v>
      </c>
      <c r="B1165" s="3">
        <v>1</v>
      </c>
    </row>
    <row r="1166" spans="1:2" x14ac:dyDescent="0.25">
      <c r="A1166" s="3">
        <v>-10</v>
      </c>
      <c r="B1166" s="3">
        <v>3</v>
      </c>
    </row>
    <row r="1167" spans="1:2" x14ac:dyDescent="0.25">
      <c r="A1167" s="3">
        <v>73</v>
      </c>
      <c r="B1167" s="3">
        <v>3</v>
      </c>
    </row>
    <row r="1168" spans="1:2" x14ac:dyDescent="0.25">
      <c r="A1168" s="3">
        <v>208</v>
      </c>
      <c r="B1168" s="3">
        <v>7</v>
      </c>
    </row>
    <row r="1169" spans="1:2" x14ac:dyDescent="0.25">
      <c r="A1169" s="3">
        <v>26</v>
      </c>
      <c r="B1169" s="3">
        <v>3</v>
      </c>
    </row>
    <row r="1170" spans="1:2" x14ac:dyDescent="0.25">
      <c r="A1170" s="3">
        <v>31</v>
      </c>
      <c r="B1170" s="3">
        <v>3</v>
      </c>
    </row>
    <row r="1171" spans="1:2" x14ac:dyDescent="0.25">
      <c r="A1171" s="3">
        <v>-56</v>
      </c>
      <c r="B1171" s="3">
        <v>5</v>
      </c>
    </row>
    <row r="1172" spans="1:2" x14ac:dyDescent="0.25">
      <c r="A1172" s="3">
        <v>16</v>
      </c>
      <c r="B1172" s="3">
        <v>1</v>
      </c>
    </row>
    <row r="1173" spans="1:2" x14ac:dyDescent="0.25">
      <c r="A1173" s="3">
        <v>-143</v>
      </c>
      <c r="B1173" s="3">
        <v>3</v>
      </c>
    </row>
    <row r="1174" spans="1:2" x14ac:dyDescent="0.25">
      <c r="A1174" s="3">
        <v>3</v>
      </c>
      <c r="B1174" s="3">
        <v>3</v>
      </c>
    </row>
    <row r="1175" spans="1:2" x14ac:dyDescent="0.25">
      <c r="A1175" s="3">
        <v>59</v>
      </c>
      <c r="B1175" s="3">
        <v>2</v>
      </c>
    </row>
    <row r="1176" spans="1:2" x14ac:dyDescent="0.25">
      <c r="A1176" s="3">
        <v>33</v>
      </c>
      <c r="B1176" s="3">
        <v>4</v>
      </c>
    </row>
    <row r="1177" spans="1:2" x14ac:dyDescent="0.25">
      <c r="A1177" s="3">
        <v>46</v>
      </c>
      <c r="B1177" s="3">
        <v>2</v>
      </c>
    </row>
    <row r="1178" spans="1:2" x14ac:dyDescent="0.25">
      <c r="A1178" s="3">
        <v>-13</v>
      </c>
      <c r="B1178" s="3">
        <v>5</v>
      </c>
    </row>
    <row r="1179" spans="1:2" x14ac:dyDescent="0.25">
      <c r="A1179" s="3">
        <v>63</v>
      </c>
      <c r="B1179" s="3">
        <v>3</v>
      </c>
    </row>
    <row r="1180" spans="1:2" x14ac:dyDescent="0.25">
      <c r="A1180" s="3">
        <v>12</v>
      </c>
      <c r="B1180" s="3">
        <v>2</v>
      </c>
    </row>
    <row r="1181" spans="1:2" x14ac:dyDescent="0.25">
      <c r="A1181" s="3">
        <v>56</v>
      </c>
      <c r="B1181" s="3">
        <v>4</v>
      </c>
    </row>
    <row r="1182" spans="1:2" x14ac:dyDescent="0.25">
      <c r="A1182" s="3">
        <v>3</v>
      </c>
      <c r="B1182" s="3">
        <v>2</v>
      </c>
    </row>
    <row r="1183" spans="1:2" x14ac:dyDescent="0.25">
      <c r="A1183" s="3">
        <v>-67</v>
      </c>
      <c r="B1183" s="3">
        <v>4</v>
      </c>
    </row>
    <row r="1184" spans="1:2" x14ac:dyDescent="0.25">
      <c r="A1184" s="3">
        <v>-83</v>
      </c>
      <c r="B1184" s="3">
        <v>3</v>
      </c>
    </row>
    <row r="1185" spans="1:2" x14ac:dyDescent="0.25">
      <c r="A1185" s="3">
        <v>-43</v>
      </c>
      <c r="B1185" s="3">
        <v>8</v>
      </c>
    </row>
    <row r="1186" spans="1:2" x14ac:dyDescent="0.25">
      <c r="A1186" s="3">
        <v>21</v>
      </c>
      <c r="B1186" s="3">
        <v>3</v>
      </c>
    </row>
    <row r="1187" spans="1:2" x14ac:dyDescent="0.25">
      <c r="A1187" s="3">
        <v>146</v>
      </c>
      <c r="B1187" s="3">
        <v>2</v>
      </c>
    </row>
    <row r="1188" spans="1:2" x14ac:dyDescent="0.25">
      <c r="A1188" s="3">
        <v>-22</v>
      </c>
      <c r="B1188" s="3">
        <v>2</v>
      </c>
    </row>
    <row r="1189" spans="1:2" x14ac:dyDescent="0.25">
      <c r="A1189" s="3">
        <v>-12</v>
      </c>
      <c r="B1189" s="3">
        <v>5</v>
      </c>
    </row>
    <row r="1190" spans="1:2" x14ac:dyDescent="0.25">
      <c r="A1190" s="3">
        <v>28</v>
      </c>
      <c r="B1190" s="3">
        <v>3</v>
      </c>
    </row>
    <row r="1191" spans="1:2" x14ac:dyDescent="0.25">
      <c r="A1191" s="3">
        <v>-27</v>
      </c>
      <c r="B1191" s="3">
        <v>4</v>
      </c>
    </row>
    <row r="1192" spans="1:2" x14ac:dyDescent="0.25">
      <c r="A1192" s="3">
        <v>8</v>
      </c>
      <c r="B1192" s="3">
        <v>4</v>
      </c>
    </row>
    <row r="1193" spans="1:2" x14ac:dyDescent="0.25">
      <c r="A1193" s="3">
        <v>55</v>
      </c>
      <c r="B1193" s="3">
        <v>1</v>
      </c>
    </row>
    <row r="1194" spans="1:2" x14ac:dyDescent="0.25">
      <c r="A1194" s="3">
        <v>74</v>
      </c>
      <c r="B1194" s="3">
        <v>5</v>
      </c>
    </row>
    <row r="1195" spans="1:2" x14ac:dyDescent="0.25">
      <c r="A1195" s="3">
        <v>13</v>
      </c>
      <c r="B1195" s="3">
        <v>2</v>
      </c>
    </row>
    <row r="1196" spans="1:2" x14ac:dyDescent="0.25">
      <c r="A1196" s="3">
        <v>14</v>
      </c>
      <c r="B1196" s="3">
        <v>3</v>
      </c>
    </row>
    <row r="1197" spans="1:2" x14ac:dyDescent="0.25">
      <c r="A1197" s="3">
        <v>1</v>
      </c>
      <c r="B1197" s="3">
        <v>2</v>
      </c>
    </row>
    <row r="1198" spans="1:2" x14ac:dyDescent="0.25">
      <c r="A1198" s="3">
        <v>10</v>
      </c>
      <c r="B1198" s="3">
        <v>3</v>
      </c>
    </row>
    <row r="1199" spans="1:2" x14ac:dyDescent="0.25">
      <c r="A1199" s="3">
        <v>-23</v>
      </c>
      <c r="B1199" s="3">
        <v>3</v>
      </c>
    </row>
    <row r="1200" spans="1:2" x14ac:dyDescent="0.25">
      <c r="A1200" s="3">
        <v>179</v>
      </c>
      <c r="B1200" s="3">
        <v>3</v>
      </c>
    </row>
    <row r="1201" spans="1:2" x14ac:dyDescent="0.25">
      <c r="A1201" s="3">
        <v>203</v>
      </c>
      <c r="B1201" s="3">
        <v>2</v>
      </c>
    </row>
    <row r="1202" spans="1:2" x14ac:dyDescent="0.25">
      <c r="A1202" s="3">
        <v>-25</v>
      </c>
      <c r="B1202" s="3">
        <v>2</v>
      </c>
    </row>
    <row r="1203" spans="1:2" x14ac:dyDescent="0.25">
      <c r="A1203" s="3">
        <v>183</v>
      </c>
      <c r="B1203" s="3">
        <v>5</v>
      </c>
    </row>
    <row r="1204" spans="1:2" x14ac:dyDescent="0.25">
      <c r="A1204" s="3">
        <v>56</v>
      </c>
      <c r="B1204" s="3">
        <v>3</v>
      </c>
    </row>
    <row r="1205" spans="1:2" x14ac:dyDescent="0.25">
      <c r="A1205" s="3">
        <v>28</v>
      </c>
      <c r="B1205" s="3">
        <v>7</v>
      </c>
    </row>
    <row r="1206" spans="1:2" x14ac:dyDescent="0.25">
      <c r="A1206" s="3">
        <v>17</v>
      </c>
      <c r="B1206" s="3">
        <v>3</v>
      </c>
    </row>
    <row r="1207" spans="1:2" x14ac:dyDescent="0.25">
      <c r="A1207" s="3">
        <v>-8</v>
      </c>
      <c r="B1207" s="3">
        <v>3</v>
      </c>
    </row>
    <row r="1208" spans="1:2" x14ac:dyDescent="0.25">
      <c r="A1208" s="3">
        <v>136</v>
      </c>
      <c r="B1208" s="3">
        <v>3</v>
      </c>
    </row>
    <row r="1209" spans="1:2" x14ac:dyDescent="0.25">
      <c r="A1209" s="3">
        <v>-34</v>
      </c>
      <c r="B1209" s="3">
        <v>3</v>
      </c>
    </row>
    <row r="1210" spans="1:2" x14ac:dyDescent="0.25">
      <c r="A1210" s="3">
        <v>10</v>
      </c>
      <c r="B1210" s="3">
        <v>3</v>
      </c>
    </row>
    <row r="1211" spans="1:2" x14ac:dyDescent="0.25">
      <c r="A1211" s="3">
        <v>9</v>
      </c>
      <c r="B1211" s="3">
        <v>2</v>
      </c>
    </row>
    <row r="1212" spans="1:2" x14ac:dyDescent="0.25">
      <c r="A1212" s="3">
        <v>31</v>
      </c>
      <c r="B1212" s="3">
        <v>2</v>
      </c>
    </row>
    <row r="1213" spans="1:2" x14ac:dyDescent="0.25">
      <c r="A1213" s="3">
        <v>6</v>
      </c>
      <c r="B1213" s="3">
        <v>5</v>
      </c>
    </row>
    <row r="1214" spans="1:2" x14ac:dyDescent="0.25">
      <c r="A1214" s="3">
        <v>-12</v>
      </c>
      <c r="B1214" s="3">
        <v>5</v>
      </c>
    </row>
    <row r="1215" spans="1:2" x14ac:dyDescent="0.25">
      <c r="A1215" s="3">
        <v>3</v>
      </c>
      <c r="B1215" s="3">
        <v>8</v>
      </c>
    </row>
    <row r="1216" spans="1:2" x14ac:dyDescent="0.25">
      <c r="A1216" s="3">
        <v>6</v>
      </c>
      <c r="B1216" s="3">
        <v>3</v>
      </c>
    </row>
    <row r="1217" spans="1:2" x14ac:dyDescent="0.25">
      <c r="A1217" s="3">
        <v>77</v>
      </c>
      <c r="B1217" s="3">
        <v>1</v>
      </c>
    </row>
    <row r="1218" spans="1:2" x14ac:dyDescent="0.25">
      <c r="A1218" s="3">
        <v>10</v>
      </c>
      <c r="B1218" s="3">
        <v>1</v>
      </c>
    </row>
    <row r="1219" spans="1:2" x14ac:dyDescent="0.25">
      <c r="A1219" s="3">
        <v>68</v>
      </c>
      <c r="B1219" s="3">
        <v>5</v>
      </c>
    </row>
    <row r="1220" spans="1:2" x14ac:dyDescent="0.25">
      <c r="A1220" s="3">
        <v>137</v>
      </c>
      <c r="B1220" s="3">
        <v>3</v>
      </c>
    </row>
    <row r="1221" spans="1:2" x14ac:dyDescent="0.25">
      <c r="A1221" s="3">
        <v>0</v>
      </c>
      <c r="B1221" s="3">
        <v>3</v>
      </c>
    </row>
    <row r="1222" spans="1:2" x14ac:dyDescent="0.25">
      <c r="A1222" s="3">
        <v>-6</v>
      </c>
      <c r="B1222" s="3">
        <v>1</v>
      </c>
    </row>
    <row r="1223" spans="1:2" x14ac:dyDescent="0.25">
      <c r="A1223" s="3">
        <v>63</v>
      </c>
      <c r="B1223" s="3">
        <v>2</v>
      </c>
    </row>
    <row r="1224" spans="1:2" x14ac:dyDescent="0.25">
      <c r="A1224" s="3">
        <v>-44</v>
      </c>
      <c r="B1224" s="3">
        <v>3</v>
      </c>
    </row>
    <row r="1225" spans="1:2" x14ac:dyDescent="0.25">
      <c r="A1225" s="3">
        <v>-33</v>
      </c>
      <c r="B1225" s="3">
        <v>5</v>
      </c>
    </row>
    <row r="1226" spans="1:2" x14ac:dyDescent="0.25">
      <c r="A1226" s="3">
        <v>18</v>
      </c>
      <c r="B1226" s="3">
        <v>1</v>
      </c>
    </row>
    <row r="1227" spans="1:2" x14ac:dyDescent="0.25">
      <c r="A1227" s="3">
        <v>0</v>
      </c>
      <c r="B1227" s="3">
        <v>3</v>
      </c>
    </row>
    <row r="1228" spans="1:2" x14ac:dyDescent="0.25">
      <c r="A1228" s="3">
        <v>9</v>
      </c>
      <c r="B1228" s="3">
        <v>2</v>
      </c>
    </row>
    <row r="1229" spans="1:2" x14ac:dyDescent="0.25">
      <c r="A1229" s="3">
        <v>-113</v>
      </c>
      <c r="B1229" s="3">
        <v>9</v>
      </c>
    </row>
    <row r="1230" spans="1:2" x14ac:dyDescent="0.25">
      <c r="A1230" s="3">
        <v>-10</v>
      </c>
      <c r="B1230" s="3">
        <v>3</v>
      </c>
    </row>
    <row r="1231" spans="1:2" x14ac:dyDescent="0.25">
      <c r="A1231" s="3">
        <v>-3</v>
      </c>
      <c r="B1231" s="3">
        <v>4</v>
      </c>
    </row>
    <row r="1232" spans="1:2" x14ac:dyDescent="0.25">
      <c r="A1232" s="3">
        <v>15</v>
      </c>
      <c r="B1232" s="3">
        <v>6</v>
      </c>
    </row>
    <row r="1233" spans="1:2" x14ac:dyDescent="0.25">
      <c r="A1233" s="3">
        <v>-25</v>
      </c>
      <c r="B1233" s="3">
        <v>2</v>
      </c>
    </row>
    <row r="1234" spans="1:2" x14ac:dyDescent="0.25">
      <c r="A1234" s="3">
        <v>6</v>
      </c>
      <c r="B1234" s="3">
        <v>1</v>
      </c>
    </row>
    <row r="1235" spans="1:2" x14ac:dyDescent="0.25">
      <c r="A1235" s="3">
        <v>0</v>
      </c>
      <c r="B1235" s="3">
        <v>3</v>
      </c>
    </row>
    <row r="1236" spans="1:2" x14ac:dyDescent="0.25">
      <c r="A1236" s="3">
        <v>5</v>
      </c>
      <c r="B1236" s="3">
        <v>2</v>
      </c>
    </row>
    <row r="1237" spans="1:2" x14ac:dyDescent="0.25">
      <c r="A1237" s="3">
        <v>-146</v>
      </c>
      <c r="B1237" s="3">
        <v>7</v>
      </c>
    </row>
    <row r="1238" spans="1:2" x14ac:dyDescent="0.25">
      <c r="A1238" s="3">
        <v>-128</v>
      </c>
      <c r="B1238" s="3">
        <v>8</v>
      </c>
    </row>
    <row r="1239" spans="1:2" x14ac:dyDescent="0.25">
      <c r="A1239" s="3">
        <v>81</v>
      </c>
      <c r="B1239" s="3">
        <v>2</v>
      </c>
    </row>
    <row r="1240" spans="1:2" x14ac:dyDescent="0.25">
      <c r="A1240" s="3">
        <v>85</v>
      </c>
      <c r="B1240" s="3">
        <v>6</v>
      </c>
    </row>
    <row r="1241" spans="1:2" x14ac:dyDescent="0.25">
      <c r="A1241" s="3">
        <v>54</v>
      </c>
      <c r="B1241" s="3">
        <v>4</v>
      </c>
    </row>
    <row r="1242" spans="1:2" x14ac:dyDescent="0.25">
      <c r="A1242" s="3">
        <v>11</v>
      </c>
      <c r="B1242" s="3">
        <v>5</v>
      </c>
    </row>
    <row r="1243" spans="1:2" x14ac:dyDescent="0.25">
      <c r="A1243" s="3">
        <v>0</v>
      </c>
      <c r="B1243" s="3">
        <v>1</v>
      </c>
    </row>
    <row r="1244" spans="1:2" x14ac:dyDescent="0.25">
      <c r="A1244" s="3">
        <v>-18</v>
      </c>
      <c r="B1244" s="3">
        <v>2</v>
      </c>
    </row>
    <row r="1245" spans="1:2" x14ac:dyDescent="0.25">
      <c r="A1245" s="3">
        <v>85</v>
      </c>
      <c r="B1245" s="3">
        <v>3</v>
      </c>
    </row>
    <row r="1246" spans="1:2" x14ac:dyDescent="0.25">
      <c r="A1246" s="3">
        <v>-43</v>
      </c>
      <c r="B1246" s="3">
        <v>6</v>
      </c>
    </row>
    <row r="1247" spans="1:2" x14ac:dyDescent="0.25">
      <c r="A1247" s="3">
        <v>131</v>
      </c>
      <c r="B1247" s="3">
        <v>9</v>
      </c>
    </row>
    <row r="1248" spans="1:2" x14ac:dyDescent="0.25">
      <c r="A1248" s="3">
        <v>-5</v>
      </c>
      <c r="B1248" s="3">
        <v>2</v>
      </c>
    </row>
    <row r="1249" spans="1:2" x14ac:dyDescent="0.25">
      <c r="A1249" s="3">
        <v>-10</v>
      </c>
      <c r="B1249" s="3">
        <v>2</v>
      </c>
    </row>
    <row r="1250" spans="1:2" x14ac:dyDescent="0.25">
      <c r="A1250" s="3">
        <v>-13</v>
      </c>
      <c r="B1250" s="3">
        <v>3</v>
      </c>
    </row>
    <row r="1251" spans="1:2" x14ac:dyDescent="0.25">
      <c r="A1251" s="3">
        <v>194</v>
      </c>
      <c r="B1251" s="3">
        <v>3</v>
      </c>
    </row>
    <row r="1252" spans="1:2" x14ac:dyDescent="0.25">
      <c r="A1252" s="3">
        <v>-53</v>
      </c>
      <c r="B1252" s="3">
        <v>3</v>
      </c>
    </row>
    <row r="1253" spans="1:2" x14ac:dyDescent="0.25">
      <c r="A1253" s="3">
        <v>215</v>
      </c>
      <c r="B1253" s="3">
        <v>2</v>
      </c>
    </row>
    <row r="1254" spans="1:2" x14ac:dyDescent="0.25">
      <c r="A1254" s="3">
        <v>69</v>
      </c>
      <c r="B1254" s="3">
        <v>4</v>
      </c>
    </row>
    <row r="1255" spans="1:2" x14ac:dyDescent="0.25">
      <c r="A1255" s="3">
        <v>-19</v>
      </c>
      <c r="B1255" s="3">
        <v>2</v>
      </c>
    </row>
    <row r="1256" spans="1:2" x14ac:dyDescent="0.25">
      <c r="A1256" s="3">
        <v>-10</v>
      </c>
      <c r="B1256" s="3">
        <v>3</v>
      </c>
    </row>
    <row r="1257" spans="1:2" x14ac:dyDescent="0.25">
      <c r="A1257" s="3">
        <v>52</v>
      </c>
      <c r="B1257" s="3">
        <v>5</v>
      </c>
    </row>
    <row r="1258" spans="1:2" x14ac:dyDescent="0.25">
      <c r="A1258" s="3">
        <v>-174</v>
      </c>
      <c r="B1258" s="3">
        <v>2</v>
      </c>
    </row>
    <row r="1259" spans="1:2" x14ac:dyDescent="0.25">
      <c r="A1259" s="3">
        <v>26</v>
      </c>
      <c r="B1259" s="3">
        <v>3</v>
      </c>
    </row>
    <row r="1260" spans="1:2" x14ac:dyDescent="0.25">
      <c r="A1260" s="3">
        <v>44</v>
      </c>
      <c r="B1260" s="3">
        <v>3</v>
      </c>
    </row>
    <row r="1261" spans="1:2" x14ac:dyDescent="0.25">
      <c r="A1261" s="3">
        <v>108</v>
      </c>
      <c r="B1261" s="3">
        <v>12</v>
      </c>
    </row>
    <row r="1262" spans="1:2" x14ac:dyDescent="0.25">
      <c r="A1262" s="3">
        <v>2</v>
      </c>
      <c r="B1262" s="3">
        <v>3</v>
      </c>
    </row>
    <row r="1263" spans="1:2" x14ac:dyDescent="0.25">
      <c r="A1263" s="3">
        <v>3</v>
      </c>
      <c r="B1263" s="3">
        <v>2</v>
      </c>
    </row>
    <row r="1264" spans="1:2" x14ac:dyDescent="0.25">
      <c r="A1264" s="3">
        <v>-3</v>
      </c>
      <c r="B1264" s="3">
        <v>3</v>
      </c>
    </row>
    <row r="1265" spans="1:2" x14ac:dyDescent="0.25">
      <c r="A1265" s="3">
        <v>14</v>
      </c>
      <c r="B1265" s="3">
        <v>2</v>
      </c>
    </row>
    <row r="1266" spans="1:2" x14ac:dyDescent="0.25">
      <c r="A1266" s="3">
        <v>139</v>
      </c>
      <c r="B1266" s="3">
        <v>3</v>
      </c>
    </row>
    <row r="1267" spans="1:2" x14ac:dyDescent="0.25">
      <c r="A1267" s="3">
        <v>-24</v>
      </c>
      <c r="B1267" s="3">
        <v>4</v>
      </c>
    </row>
    <row r="1268" spans="1:2" x14ac:dyDescent="0.25">
      <c r="A1268" s="3">
        <v>213</v>
      </c>
      <c r="B1268" s="3">
        <v>4</v>
      </c>
    </row>
    <row r="1269" spans="1:2" x14ac:dyDescent="0.25">
      <c r="A1269" s="3">
        <v>72</v>
      </c>
      <c r="B1269" s="3">
        <v>2</v>
      </c>
    </row>
    <row r="1270" spans="1:2" x14ac:dyDescent="0.25">
      <c r="A1270" s="3">
        <v>90</v>
      </c>
      <c r="B1270" s="3">
        <v>8</v>
      </c>
    </row>
    <row r="1271" spans="1:2" x14ac:dyDescent="0.25">
      <c r="A1271" s="3">
        <v>92</v>
      </c>
      <c r="B1271" s="3">
        <v>2</v>
      </c>
    </row>
    <row r="1272" spans="1:2" x14ac:dyDescent="0.25">
      <c r="A1272" s="3">
        <v>93</v>
      </c>
      <c r="B1272" s="3">
        <v>4</v>
      </c>
    </row>
    <row r="1273" spans="1:2" x14ac:dyDescent="0.25">
      <c r="A1273" s="3">
        <v>97</v>
      </c>
      <c r="B1273" s="3">
        <v>7</v>
      </c>
    </row>
    <row r="1274" spans="1:2" x14ac:dyDescent="0.25">
      <c r="A1274" s="3">
        <v>90</v>
      </c>
      <c r="B1274" s="3">
        <v>5</v>
      </c>
    </row>
    <row r="1275" spans="1:2" x14ac:dyDescent="0.25">
      <c r="A1275" s="3">
        <v>-10</v>
      </c>
      <c r="B1275" s="3">
        <v>3</v>
      </c>
    </row>
    <row r="1276" spans="1:2" x14ac:dyDescent="0.25">
      <c r="A1276" s="3">
        <v>12</v>
      </c>
      <c r="B1276" s="3">
        <v>3</v>
      </c>
    </row>
    <row r="1277" spans="1:2" x14ac:dyDescent="0.25">
      <c r="A1277" s="3">
        <v>-102</v>
      </c>
      <c r="B1277" s="3">
        <v>5</v>
      </c>
    </row>
    <row r="1278" spans="1:2" x14ac:dyDescent="0.25">
      <c r="A1278" s="3">
        <v>113</v>
      </c>
      <c r="B1278" s="3">
        <v>5</v>
      </c>
    </row>
    <row r="1279" spans="1:2" x14ac:dyDescent="0.25">
      <c r="A1279" s="3">
        <v>-69</v>
      </c>
      <c r="B1279" s="3">
        <v>7</v>
      </c>
    </row>
    <row r="1280" spans="1:2" x14ac:dyDescent="0.25">
      <c r="A1280" s="3">
        <v>37</v>
      </c>
      <c r="B1280" s="3">
        <v>2</v>
      </c>
    </row>
    <row r="1281" spans="1:2" x14ac:dyDescent="0.25">
      <c r="A1281" s="3">
        <v>4</v>
      </c>
      <c r="B1281" s="3">
        <v>1</v>
      </c>
    </row>
    <row r="1282" spans="1:2" x14ac:dyDescent="0.25">
      <c r="A1282" s="3">
        <v>-444</v>
      </c>
      <c r="B1282" s="3">
        <v>7</v>
      </c>
    </row>
    <row r="1283" spans="1:2" x14ac:dyDescent="0.25">
      <c r="A1283" s="3">
        <v>6</v>
      </c>
      <c r="B1283" s="3">
        <v>4</v>
      </c>
    </row>
    <row r="1284" spans="1:2" x14ac:dyDescent="0.25">
      <c r="A1284" s="3">
        <v>-1</v>
      </c>
      <c r="B1284" s="3">
        <v>1</v>
      </c>
    </row>
    <row r="1285" spans="1:2" x14ac:dyDescent="0.25">
      <c r="A1285" s="3">
        <v>-20</v>
      </c>
      <c r="B1285" s="3">
        <v>2</v>
      </c>
    </row>
    <row r="1286" spans="1:2" x14ac:dyDescent="0.25">
      <c r="A1286" s="3">
        <v>5</v>
      </c>
      <c r="B1286" s="3">
        <v>2</v>
      </c>
    </row>
    <row r="1287" spans="1:2" x14ac:dyDescent="0.25">
      <c r="A1287" s="3">
        <v>4</v>
      </c>
      <c r="B1287" s="3">
        <v>3</v>
      </c>
    </row>
    <row r="1288" spans="1:2" x14ac:dyDescent="0.25">
      <c r="A1288" s="3">
        <v>-349</v>
      </c>
      <c r="B1288" s="3">
        <v>5</v>
      </c>
    </row>
    <row r="1289" spans="1:2" x14ac:dyDescent="0.25">
      <c r="A1289" s="3">
        <v>166</v>
      </c>
      <c r="B1289" s="3">
        <v>4</v>
      </c>
    </row>
    <row r="1290" spans="1:2" x14ac:dyDescent="0.25">
      <c r="A1290" s="3">
        <v>-204</v>
      </c>
      <c r="B1290" s="3">
        <v>2</v>
      </c>
    </row>
    <row r="1291" spans="1:2" x14ac:dyDescent="0.25">
      <c r="A1291" s="3">
        <v>9</v>
      </c>
      <c r="B1291" s="3">
        <v>2</v>
      </c>
    </row>
    <row r="1292" spans="1:2" x14ac:dyDescent="0.25">
      <c r="A1292" s="3">
        <v>-6</v>
      </c>
      <c r="B1292" s="3">
        <v>4</v>
      </c>
    </row>
    <row r="1293" spans="1:2" x14ac:dyDescent="0.25">
      <c r="A1293" s="3">
        <v>212</v>
      </c>
      <c r="B1293" s="3">
        <v>8</v>
      </c>
    </row>
    <row r="1294" spans="1:2" x14ac:dyDescent="0.25">
      <c r="A1294" s="3">
        <v>110</v>
      </c>
      <c r="B1294" s="3">
        <v>9</v>
      </c>
    </row>
    <row r="1295" spans="1:2" x14ac:dyDescent="0.25">
      <c r="A1295" s="3">
        <v>-25</v>
      </c>
      <c r="B1295" s="3">
        <v>2</v>
      </c>
    </row>
    <row r="1296" spans="1:2" x14ac:dyDescent="0.25">
      <c r="A1296" s="3">
        <v>-114</v>
      </c>
      <c r="B1296" s="3">
        <v>4</v>
      </c>
    </row>
    <row r="1297" spans="1:2" x14ac:dyDescent="0.25">
      <c r="A1297" s="3">
        <v>-45</v>
      </c>
      <c r="B1297" s="3">
        <v>2</v>
      </c>
    </row>
    <row r="1298" spans="1:2" x14ac:dyDescent="0.25">
      <c r="A1298" s="3">
        <v>13</v>
      </c>
      <c r="B1298" s="3">
        <v>6</v>
      </c>
    </row>
    <row r="1299" spans="1:2" x14ac:dyDescent="0.25">
      <c r="A1299" s="3">
        <v>-27</v>
      </c>
      <c r="B1299" s="3">
        <v>1</v>
      </c>
    </row>
    <row r="1300" spans="1:2" x14ac:dyDescent="0.25">
      <c r="A1300" s="3">
        <v>2</v>
      </c>
      <c r="B1300" s="3">
        <v>2</v>
      </c>
    </row>
    <row r="1301" spans="1:2" x14ac:dyDescent="0.25">
      <c r="A1301" s="3">
        <v>-633</v>
      </c>
      <c r="B1301" s="3">
        <v>11</v>
      </c>
    </row>
    <row r="1302" spans="1:2" x14ac:dyDescent="0.25">
      <c r="A1302" s="3">
        <v>9</v>
      </c>
      <c r="B1302" s="3">
        <v>2</v>
      </c>
    </row>
    <row r="1303" spans="1:2" x14ac:dyDescent="0.25">
      <c r="A1303" s="3">
        <v>93</v>
      </c>
      <c r="B1303" s="3">
        <v>4</v>
      </c>
    </row>
    <row r="1304" spans="1:2" x14ac:dyDescent="0.25">
      <c r="A1304" s="3">
        <v>80</v>
      </c>
      <c r="B1304" s="3">
        <v>3</v>
      </c>
    </row>
    <row r="1305" spans="1:2" x14ac:dyDescent="0.25">
      <c r="A1305" s="3">
        <v>261</v>
      </c>
      <c r="B1305" s="3">
        <v>2</v>
      </c>
    </row>
    <row r="1306" spans="1:2" x14ac:dyDescent="0.25">
      <c r="A1306" s="3">
        <v>15</v>
      </c>
      <c r="B1306" s="3">
        <v>5</v>
      </c>
    </row>
    <row r="1307" spans="1:2" x14ac:dyDescent="0.25">
      <c r="A1307" s="3">
        <v>7</v>
      </c>
      <c r="B1307" s="3">
        <v>4</v>
      </c>
    </row>
    <row r="1308" spans="1:2" x14ac:dyDescent="0.25">
      <c r="A1308" s="3">
        <v>195</v>
      </c>
      <c r="B1308" s="3">
        <v>5</v>
      </c>
    </row>
    <row r="1309" spans="1:2" x14ac:dyDescent="0.25">
      <c r="A1309" s="3">
        <v>12</v>
      </c>
      <c r="B1309" s="3">
        <v>3</v>
      </c>
    </row>
    <row r="1310" spans="1:2" x14ac:dyDescent="0.25">
      <c r="A1310" s="3">
        <v>-24</v>
      </c>
      <c r="B1310" s="3">
        <v>1</v>
      </c>
    </row>
    <row r="1311" spans="1:2" x14ac:dyDescent="0.25">
      <c r="A1311" s="3">
        <v>7</v>
      </c>
      <c r="B1311" s="3">
        <v>2</v>
      </c>
    </row>
    <row r="1312" spans="1:2" x14ac:dyDescent="0.25">
      <c r="A1312" s="3">
        <v>-30</v>
      </c>
      <c r="B1312" s="3">
        <v>1</v>
      </c>
    </row>
    <row r="1313" spans="1:2" x14ac:dyDescent="0.25">
      <c r="A1313" s="3">
        <v>-12</v>
      </c>
      <c r="B1313" s="3">
        <v>1</v>
      </c>
    </row>
    <row r="1314" spans="1:2" x14ac:dyDescent="0.25">
      <c r="A1314" s="3">
        <v>-2</v>
      </c>
      <c r="B1314" s="3">
        <v>2</v>
      </c>
    </row>
    <row r="1315" spans="1:2" x14ac:dyDescent="0.25">
      <c r="A1315" s="3">
        <v>169</v>
      </c>
      <c r="B1315" s="3">
        <v>5</v>
      </c>
    </row>
    <row r="1316" spans="1:2" x14ac:dyDescent="0.25">
      <c r="A1316" s="3">
        <v>107</v>
      </c>
      <c r="B1316" s="3">
        <v>3</v>
      </c>
    </row>
    <row r="1317" spans="1:2" x14ac:dyDescent="0.25">
      <c r="A1317" s="3">
        <v>-6</v>
      </c>
      <c r="B1317" s="3">
        <v>2</v>
      </c>
    </row>
    <row r="1318" spans="1:2" x14ac:dyDescent="0.25">
      <c r="A1318" s="3">
        <v>5</v>
      </c>
      <c r="B1318" s="3">
        <v>2</v>
      </c>
    </row>
    <row r="1319" spans="1:2" x14ac:dyDescent="0.25">
      <c r="A1319" s="3">
        <v>240</v>
      </c>
      <c r="B1319" s="3">
        <v>2</v>
      </c>
    </row>
    <row r="1320" spans="1:2" x14ac:dyDescent="0.25">
      <c r="A1320" s="3">
        <v>-23</v>
      </c>
      <c r="B1320" s="3">
        <v>2</v>
      </c>
    </row>
    <row r="1321" spans="1:2" x14ac:dyDescent="0.25">
      <c r="A1321" s="3">
        <v>9</v>
      </c>
      <c r="B1321" s="3">
        <v>3</v>
      </c>
    </row>
    <row r="1322" spans="1:2" x14ac:dyDescent="0.25">
      <c r="A1322" s="3">
        <v>1</v>
      </c>
      <c r="B1322" s="3">
        <v>1</v>
      </c>
    </row>
    <row r="1323" spans="1:2" x14ac:dyDescent="0.25">
      <c r="A1323" s="3">
        <v>-3</v>
      </c>
      <c r="B1323" s="3">
        <v>2</v>
      </c>
    </row>
    <row r="1324" spans="1:2" x14ac:dyDescent="0.25">
      <c r="A1324" s="3">
        <v>2</v>
      </c>
      <c r="B1324" s="3">
        <v>4</v>
      </c>
    </row>
    <row r="1325" spans="1:2" x14ac:dyDescent="0.25">
      <c r="A1325" s="3">
        <v>-26</v>
      </c>
      <c r="B1325" s="3">
        <v>2</v>
      </c>
    </row>
    <row r="1326" spans="1:2" x14ac:dyDescent="0.25">
      <c r="A1326" s="3">
        <v>5</v>
      </c>
      <c r="B1326" s="3">
        <v>1</v>
      </c>
    </row>
    <row r="1327" spans="1:2" x14ac:dyDescent="0.25">
      <c r="A1327" s="3">
        <v>-15</v>
      </c>
      <c r="B1327" s="3">
        <v>1</v>
      </c>
    </row>
    <row r="1328" spans="1:2" x14ac:dyDescent="0.25">
      <c r="A1328" s="3">
        <v>11</v>
      </c>
      <c r="B1328" s="3">
        <v>3</v>
      </c>
    </row>
    <row r="1329" spans="1:2" x14ac:dyDescent="0.25">
      <c r="A1329" s="3">
        <v>-6</v>
      </c>
      <c r="B1329" s="3">
        <v>4</v>
      </c>
    </row>
    <row r="1330" spans="1:2" x14ac:dyDescent="0.25">
      <c r="A1330" s="3">
        <v>193</v>
      </c>
      <c r="B1330" s="3">
        <v>5</v>
      </c>
    </row>
    <row r="1331" spans="1:2" x14ac:dyDescent="0.25">
      <c r="A1331" s="3">
        <v>-103</v>
      </c>
      <c r="B1331" s="3">
        <v>6</v>
      </c>
    </row>
    <row r="1332" spans="1:2" x14ac:dyDescent="0.25">
      <c r="A1332" s="3">
        <v>-3</v>
      </c>
      <c r="B1332" s="3">
        <v>1</v>
      </c>
    </row>
    <row r="1333" spans="1:2" x14ac:dyDescent="0.25">
      <c r="A1333" s="3">
        <v>3</v>
      </c>
      <c r="B1333" s="3">
        <v>3</v>
      </c>
    </row>
    <row r="1334" spans="1:2" x14ac:dyDescent="0.25">
      <c r="A1334" s="3">
        <v>-56</v>
      </c>
      <c r="B1334" s="3">
        <v>2</v>
      </c>
    </row>
    <row r="1335" spans="1:2" x14ac:dyDescent="0.25">
      <c r="A1335" s="3">
        <v>169</v>
      </c>
      <c r="B1335" s="3">
        <v>4</v>
      </c>
    </row>
    <row r="1336" spans="1:2" x14ac:dyDescent="0.25">
      <c r="A1336" s="3">
        <v>203</v>
      </c>
      <c r="B1336" s="3">
        <v>3</v>
      </c>
    </row>
    <row r="1337" spans="1:2" x14ac:dyDescent="0.25">
      <c r="A1337" s="3">
        <v>4</v>
      </c>
      <c r="B1337" s="3">
        <v>2</v>
      </c>
    </row>
    <row r="1338" spans="1:2" x14ac:dyDescent="0.25">
      <c r="A1338" s="3">
        <v>43</v>
      </c>
      <c r="B1338" s="3">
        <v>2</v>
      </c>
    </row>
    <row r="1339" spans="1:2" x14ac:dyDescent="0.25">
      <c r="A1339" s="3">
        <v>-447</v>
      </c>
      <c r="B1339" s="3">
        <v>4</v>
      </c>
    </row>
    <row r="1340" spans="1:2" x14ac:dyDescent="0.25">
      <c r="A1340" s="3">
        <v>253</v>
      </c>
      <c r="B1340" s="3">
        <v>2</v>
      </c>
    </row>
    <row r="1341" spans="1:2" x14ac:dyDescent="0.25">
      <c r="A1341" s="3">
        <v>10</v>
      </c>
      <c r="B1341" s="3">
        <v>4</v>
      </c>
    </row>
    <row r="1342" spans="1:2" x14ac:dyDescent="0.25">
      <c r="A1342" s="3">
        <v>-2</v>
      </c>
      <c r="B1342" s="3">
        <v>3</v>
      </c>
    </row>
    <row r="1343" spans="1:2" x14ac:dyDescent="0.25">
      <c r="A1343" s="3">
        <v>-8</v>
      </c>
      <c r="B1343" s="3">
        <v>4</v>
      </c>
    </row>
    <row r="1344" spans="1:2" x14ac:dyDescent="0.25">
      <c r="A1344" s="3">
        <v>31</v>
      </c>
      <c r="B1344" s="3">
        <v>5</v>
      </c>
    </row>
    <row r="1345" spans="1:2" x14ac:dyDescent="0.25">
      <c r="A1345" s="3">
        <v>-153</v>
      </c>
      <c r="B1345" s="3">
        <v>2</v>
      </c>
    </row>
    <row r="1346" spans="1:2" x14ac:dyDescent="0.25">
      <c r="A1346" s="3">
        <v>8</v>
      </c>
      <c r="B1346" s="3">
        <v>2</v>
      </c>
    </row>
    <row r="1347" spans="1:2" x14ac:dyDescent="0.25">
      <c r="A1347" s="3">
        <v>-5</v>
      </c>
      <c r="B1347" s="3">
        <v>2</v>
      </c>
    </row>
    <row r="1348" spans="1:2" x14ac:dyDescent="0.25">
      <c r="A1348" s="3">
        <v>8</v>
      </c>
      <c r="B1348" s="3">
        <v>3</v>
      </c>
    </row>
    <row r="1349" spans="1:2" x14ac:dyDescent="0.25">
      <c r="A1349" s="3">
        <v>89</v>
      </c>
      <c r="B1349" s="3">
        <v>5</v>
      </c>
    </row>
    <row r="1350" spans="1:2" x14ac:dyDescent="0.25">
      <c r="A1350" s="3">
        <v>-15</v>
      </c>
      <c r="B1350" s="3">
        <v>4</v>
      </c>
    </row>
    <row r="1351" spans="1:2" x14ac:dyDescent="0.25">
      <c r="A1351" s="3">
        <v>594</v>
      </c>
      <c r="B1351" s="3">
        <v>6</v>
      </c>
    </row>
    <row r="1352" spans="1:2" x14ac:dyDescent="0.25">
      <c r="A1352" s="3">
        <v>-2</v>
      </c>
      <c r="B1352" s="3">
        <v>5</v>
      </c>
    </row>
    <row r="1353" spans="1:2" x14ac:dyDescent="0.25">
      <c r="A1353" s="3">
        <v>2</v>
      </c>
      <c r="B1353" s="3">
        <v>2</v>
      </c>
    </row>
    <row r="1354" spans="1:2" x14ac:dyDescent="0.25">
      <c r="A1354" s="3">
        <v>43</v>
      </c>
      <c r="B1354" s="3">
        <v>5</v>
      </c>
    </row>
    <row r="1355" spans="1:2" x14ac:dyDescent="0.25">
      <c r="A1355" s="3">
        <v>52</v>
      </c>
      <c r="B1355" s="3">
        <v>2</v>
      </c>
    </row>
    <row r="1356" spans="1:2" x14ac:dyDescent="0.25">
      <c r="A1356" s="3">
        <v>-66</v>
      </c>
      <c r="B1356" s="3">
        <v>5</v>
      </c>
    </row>
    <row r="1357" spans="1:2" x14ac:dyDescent="0.25">
      <c r="A1357" s="3">
        <v>4</v>
      </c>
      <c r="B1357" s="3">
        <v>1</v>
      </c>
    </row>
    <row r="1358" spans="1:2" x14ac:dyDescent="0.25">
      <c r="A1358" s="3">
        <v>180</v>
      </c>
      <c r="B1358" s="3">
        <v>5</v>
      </c>
    </row>
    <row r="1359" spans="1:2" x14ac:dyDescent="0.25">
      <c r="A1359" s="3">
        <v>-353</v>
      </c>
      <c r="B1359" s="3">
        <v>5</v>
      </c>
    </row>
    <row r="1360" spans="1:2" x14ac:dyDescent="0.25">
      <c r="A1360" s="3">
        <v>323</v>
      </c>
      <c r="B1360" s="3">
        <v>3</v>
      </c>
    </row>
    <row r="1361" spans="1:2" x14ac:dyDescent="0.25">
      <c r="A1361" s="3">
        <v>-17</v>
      </c>
      <c r="B1361" s="3">
        <v>3</v>
      </c>
    </row>
    <row r="1362" spans="1:2" x14ac:dyDescent="0.25">
      <c r="A1362" s="3">
        <v>-6</v>
      </c>
      <c r="B1362" s="3">
        <v>3</v>
      </c>
    </row>
    <row r="1363" spans="1:2" x14ac:dyDescent="0.25">
      <c r="A1363" s="3">
        <v>187</v>
      </c>
      <c r="B1363" s="3">
        <v>2</v>
      </c>
    </row>
    <row r="1364" spans="1:2" x14ac:dyDescent="0.25">
      <c r="A1364" s="3">
        <v>-96</v>
      </c>
      <c r="B1364" s="3">
        <v>3</v>
      </c>
    </row>
    <row r="1365" spans="1:2" x14ac:dyDescent="0.25">
      <c r="A1365" s="3">
        <v>2</v>
      </c>
      <c r="B1365" s="3">
        <v>3</v>
      </c>
    </row>
    <row r="1366" spans="1:2" x14ac:dyDescent="0.25">
      <c r="A1366" s="3">
        <v>120</v>
      </c>
      <c r="B1366" s="3">
        <v>7</v>
      </c>
    </row>
    <row r="1367" spans="1:2" x14ac:dyDescent="0.25">
      <c r="A1367" s="3">
        <v>154</v>
      </c>
      <c r="B1367" s="3">
        <v>7</v>
      </c>
    </row>
    <row r="1368" spans="1:2" x14ac:dyDescent="0.25">
      <c r="A1368" s="3">
        <v>267</v>
      </c>
      <c r="B1368" s="3">
        <v>5</v>
      </c>
    </row>
    <row r="1369" spans="1:2" x14ac:dyDescent="0.25">
      <c r="A1369" s="3">
        <v>-5</v>
      </c>
      <c r="B1369" s="3">
        <v>1</v>
      </c>
    </row>
    <row r="1370" spans="1:2" x14ac:dyDescent="0.25">
      <c r="A1370" s="3">
        <v>-190</v>
      </c>
      <c r="B1370" s="3">
        <v>4</v>
      </c>
    </row>
    <row r="1371" spans="1:2" x14ac:dyDescent="0.25">
      <c r="A1371" s="3">
        <v>-1</v>
      </c>
      <c r="B1371" s="3">
        <v>4</v>
      </c>
    </row>
    <row r="1372" spans="1:2" x14ac:dyDescent="0.25">
      <c r="A1372" s="3">
        <v>0</v>
      </c>
      <c r="B1372" s="3">
        <v>3</v>
      </c>
    </row>
    <row r="1373" spans="1:2" x14ac:dyDescent="0.25">
      <c r="A1373" s="3">
        <v>93</v>
      </c>
      <c r="B1373" s="3">
        <v>3</v>
      </c>
    </row>
    <row r="1374" spans="1:2" x14ac:dyDescent="0.25">
      <c r="A1374" s="3">
        <v>6</v>
      </c>
      <c r="B1374" s="3">
        <v>1</v>
      </c>
    </row>
    <row r="1375" spans="1:2" x14ac:dyDescent="0.25">
      <c r="A1375" s="3">
        <v>-5</v>
      </c>
      <c r="B1375" s="3">
        <v>7</v>
      </c>
    </row>
    <row r="1376" spans="1:2" x14ac:dyDescent="0.25">
      <c r="A1376" s="3">
        <v>-242</v>
      </c>
      <c r="B1376" s="3">
        <v>5</v>
      </c>
    </row>
    <row r="1377" spans="1:2" x14ac:dyDescent="0.25">
      <c r="A1377" s="3">
        <v>-91</v>
      </c>
      <c r="B1377" s="3">
        <v>2</v>
      </c>
    </row>
    <row r="1378" spans="1:2" x14ac:dyDescent="0.25">
      <c r="A1378" s="3">
        <v>9</v>
      </c>
      <c r="B1378" s="3">
        <v>2</v>
      </c>
    </row>
    <row r="1379" spans="1:2" x14ac:dyDescent="0.25">
      <c r="A1379" s="3">
        <v>385</v>
      </c>
      <c r="B1379" s="3">
        <v>6</v>
      </c>
    </row>
    <row r="1380" spans="1:2" x14ac:dyDescent="0.25">
      <c r="A1380" s="3">
        <v>131</v>
      </c>
      <c r="B1380" s="3">
        <v>2</v>
      </c>
    </row>
    <row r="1381" spans="1:2" x14ac:dyDescent="0.25">
      <c r="A1381" s="3">
        <v>-18</v>
      </c>
      <c r="B1381" s="3">
        <v>4</v>
      </c>
    </row>
    <row r="1382" spans="1:2" x14ac:dyDescent="0.25">
      <c r="A1382" s="3">
        <v>-66</v>
      </c>
      <c r="B1382" s="3">
        <v>2</v>
      </c>
    </row>
    <row r="1383" spans="1:2" x14ac:dyDescent="0.25">
      <c r="A1383" s="3">
        <v>97</v>
      </c>
      <c r="B1383" s="3">
        <v>8</v>
      </c>
    </row>
    <row r="1384" spans="1:2" x14ac:dyDescent="0.25">
      <c r="A1384" s="3">
        <v>-8</v>
      </c>
      <c r="B1384" s="3">
        <v>4</v>
      </c>
    </row>
    <row r="1385" spans="1:2" x14ac:dyDescent="0.25">
      <c r="A1385" s="3">
        <v>11</v>
      </c>
      <c r="B1385" s="3">
        <v>2</v>
      </c>
    </row>
    <row r="1386" spans="1:2" x14ac:dyDescent="0.25">
      <c r="A1386" s="3">
        <v>4</v>
      </c>
      <c r="B1386" s="3">
        <v>3</v>
      </c>
    </row>
    <row r="1387" spans="1:2" x14ac:dyDescent="0.25">
      <c r="A1387" s="3">
        <v>1</v>
      </c>
      <c r="B1387" s="3">
        <v>3</v>
      </c>
    </row>
    <row r="1388" spans="1:2" x14ac:dyDescent="0.25">
      <c r="A1388" s="3">
        <v>202</v>
      </c>
      <c r="B1388" s="3">
        <v>7</v>
      </c>
    </row>
    <row r="1389" spans="1:2" x14ac:dyDescent="0.25">
      <c r="A1389" s="3">
        <v>2</v>
      </c>
      <c r="B1389" s="3">
        <v>3</v>
      </c>
    </row>
    <row r="1390" spans="1:2" x14ac:dyDescent="0.25">
      <c r="A1390" s="3">
        <v>355</v>
      </c>
      <c r="B1390" s="3">
        <v>5</v>
      </c>
    </row>
    <row r="1391" spans="1:2" x14ac:dyDescent="0.25">
      <c r="A1391" s="3">
        <v>-129</v>
      </c>
      <c r="B1391" s="3">
        <v>2</v>
      </c>
    </row>
    <row r="1392" spans="1:2" x14ac:dyDescent="0.25">
      <c r="A1392" s="3">
        <v>22</v>
      </c>
      <c r="B1392" s="3">
        <v>9</v>
      </c>
    </row>
    <row r="1393" spans="1:2" x14ac:dyDescent="0.25">
      <c r="A1393" s="3">
        <v>-447</v>
      </c>
      <c r="B1393" s="3">
        <v>5</v>
      </c>
    </row>
    <row r="1394" spans="1:2" x14ac:dyDescent="0.25">
      <c r="A1394" s="3">
        <v>8</v>
      </c>
      <c r="B1394" s="3">
        <v>2</v>
      </c>
    </row>
    <row r="1395" spans="1:2" x14ac:dyDescent="0.25">
      <c r="A1395" s="3">
        <v>207</v>
      </c>
      <c r="B1395" s="3">
        <v>9</v>
      </c>
    </row>
    <row r="1396" spans="1:2" x14ac:dyDescent="0.25">
      <c r="A1396" s="3">
        <v>-9</v>
      </c>
      <c r="B1396" s="3">
        <v>3</v>
      </c>
    </row>
    <row r="1397" spans="1:2" x14ac:dyDescent="0.25">
      <c r="A1397" s="3">
        <v>114</v>
      </c>
      <c r="B1397" s="3">
        <v>4</v>
      </c>
    </row>
    <row r="1398" spans="1:2" x14ac:dyDescent="0.25">
      <c r="A1398" s="3">
        <v>-10</v>
      </c>
      <c r="B1398" s="3">
        <v>2</v>
      </c>
    </row>
    <row r="1399" spans="1:2" x14ac:dyDescent="0.25">
      <c r="A1399" s="3">
        <v>95</v>
      </c>
      <c r="B1399" s="3">
        <v>3</v>
      </c>
    </row>
    <row r="1400" spans="1:2" x14ac:dyDescent="0.25">
      <c r="A1400" s="3">
        <v>-99</v>
      </c>
      <c r="B1400" s="3">
        <v>3</v>
      </c>
    </row>
    <row r="1401" spans="1:2" x14ac:dyDescent="0.25">
      <c r="A1401" s="3">
        <v>305</v>
      </c>
      <c r="B1401" s="3">
        <v>3</v>
      </c>
    </row>
    <row r="1402" spans="1:2" x14ac:dyDescent="0.25">
      <c r="A1402" s="3">
        <v>293</v>
      </c>
      <c r="B1402" s="3">
        <v>4</v>
      </c>
    </row>
    <row r="1403" spans="1:2" x14ac:dyDescent="0.25">
      <c r="A1403" s="3">
        <v>0</v>
      </c>
      <c r="B1403" s="3">
        <v>6</v>
      </c>
    </row>
    <row r="1404" spans="1:2" x14ac:dyDescent="0.25">
      <c r="A1404" s="3">
        <v>-15</v>
      </c>
      <c r="B1404" s="3">
        <v>3</v>
      </c>
    </row>
    <row r="1405" spans="1:2" x14ac:dyDescent="0.25">
      <c r="A1405" s="3">
        <v>6</v>
      </c>
      <c r="B1405" s="3">
        <v>3</v>
      </c>
    </row>
    <row r="1406" spans="1:2" x14ac:dyDescent="0.25">
      <c r="A1406" s="3">
        <v>206</v>
      </c>
      <c r="B1406" s="3">
        <v>8</v>
      </c>
    </row>
    <row r="1407" spans="1:2" x14ac:dyDescent="0.25">
      <c r="A1407" s="3">
        <v>82</v>
      </c>
      <c r="B1407" s="3">
        <v>6</v>
      </c>
    </row>
    <row r="1408" spans="1:2" x14ac:dyDescent="0.25">
      <c r="A1408" s="3">
        <v>8</v>
      </c>
      <c r="B1408" s="3">
        <v>2</v>
      </c>
    </row>
    <row r="1409" spans="1:2" x14ac:dyDescent="0.25">
      <c r="A1409" s="3">
        <v>8</v>
      </c>
      <c r="B1409" s="3">
        <v>2</v>
      </c>
    </row>
    <row r="1410" spans="1:2" x14ac:dyDescent="0.25">
      <c r="A1410" s="3">
        <v>-130</v>
      </c>
      <c r="B1410" s="3">
        <v>4</v>
      </c>
    </row>
    <row r="1411" spans="1:2" x14ac:dyDescent="0.25">
      <c r="A1411" s="3">
        <v>6</v>
      </c>
      <c r="B1411" s="3">
        <v>1</v>
      </c>
    </row>
    <row r="1412" spans="1:2" x14ac:dyDescent="0.25">
      <c r="A1412" s="3">
        <v>197</v>
      </c>
      <c r="B1412" s="3">
        <v>9</v>
      </c>
    </row>
    <row r="1413" spans="1:2" x14ac:dyDescent="0.25">
      <c r="A1413" s="3">
        <v>1</v>
      </c>
      <c r="B1413" s="3">
        <v>1</v>
      </c>
    </row>
    <row r="1414" spans="1:2" x14ac:dyDescent="0.25">
      <c r="A1414" s="3">
        <v>-38</v>
      </c>
      <c r="B1414" s="3">
        <v>4</v>
      </c>
    </row>
    <row r="1415" spans="1:2" x14ac:dyDescent="0.25">
      <c r="A1415" s="3">
        <v>2</v>
      </c>
      <c r="B1415" s="3">
        <v>3</v>
      </c>
    </row>
    <row r="1416" spans="1:2" x14ac:dyDescent="0.25">
      <c r="A1416" s="3">
        <v>352</v>
      </c>
      <c r="B1416" s="3">
        <v>3</v>
      </c>
    </row>
    <row r="1417" spans="1:2" x14ac:dyDescent="0.25">
      <c r="A1417" s="3">
        <v>2</v>
      </c>
      <c r="B1417" s="3">
        <v>1</v>
      </c>
    </row>
    <row r="1418" spans="1:2" x14ac:dyDescent="0.25">
      <c r="A1418" s="3">
        <v>209</v>
      </c>
      <c r="B1418" s="3">
        <v>4</v>
      </c>
    </row>
    <row r="1419" spans="1:2" x14ac:dyDescent="0.25">
      <c r="A1419" s="3">
        <v>2</v>
      </c>
      <c r="B1419" s="3">
        <v>1</v>
      </c>
    </row>
    <row r="1420" spans="1:2" x14ac:dyDescent="0.25">
      <c r="A1420" s="3">
        <v>5</v>
      </c>
      <c r="B1420" s="3">
        <v>1</v>
      </c>
    </row>
    <row r="1421" spans="1:2" x14ac:dyDescent="0.25">
      <c r="A1421" s="3">
        <v>-3</v>
      </c>
      <c r="B1421" s="3">
        <v>2</v>
      </c>
    </row>
    <row r="1422" spans="1:2" x14ac:dyDescent="0.25">
      <c r="A1422" s="3">
        <v>-1</v>
      </c>
      <c r="B1422" s="3">
        <v>4</v>
      </c>
    </row>
    <row r="1423" spans="1:2" x14ac:dyDescent="0.25">
      <c r="A1423" s="3">
        <v>-8</v>
      </c>
      <c r="B1423" s="3">
        <v>1</v>
      </c>
    </row>
    <row r="1424" spans="1:2" x14ac:dyDescent="0.25">
      <c r="A1424" s="3">
        <v>-1</v>
      </c>
      <c r="B1424" s="3">
        <v>3</v>
      </c>
    </row>
    <row r="1425" spans="1:2" x14ac:dyDescent="0.25">
      <c r="A1425" s="3">
        <v>1148</v>
      </c>
      <c r="B1425" s="3">
        <v>7</v>
      </c>
    </row>
    <row r="1426" spans="1:2" x14ac:dyDescent="0.25">
      <c r="A1426" s="3">
        <v>1</v>
      </c>
      <c r="B1426" s="3">
        <v>2</v>
      </c>
    </row>
    <row r="1427" spans="1:2" x14ac:dyDescent="0.25">
      <c r="A1427" s="3">
        <v>0</v>
      </c>
      <c r="B1427" s="3">
        <v>2</v>
      </c>
    </row>
    <row r="1428" spans="1:2" x14ac:dyDescent="0.25">
      <c r="A1428" s="3">
        <v>546</v>
      </c>
      <c r="B1428" s="3">
        <v>11</v>
      </c>
    </row>
    <row r="1429" spans="1:2" x14ac:dyDescent="0.25">
      <c r="A1429" s="3">
        <v>-2</v>
      </c>
      <c r="B1429" s="3">
        <v>1</v>
      </c>
    </row>
    <row r="1430" spans="1:2" x14ac:dyDescent="0.25">
      <c r="A1430" s="3">
        <v>3</v>
      </c>
      <c r="B1430" s="3">
        <v>1</v>
      </c>
    </row>
    <row r="1431" spans="1:2" x14ac:dyDescent="0.25">
      <c r="A1431" s="3">
        <v>5</v>
      </c>
      <c r="B1431" s="3">
        <v>1</v>
      </c>
    </row>
    <row r="1432" spans="1:2" x14ac:dyDescent="0.25">
      <c r="A1432" s="3">
        <v>-13</v>
      </c>
      <c r="B1432" s="3">
        <v>2</v>
      </c>
    </row>
    <row r="1433" spans="1:2" x14ac:dyDescent="0.25">
      <c r="A1433" s="3">
        <v>-9</v>
      </c>
      <c r="B1433" s="3">
        <v>2</v>
      </c>
    </row>
    <row r="1434" spans="1:2" x14ac:dyDescent="0.25">
      <c r="A1434" s="3">
        <v>-56</v>
      </c>
      <c r="B1434" s="3">
        <v>5</v>
      </c>
    </row>
    <row r="1435" spans="1:2" x14ac:dyDescent="0.25">
      <c r="A1435" s="3">
        <v>-153</v>
      </c>
      <c r="B1435" s="3">
        <v>3</v>
      </c>
    </row>
    <row r="1436" spans="1:2" x14ac:dyDescent="0.25">
      <c r="A1436" s="3">
        <v>7</v>
      </c>
      <c r="B1436" s="3">
        <v>3</v>
      </c>
    </row>
    <row r="1437" spans="1:2" x14ac:dyDescent="0.25">
      <c r="A1437" s="3">
        <v>2</v>
      </c>
      <c r="B1437" s="3">
        <v>2</v>
      </c>
    </row>
    <row r="1438" spans="1:2" x14ac:dyDescent="0.25">
      <c r="A1438" s="3">
        <v>-12</v>
      </c>
      <c r="B1438" s="3">
        <v>2</v>
      </c>
    </row>
    <row r="1439" spans="1:2" x14ac:dyDescent="0.25">
      <c r="A1439" s="3">
        <v>-11</v>
      </c>
      <c r="B1439" s="3">
        <v>3</v>
      </c>
    </row>
    <row r="1440" spans="1:2" x14ac:dyDescent="0.25">
      <c r="A1440" s="3">
        <v>-244</v>
      </c>
      <c r="B1440" s="3">
        <v>7</v>
      </c>
    </row>
    <row r="1441" spans="1:2" x14ac:dyDescent="0.25">
      <c r="A1441" s="3">
        <v>62</v>
      </c>
      <c r="B1441" s="3">
        <v>3</v>
      </c>
    </row>
    <row r="1442" spans="1:2" x14ac:dyDescent="0.25">
      <c r="A1442" s="3">
        <v>1</v>
      </c>
      <c r="B1442" s="3">
        <v>2</v>
      </c>
    </row>
    <row r="1443" spans="1:2" x14ac:dyDescent="0.25">
      <c r="A1443" s="3">
        <v>-4</v>
      </c>
      <c r="B1443" s="3">
        <v>2</v>
      </c>
    </row>
    <row r="1444" spans="1:2" x14ac:dyDescent="0.25">
      <c r="A1444" s="3">
        <v>318</v>
      </c>
      <c r="B1444" s="3">
        <v>8</v>
      </c>
    </row>
    <row r="1445" spans="1:2" x14ac:dyDescent="0.25">
      <c r="A1445" s="3">
        <v>567</v>
      </c>
      <c r="B1445" s="3">
        <v>5</v>
      </c>
    </row>
    <row r="1446" spans="1:2" x14ac:dyDescent="0.25">
      <c r="A1446" s="3">
        <v>109</v>
      </c>
      <c r="B1446" s="3">
        <v>11</v>
      </c>
    </row>
    <row r="1447" spans="1:2" x14ac:dyDescent="0.25">
      <c r="A1447" s="3">
        <v>742</v>
      </c>
      <c r="B1447" s="3">
        <v>4</v>
      </c>
    </row>
    <row r="1448" spans="1:2" x14ac:dyDescent="0.25">
      <c r="A1448" s="3">
        <v>111</v>
      </c>
      <c r="B1448" s="3">
        <v>6</v>
      </c>
    </row>
    <row r="1449" spans="1:2" x14ac:dyDescent="0.25">
      <c r="A1449" s="3">
        <v>-60</v>
      </c>
      <c r="B1449" s="3">
        <v>5</v>
      </c>
    </row>
    <row r="1450" spans="1:2" x14ac:dyDescent="0.25">
      <c r="A1450" s="3">
        <v>2</v>
      </c>
      <c r="B1450" s="3">
        <v>2</v>
      </c>
    </row>
    <row r="1451" spans="1:2" x14ac:dyDescent="0.25">
      <c r="A1451" s="3">
        <v>-2</v>
      </c>
      <c r="B1451" s="3">
        <v>2</v>
      </c>
    </row>
    <row r="1452" spans="1:2" x14ac:dyDescent="0.25">
      <c r="A1452" s="3">
        <v>-443</v>
      </c>
      <c r="B1452" s="3">
        <v>6</v>
      </c>
    </row>
    <row r="1453" spans="1:2" x14ac:dyDescent="0.25">
      <c r="A1453" s="3">
        <v>352</v>
      </c>
      <c r="B1453" s="3">
        <v>9</v>
      </c>
    </row>
    <row r="1454" spans="1:2" x14ac:dyDescent="0.25">
      <c r="A1454" s="3">
        <v>315</v>
      </c>
      <c r="B1454" s="3">
        <v>5</v>
      </c>
    </row>
    <row r="1455" spans="1:2" x14ac:dyDescent="0.25">
      <c r="A1455" s="3">
        <v>346</v>
      </c>
      <c r="B1455" s="3">
        <v>5</v>
      </c>
    </row>
    <row r="1456" spans="1:2" x14ac:dyDescent="0.25">
      <c r="A1456" s="3">
        <v>-420</v>
      </c>
      <c r="B1456" s="3">
        <v>8</v>
      </c>
    </row>
    <row r="1457" spans="1:2" x14ac:dyDescent="0.25">
      <c r="A1457" s="3">
        <v>441</v>
      </c>
      <c r="B1457" s="3">
        <v>8</v>
      </c>
    </row>
    <row r="1458" spans="1:2" x14ac:dyDescent="0.25">
      <c r="A1458" s="3">
        <v>5</v>
      </c>
      <c r="B1458" s="3">
        <v>1</v>
      </c>
    </row>
    <row r="1459" spans="1:2" x14ac:dyDescent="0.25">
      <c r="A1459" s="3">
        <v>552</v>
      </c>
      <c r="B1459" s="3">
        <v>5</v>
      </c>
    </row>
    <row r="1460" spans="1:2" x14ac:dyDescent="0.25">
      <c r="A1460" s="3">
        <v>-6</v>
      </c>
      <c r="B1460" s="3">
        <v>2</v>
      </c>
    </row>
    <row r="1461" spans="1:2" x14ac:dyDescent="0.25">
      <c r="A1461" s="3">
        <v>-12</v>
      </c>
      <c r="B1461" s="3">
        <v>2</v>
      </c>
    </row>
    <row r="1462" spans="1:2" x14ac:dyDescent="0.25">
      <c r="A1462" s="3">
        <v>3</v>
      </c>
      <c r="B1462" s="3">
        <v>1</v>
      </c>
    </row>
    <row r="1463" spans="1:2" x14ac:dyDescent="0.25">
      <c r="A1463" s="3">
        <v>421</v>
      </c>
      <c r="B1463" s="3">
        <v>3</v>
      </c>
    </row>
    <row r="1464" spans="1:2" x14ac:dyDescent="0.25">
      <c r="A1464" s="3">
        <v>568</v>
      </c>
      <c r="B1464" s="3">
        <v>2</v>
      </c>
    </row>
    <row r="1465" spans="1:2" x14ac:dyDescent="0.25">
      <c r="A1465" s="3">
        <v>-9</v>
      </c>
      <c r="B1465" s="3">
        <v>2</v>
      </c>
    </row>
    <row r="1466" spans="1:2" x14ac:dyDescent="0.25">
      <c r="A1466" s="3">
        <v>-7</v>
      </c>
      <c r="B1466" s="3">
        <v>1</v>
      </c>
    </row>
    <row r="1467" spans="1:2" x14ac:dyDescent="0.25">
      <c r="A1467" s="3">
        <v>5</v>
      </c>
      <c r="B1467" s="3">
        <v>1</v>
      </c>
    </row>
    <row r="1468" spans="1:2" x14ac:dyDescent="0.25">
      <c r="A1468" s="3">
        <v>7</v>
      </c>
      <c r="B1468" s="3">
        <v>2</v>
      </c>
    </row>
    <row r="1469" spans="1:2" x14ac:dyDescent="0.25">
      <c r="A1469" s="3">
        <v>-2</v>
      </c>
      <c r="B1469" s="3">
        <v>2</v>
      </c>
    </row>
    <row r="1470" spans="1:2" x14ac:dyDescent="0.25">
      <c r="A1470" s="3">
        <v>680</v>
      </c>
      <c r="B1470" s="3">
        <v>7</v>
      </c>
    </row>
    <row r="1471" spans="1:2" x14ac:dyDescent="0.25">
      <c r="A1471" s="3">
        <v>-1</v>
      </c>
      <c r="B1471" s="3">
        <v>2</v>
      </c>
    </row>
    <row r="1472" spans="1:2" x14ac:dyDescent="0.25">
      <c r="A1472" s="3">
        <v>-2</v>
      </c>
      <c r="B1472" s="3">
        <v>1</v>
      </c>
    </row>
    <row r="1473" spans="1:2" x14ac:dyDescent="0.25">
      <c r="A1473" s="3">
        <v>4</v>
      </c>
      <c r="B1473" s="3">
        <v>1</v>
      </c>
    </row>
    <row r="1474" spans="1:2" x14ac:dyDescent="0.25">
      <c r="A1474" s="3">
        <v>-6</v>
      </c>
      <c r="B1474" s="3">
        <v>1</v>
      </c>
    </row>
    <row r="1475" spans="1:2" x14ac:dyDescent="0.25">
      <c r="A1475" s="3">
        <v>2</v>
      </c>
      <c r="B1475" s="3">
        <v>2</v>
      </c>
    </row>
    <row r="1476" spans="1:2" x14ac:dyDescent="0.25">
      <c r="A1476" s="3">
        <v>309</v>
      </c>
      <c r="B1476" s="3">
        <v>7</v>
      </c>
    </row>
    <row r="1477" spans="1:2" x14ac:dyDescent="0.25">
      <c r="A1477" s="3">
        <v>447</v>
      </c>
      <c r="B1477" s="3">
        <v>10</v>
      </c>
    </row>
    <row r="1478" spans="1:2" x14ac:dyDescent="0.25">
      <c r="A1478" s="3">
        <v>-6</v>
      </c>
      <c r="B1478" s="3">
        <v>2</v>
      </c>
    </row>
    <row r="1479" spans="1:2" x14ac:dyDescent="0.25">
      <c r="A1479" s="3">
        <v>503</v>
      </c>
      <c r="B1479" s="3">
        <v>3</v>
      </c>
    </row>
    <row r="1480" spans="1:2" x14ac:dyDescent="0.25">
      <c r="A1480" s="3">
        <v>-4</v>
      </c>
      <c r="B1480" s="3">
        <v>3</v>
      </c>
    </row>
    <row r="1481" spans="1:2" x14ac:dyDescent="0.25">
      <c r="A1481" s="3">
        <v>-2</v>
      </c>
      <c r="B1481" s="3">
        <v>3</v>
      </c>
    </row>
    <row r="1482" spans="1:2" x14ac:dyDescent="0.25">
      <c r="A1482" s="3">
        <v>701</v>
      </c>
      <c r="B1482" s="3">
        <v>5</v>
      </c>
    </row>
    <row r="1483" spans="1:2" x14ac:dyDescent="0.25">
      <c r="A1483" s="3">
        <v>276</v>
      </c>
      <c r="B1483" s="3">
        <v>3</v>
      </c>
    </row>
    <row r="1484" spans="1:2" x14ac:dyDescent="0.25">
      <c r="A1484" s="3">
        <v>322</v>
      </c>
      <c r="B1484" s="3">
        <v>8</v>
      </c>
    </row>
    <row r="1485" spans="1:2" x14ac:dyDescent="0.25">
      <c r="A1485" s="3">
        <v>23</v>
      </c>
      <c r="B1485" s="3">
        <v>5</v>
      </c>
    </row>
    <row r="1486" spans="1:2" x14ac:dyDescent="0.25">
      <c r="A1486" s="3">
        <v>-289</v>
      </c>
      <c r="B1486" s="3">
        <v>5</v>
      </c>
    </row>
    <row r="1487" spans="1:2" x14ac:dyDescent="0.25">
      <c r="A1487" s="3">
        <v>64</v>
      </c>
      <c r="B1487" s="3">
        <v>7</v>
      </c>
    </row>
    <row r="1488" spans="1:2" x14ac:dyDescent="0.25">
      <c r="A1488" s="3">
        <v>-175</v>
      </c>
      <c r="B1488" s="3">
        <v>4</v>
      </c>
    </row>
    <row r="1489" spans="1:2" x14ac:dyDescent="0.25">
      <c r="A1489" s="3">
        <v>127</v>
      </c>
      <c r="B1489" s="3">
        <v>7</v>
      </c>
    </row>
    <row r="1490" spans="1:2" x14ac:dyDescent="0.25">
      <c r="A1490" s="3">
        <v>-1</v>
      </c>
      <c r="B1490" s="3">
        <v>2</v>
      </c>
    </row>
    <row r="1491" spans="1:2" x14ac:dyDescent="0.25">
      <c r="A1491" s="3">
        <v>191</v>
      </c>
      <c r="B1491" s="3">
        <v>7</v>
      </c>
    </row>
    <row r="1492" spans="1:2" x14ac:dyDescent="0.25">
      <c r="A1492" s="3">
        <v>665</v>
      </c>
      <c r="B1492" s="3">
        <v>11</v>
      </c>
    </row>
    <row r="1493" spans="1:2" x14ac:dyDescent="0.25">
      <c r="A1493" s="3">
        <v>-3</v>
      </c>
      <c r="B1493" s="3">
        <v>1</v>
      </c>
    </row>
    <row r="1494" spans="1:2" x14ac:dyDescent="0.25">
      <c r="A1494" s="3">
        <v>-1981</v>
      </c>
      <c r="B1494" s="3">
        <v>13</v>
      </c>
    </row>
    <row r="1495" spans="1:2" x14ac:dyDescent="0.25">
      <c r="A1495" s="3">
        <v>1</v>
      </c>
      <c r="B1495" s="3">
        <v>1</v>
      </c>
    </row>
    <row r="1496" spans="1:2" x14ac:dyDescent="0.25">
      <c r="A1496" s="3">
        <v>0</v>
      </c>
      <c r="B1496" s="3">
        <v>2</v>
      </c>
    </row>
    <row r="1497" spans="1:2" x14ac:dyDescent="0.25">
      <c r="A1497" s="3">
        <v>-3</v>
      </c>
      <c r="B1497" s="3">
        <v>2</v>
      </c>
    </row>
    <row r="1498" spans="1:2" x14ac:dyDescent="0.25">
      <c r="A1498" s="3">
        <v>-35</v>
      </c>
      <c r="B1498" s="3">
        <v>7</v>
      </c>
    </row>
    <row r="1499" spans="1:2" x14ac:dyDescent="0.25">
      <c r="A1499" s="3">
        <v>1698</v>
      </c>
      <c r="B1499" s="3">
        <v>13</v>
      </c>
    </row>
    <row r="1500" spans="1:2" x14ac:dyDescent="0.25">
      <c r="A1500" s="3">
        <v>-2</v>
      </c>
      <c r="B1500" s="3">
        <v>1</v>
      </c>
    </row>
    <row r="1501" spans="1:2" x14ac:dyDescent="0.25">
      <c r="A1501" s="3">
        <v>305</v>
      </c>
      <c r="B1501" s="3">
        <v>5</v>
      </c>
    </row>
  </sheetData>
  <mergeCells count="3">
    <mergeCell ref="D18:F18"/>
    <mergeCell ref="E19:H19"/>
    <mergeCell ref="D21:K2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BF39-0AA9-4BCE-9E41-007F97B2E421}">
  <dimension ref="B2:C13"/>
  <sheetViews>
    <sheetView workbookViewId="0">
      <selection activeCell="C17" sqref="C17"/>
    </sheetView>
  </sheetViews>
  <sheetFormatPr defaultRowHeight="15" x14ac:dyDescent="0.25"/>
  <cols>
    <col min="2" max="2" width="19.7109375" bestFit="1" customWidth="1"/>
    <col min="3" max="3" width="14.85546875" bestFit="1" customWidth="1"/>
  </cols>
  <sheetData>
    <row r="2" spans="2:3" x14ac:dyDescent="0.25">
      <c r="B2" s="10" t="s">
        <v>4</v>
      </c>
      <c r="C2" t="s">
        <v>933</v>
      </c>
    </row>
    <row r="3" spans="2:3" x14ac:dyDescent="0.25">
      <c r="B3" s="11" t="s">
        <v>54</v>
      </c>
      <c r="C3" s="20">
        <v>14543</v>
      </c>
    </row>
    <row r="4" spans="2:3" x14ac:dyDescent="0.25">
      <c r="B4" s="11" t="s">
        <v>72</v>
      </c>
      <c r="C4" s="20">
        <v>23783</v>
      </c>
    </row>
    <row r="5" spans="2:3" x14ac:dyDescent="0.25">
      <c r="B5" s="11" t="s">
        <v>69</v>
      </c>
      <c r="C5" s="20">
        <v>21142</v>
      </c>
    </row>
    <row r="6" spans="2:3" x14ac:dyDescent="0.25">
      <c r="B6" s="11" t="s">
        <v>11</v>
      </c>
      <c r="C6" s="20">
        <v>22957</v>
      </c>
    </row>
    <row r="7" spans="2:3" x14ac:dyDescent="0.25">
      <c r="B7" s="11" t="s">
        <v>21</v>
      </c>
      <c r="C7" s="22">
        <v>63680</v>
      </c>
    </row>
    <row r="8" spans="2:3" x14ac:dyDescent="0.25">
      <c r="B8" s="11" t="s">
        <v>141</v>
      </c>
      <c r="C8" s="20">
        <v>14328</v>
      </c>
    </row>
    <row r="9" spans="2:3" x14ac:dyDescent="0.25">
      <c r="B9" s="11" t="s">
        <v>8</v>
      </c>
      <c r="C9" s="20">
        <v>28747</v>
      </c>
    </row>
    <row r="10" spans="2:3" x14ac:dyDescent="0.25">
      <c r="B10" s="11" t="s">
        <v>17</v>
      </c>
      <c r="C10" s="21">
        <v>58886</v>
      </c>
    </row>
    <row r="11" spans="2:3" x14ac:dyDescent="0.25">
      <c r="B11" s="11" t="s">
        <v>27</v>
      </c>
      <c r="C11" s="21">
        <v>43612</v>
      </c>
    </row>
    <row r="12" spans="2:3" x14ac:dyDescent="0.25">
      <c r="B12" s="11" t="s">
        <v>76</v>
      </c>
      <c r="C12" s="20">
        <v>13871</v>
      </c>
    </row>
    <row r="13" spans="2:3" x14ac:dyDescent="0.25">
      <c r="B13" s="11" t="s">
        <v>924</v>
      </c>
      <c r="C13" s="12">
        <v>305549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C4262-9DF2-4725-83C9-FD7EFCE0D8C3}">
  <dimension ref="B2:I16"/>
  <sheetViews>
    <sheetView workbookViewId="0">
      <selection activeCell="I12" sqref="I12"/>
    </sheetView>
  </sheetViews>
  <sheetFormatPr defaultRowHeight="15" x14ac:dyDescent="0.25"/>
  <cols>
    <col min="2" max="2" width="16.5703125" bestFit="1" customWidth="1"/>
    <col min="3" max="3" width="7.28515625" bestFit="1" customWidth="1"/>
    <col min="4" max="4" width="11.28515625" bestFit="1" customWidth="1"/>
  </cols>
  <sheetData>
    <row r="2" spans="2:9" x14ac:dyDescent="0.25">
      <c r="B2" s="27" t="s">
        <v>925</v>
      </c>
      <c r="C2" s="27" t="s">
        <v>935</v>
      </c>
      <c r="D2" s="28"/>
    </row>
    <row r="3" spans="2:9" x14ac:dyDescent="0.25">
      <c r="B3" s="27" t="s">
        <v>934</v>
      </c>
      <c r="C3" s="28">
        <v>2018</v>
      </c>
      <c r="D3" s="28" t="s">
        <v>924</v>
      </c>
    </row>
    <row r="4" spans="2:9" x14ac:dyDescent="0.25">
      <c r="B4" s="24">
        <v>1</v>
      </c>
      <c r="C4" s="25">
        <v>61</v>
      </c>
      <c r="D4" s="25">
        <v>61</v>
      </c>
      <c r="F4" s="23" t="s">
        <v>938</v>
      </c>
      <c r="G4" s="23"/>
      <c r="H4" s="23"/>
      <c r="I4" s="9"/>
    </row>
    <row r="5" spans="2:9" x14ac:dyDescent="0.25">
      <c r="B5" s="24">
        <v>2</v>
      </c>
      <c r="C5" s="25">
        <v>54</v>
      </c>
      <c r="D5" s="25">
        <v>54</v>
      </c>
    </row>
    <row r="6" spans="2:9" x14ac:dyDescent="0.25">
      <c r="B6" s="24">
        <v>3</v>
      </c>
      <c r="C6" s="26">
        <v>58</v>
      </c>
      <c r="D6" s="26">
        <v>58</v>
      </c>
      <c r="F6" s="16" t="s">
        <v>939</v>
      </c>
      <c r="G6" s="16"/>
      <c r="H6" s="16"/>
      <c r="I6" s="16"/>
    </row>
    <row r="7" spans="2:9" x14ac:dyDescent="0.25">
      <c r="B7" s="24">
        <v>4</v>
      </c>
      <c r="C7" s="25">
        <v>44</v>
      </c>
      <c r="D7" s="25">
        <v>44</v>
      </c>
      <c r="F7" s="16" t="s">
        <v>940</v>
      </c>
      <c r="G7" s="16"/>
      <c r="H7" s="16"/>
      <c r="I7" s="16"/>
    </row>
    <row r="8" spans="2:9" x14ac:dyDescent="0.25">
      <c r="B8" s="24">
        <v>5</v>
      </c>
      <c r="C8" s="25">
        <v>31</v>
      </c>
      <c r="D8" s="25">
        <v>31</v>
      </c>
      <c r="F8" s="16" t="s">
        <v>941</v>
      </c>
      <c r="G8" s="16"/>
      <c r="H8" s="16"/>
      <c r="I8" s="16"/>
    </row>
    <row r="9" spans="2:9" x14ac:dyDescent="0.25">
      <c r="B9" s="24">
        <v>6</v>
      </c>
      <c r="C9" s="25">
        <v>30</v>
      </c>
      <c r="D9" s="25">
        <v>30</v>
      </c>
      <c r="F9" s="16" t="s">
        <v>937</v>
      </c>
      <c r="G9" s="16"/>
      <c r="H9" s="16"/>
    </row>
    <row r="10" spans="2:9" x14ac:dyDescent="0.25">
      <c r="B10" s="24">
        <v>7</v>
      </c>
      <c r="C10" s="25">
        <v>31</v>
      </c>
      <c r="D10" s="25">
        <v>31</v>
      </c>
    </row>
    <row r="11" spans="2:9" x14ac:dyDescent="0.25">
      <c r="B11" s="24">
        <v>8</v>
      </c>
      <c r="C11" s="25">
        <v>31</v>
      </c>
      <c r="D11" s="25">
        <v>31</v>
      </c>
    </row>
    <row r="12" spans="2:9" x14ac:dyDescent="0.25">
      <c r="B12" s="24">
        <v>9</v>
      </c>
      <c r="C12" s="25">
        <v>30</v>
      </c>
      <c r="D12" s="25">
        <v>30</v>
      </c>
      <c r="F12" s="16" t="s">
        <v>936</v>
      </c>
      <c r="G12" s="16"/>
      <c r="H12" s="16"/>
    </row>
    <row r="13" spans="2:9" x14ac:dyDescent="0.25">
      <c r="B13" s="24">
        <v>10</v>
      </c>
      <c r="C13" s="25">
        <v>43</v>
      </c>
      <c r="D13" s="25">
        <v>43</v>
      </c>
    </row>
    <row r="14" spans="2:9" x14ac:dyDescent="0.25">
      <c r="B14" s="24">
        <v>11</v>
      </c>
      <c r="C14" s="25">
        <v>46</v>
      </c>
      <c r="D14" s="25">
        <v>46</v>
      </c>
    </row>
    <row r="15" spans="2:9" x14ac:dyDescent="0.25">
      <c r="B15" s="24">
        <v>12</v>
      </c>
      <c r="C15" s="25">
        <v>41</v>
      </c>
      <c r="D15" s="25">
        <v>41</v>
      </c>
    </row>
    <row r="16" spans="2:9" x14ac:dyDescent="0.25">
      <c r="B16" s="24" t="s">
        <v>924</v>
      </c>
      <c r="C16" s="25">
        <v>500</v>
      </c>
      <c r="D16" s="25">
        <v>500</v>
      </c>
    </row>
  </sheetData>
  <mergeCells count="6">
    <mergeCell ref="F4:H4"/>
    <mergeCell ref="F9:H9"/>
    <mergeCell ref="F12:H12"/>
    <mergeCell ref="F6:I6"/>
    <mergeCell ref="F7:I7"/>
    <mergeCell ref="F8:I8"/>
  </mergeCells>
  <conditionalFormatting pivot="1" sqref="D4:D15">
    <cfRule type="top10" dxfId="16" priority="2" rank="1"/>
  </conditionalFormatting>
  <conditionalFormatting pivot="1" sqref="D4:D15">
    <cfRule type="top10" dxfId="15" priority="1" bottom="1" rank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712A-FCFE-406E-9543-5AFC9618ABA0}">
  <dimension ref="B2:C9"/>
  <sheetViews>
    <sheetView workbookViewId="0">
      <selection activeCell="I20" sqref="I20"/>
    </sheetView>
  </sheetViews>
  <sheetFormatPr defaultRowHeight="15" x14ac:dyDescent="0.25"/>
  <cols>
    <col min="2" max="2" width="16.28515625" bestFit="1" customWidth="1"/>
    <col min="3" max="3" width="16.5703125" bestFit="1" customWidth="1"/>
  </cols>
  <sheetData>
    <row r="2" spans="2:3" x14ac:dyDescent="0.25">
      <c r="B2" s="10" t="s">
        <v>887</v>
      </c>
      <c r="C2" t="s">
        <v>925</v>
      </c>
    </row>
    <row r="3" spans="2:3" x14ac:dyDescent="0.25">
      <c r="B3" s="11" t="s">
        <v>895</v>
      </c>
      <c r="C3" s="12">
        <v>79</v>
      </c>
    </row>
    <row r="4" spans="2:3" x14ac:dyDescent="0.25">
      <c r="B4" s="11" t="s">
        <v>890</v>
      </c>
      <c r="C4" s="12">
        <v>79</v>
      </c>
    </row>
    <row r="5" spans="2:3" x14ac:dyDescent="0.25">
      <c r="B5" s="11" t="s">
        <v>903</v>
      </c>
      <c r="C5" s="12">
        <v>197</v>
      </c>
    </row>
    <row r="6" spans="2:3" x14ac:dyDescent="0.25">
      <c r="B6" s="11" t="s">
        <v>898</v>
      </c>
      <c r="C6" s="12">
        <v>83</v>
      </c>
    </row>
    <row r="7" spans="2:3" x14ac:dyDescent="0.25">
      <c r="B7" s="11" t="s">
        <v>901</v>
      </c>
      <c r="C7" s="12">
        <v>211</v>
      </c>
    </row>
    <row r="8" spans="2:3" x14ac:dyDescent="0.25">
      <c r="B8" s="11" t="s">
        <v>907</v>
      </c>
      <c r="C8" s="12">
        <v>192</v>
      </c>
    </row>
    <row r="9" spans="2:3" x14ac:dyDescent="0.25">
      <c r="B9" s="11" t="s">
        <v>924</v>
      </c>
      <c r="C9" s="12">
        <v>841</v>
      </c>
    </row>
  </sheetData>
  <conditionalFormatting pivot="1" sqref="C3:C8">
    <cfRule type="top10" dxfId="5" priority="1" rank="1"/>
  </conditionalFormatting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8D3F-37D9-4C3F-8B5C-D9D76D86FB81}">
  <dimension ref="B2:M22"/>
  <sheetViews>
    <sheetView workbookViewId="0">
      <selection activeCell="I19" sqref="I19"/>
    </sheetView>
  </sheetViews>
  <sheetFormatPr defaultRowHeight="15" x14ac:dyDescent="0.25"/>
  <cols>
    <col min="2" max="2" width="18.85546875" bestFit="1" customWidth="1"/>
    <col min="3" max="3" width="16.140625" bestFit="1" customWidth="1"/>
  </cols>
  <sheetData>
    <row r="2" spans="2:3" x14ac:dyDescent="0.25">
      <c r="B2" s="10" t="s">
        <v>3</v>
      </c>
      <c r="C2" t="s">
        <v>942</v>
      </c>
    </row>
    <row r="3" spans="2:3" x14ac:dyDescent="0.25">
      <c r="B3" s="11" t="s">
        <v>32</v>
      </c>
      <c r="C3" s="12">
        <v>-6.666666666666667</v>
      </c>
    </row>
    <row r="4" spans="2:3" x14ac:dyDescent="0.25">
      <c r="B4" s="11" t="s">
        <v>57</v>
      </c>
      <c r="C4" s="12">
        <v>28.822580645161292</v>
      </c>
    </row>
    <row r="5" spans="2:3" x14ac:dyDescent="0.25">
      <c r="B5" s="11" t="s">
        <v>11</v>
      </c>
      <c r="C5" s="12">
        <v>25.763157894736842</v>
      </c>
    </row>
    <row r="6" spans="2:3" x14ac:dyDescent="0.25">
      <c r="B6" s="11" t="s">
        <v>193</v>
      </c>
      <c r="C6" s="12">
        <v>8.1395348837209305</v>
      </c>
    </row>
    <row r="7" spans="2:3" x14ac:dyDescent="0.25">
      <c r="B7" s="11" t="s">
        <v>40</v>
      </c>
      <c r="C7" s="12">
        <v>34.494252873563219</v>
      </c>
    </row>
    <row r="8" spans="2:3" x14ac:dyDescent="0.25">
      <c r="B8" s="11" t="s">
        <v>97</v>
      </c>
      <c r="C8" s="12">
        <v>50.96153846153846</v>
      </c>
    </row>
    <row r="9" spans="2:3" x14ac:dyDescent="0.25">
      <c r="B9" s="11" t="s">
        <v>61</v>
      </c>
      <c r="C9" s="12">
        <v>57.310344827586206</v>
      </c>
    </row>
    <row r="10" spans="2:3" x14ac:dyDescent="0.25">
      <c r="B10" s="11" t="s">
        <v>156</v>
      </c>
      <c r="C10" s="12">
        <v>4.2448979591836737</v>
      </c>
    </row>
    <row r="11" spans="2:3" x14ac:dyDescent="0.25">
      <c r="B11" s="11" t="s">
        <v>104</v>
      </c>
      <c r="C11" s="12">
        <v>8.98</v>
      </c>
    </row>
    <row r="12" spans="2:3" x14ac:dyDescent="0.25">
      <c r="B12" s="11" t="s">
        <v>75</v>
      </c>
      <c r="C12" s="12">
        <v>54.111111111111114</v>
      </c>
    </row>
    <row r="13" spans="2:3" x14ac:dyDescent="0.25">
      <c r="B13" s="11" t="s">
        <v>20</v>
      </c>
      <c r="C13" s="12">
        <v>23.509554140127388</v>
      </c>
    </row>
    <row r="14" spans="2:3" x14ac:dyDescent="0.25">
      <c r="B14" s="11" t="s">
        <v>16</v>
      </c>
      <c r="C14" s="12">
        <v>23.287625418060202</v>
      </c>
    </row>
    <row r="15" spans="2:3" x14ac:dyDescent="0.25">
      <c r="B15" s="11" t="s">
        <v>81</v>
      </c>
      <c r="C15" s="12">
        <v>0.88888888888888884</v>
      </c>
    </row>
    <row r="16" spans="2:3" x14ac:dyDescent="0.25">
      <c r="B16" s="11" t="s">
        <v>68</v>
      </c>
      <c r="C16" s="12">
        <v>26.183333333333334</v>
      </c>
    </row>
    <row r="17" spans="2:13" x14ac:dyDescent="0.25">
      <c r="B17" s="11" t="s">
        <v>100</v>
      </c>
      <c r="C17" s="12">
        <v>-4.3648648648648649</v>
      </c>
    </row>
    <row r="18" spans="2:13" x14ac:dyDescent="0.25">
      <c r="B18" s="11" t="s">
        <v>304</v>
      </c>
      <c r="C18" s="12">
        <v>16.708333333333332</v>
      </c>
    </row>
    <row r="19" spans="2:13" x14ac:dyDescent="0.25">
      <c r="B19" s="11" t="s">
        <v>130</v>
      </c>
      <c r="C19" s="12">
        <v>104.08</v>
      </c>
      <c r="E19" s="29" t="s">
        <v>943</v>
      </c>
      <c r="F19" s="29"/>
      <c r="G19" s="29"/>
      <c r="H19" s="29"/>
    </row>
    <row r="20" spans="2:13" x14ac:dyDescent="0.25">
      <c r="B20" s="11" t="s">
        <v>7</v>
      </c>
      <c r="C20" s="12">
        <v>38.597701149425291</v>
      </c>
    </row>
    <row r="21" spans="2:13" x14ac:dyDescent="0.25">
      <c r="B21" s="11" t="s">
        <v>140</v>
      </c>
      <c r="C21" s="12">
        <v>32.920634920634917</v>
      </c>
      <c r="E21" s="23" t="s">
        <v>944</v>
      </c>
      <c r="F21" s="23"/>
      <c r="G21" s="23"/>
      <c r="H21" s="23"/>
      <c r="I21" s="30"/>
      <c r="J21" s="30"/>
      <c r="K21" s="30"/>
      <c r="L21" s="30"/>
      <c r="M21" s="30"/>
    </row>
    <row r="22" spans="2:13" x14ac:dyDescent="0.25">
      <c r="B22" s="11" t="s">
        <v>924</v>
      </c>
      <c r="C22" s="12">
        <v>24.641999999999999</v>
      </c>
    </row>
  </sheetData>
  <mergeCells count="2">
    <mergeCell ref="E19:H19"/>
    <mergeCell ref="E21:H21"/>
  </mergeCells>
  <conditionalFormatting pivot="1" sqref="C3:C21">
    <cfRule type="top10" dxfId="1" priority="1" bottom="1" rank="5"/>
  </conditionalFormatting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8B5FA-B7F8-4D90-AFE4-0B9383F3C406}">
  <dimension ref="A1:G1501"/>
  <sheetViews>
    <sheetView workbookViewId="0">
      <selection activeCell="I3" sqref="I3"/>
    </sheetView>
  </sheetViews>
  <sheetFormatPr defaultRowHeight="15" x14ac:dyDescent="0.25"/>
  <sheetData>
    <row r="1" spans="1:7" x14ac:dyDescent="0.25">
      <c r="A1" s="2" t="s">
        <v>883</v>
      </c>
      <c r="B1" s="2" t="s">
        <v>885</v>
      </c>
    </row>
    <row r="2" spans="1:7" x14ac:dyDescent="0.25">
      <c r="A2" s="5">
        <v>1096</v>
      </c>
      <c r="B2" s="5">
        <v>7</v>
      </c>
      <c r="C2" s="31"/>
      <c r="D2" s="32" t="s">
        <v>945</v>
      </c>
      <c r="E2" s="32"/>
      <c r="F2" s="32"/>
      <c r="G2" s="33">
        <f>CORREL(A1:A1501,B1:B1501)</f>
        <v>0.35248610981815992</v>
      </c>
    </row>
    <row r="3" spans="1:7" x14ac:dyDescent="0.25">
      <c r="A3" s="5">
        <v>5729</v>
      </c>
      <c r="B3" s="5">
        <v>14</v>
      </c>
    </row>
    <row r="4" spans="1:7" x14ac:dyDescent="0.25">
      <c r="A4" s="5">
        <v>2927</v>
      </c>
      <c r="B4" s="5">
        <v>8</v>
      </c>
      <c r="D4" s="34" t="s">
        <v>946</v>
      </c>
      <c r="E4" s="34"/>
      <c r="F4" s="34"/>
      <c r="G4" s="34"/>
    </row>
    <row r="5" spans="1:7" x14ac:dyDescent="0.25">
      <c r="A5" s="5">
        <v>2847</v>
      </c>
      <c r="B5" s="5">
        <v>8</v>
      </c>
    </row>
    <row r="6" spans="1:7" x14ac:dyDescent="0.25">
      <c r="A6" s="5">
        <v>2617</v>
      </c>
      <c r="B6" s="5">
        <v>4</v>
      </c>
    </row>
    <row r="7" spans="1:7" x14ac:dyDescent="0.25">
      <c r="A7" s="5">
        <v>2244</v>
      </c>
      <c r="B7" s="5">
        <v>4</v>
      </c>
    </row>
    <row r="8" spans="1:7" x14ac:dyDescent="0.25">
      <c r="A8" s="5">
        <v>275</v>
      </c>
      <c r="B8" s="5">
        <v>4</v>
      </c>
    </row>
    <row r="9" spans="1:7" x14ac:dyDescent="0.25">
      <c r="A9" s="5">
        <v>387</v>
      </c>
      <c r="B9" s="5">
        <v>5</v>
      </c>
    </row>
    <row r="10" spans="1:7" x14ac:dyDescent="0.25">
      <c r="A10" s="5">
        <v>50</v>
      </c>
      <c r="B10" s="5">
        <v>2</v>
      </c>
    </row>
    <row r="11" spans="1:7" x14ac:dyDescent="0.25">
      <c r="A11" s="5">
        <v>135</v>
      </c>
      <c r="B11" s="5">
        <v>5</v>
      </c>
    </row>
    <row r="12" spans="1:7" x14ac:dyDescent="0.25">
      <c r="A12" s="5">
        <v>231</v>
      </c>
      <c r="B12" s="5">
        <v>9</v>
      </c>
    </row>
    <row r="13" spans="1:7" x14ac:dyDescent="0.25">
      <c r="A13" s="5">
        <v>2125</v>
      </c>
      <c r="B13" s="5">
        <v>6</v>
      </c>
    </row>
    <row r="14" spans="1:7" x14ac:dyDescent="0.25">
      <c r="A14" s="5">
        <v>3873</v>
      </c>
      <c r="B14" s="5">
        <v>6</v>
      </c>
    </row>
    <row r="15" spans="1:7" x14ac:dyDescent="0.25">
      <c r="A15" s="5">
        <v>729</v>
      </c>
      <c r="B15" s="5">
        <v>5</v>
      </c>
    </row>
    <row r="16" spans="1:7" x14ac:dyDescent="0.25">
      <c r="A16" s="5">
        <v>2188</v>
      </c>
      <c r="B16" s="5">
        <v>5</v>
      </c>
    </row>
    <row r="17" spans="1:2" x14ac:dyDescent="0.25">
      <c r="A17" s="5">
        <v>6</v>
      </c>
      <c r="B17" s="5">
        <v>1</v>
      </c>
    </row>
    <row r="18" spans="1:2" x14ac:dyDescent="0.25">
      <c r="A18" s="5">
        <v>1854</v>
      </c>
      <c r="B18" s="5">
        <v>5</v>
      </c>
    </row>
    <row r="19" spans="1:2" x14ac:dyDescent="0.25">
      <c r="A19" s="5">
        <v>6</v>
      </c>
      <c r="B19" s="5">
        <v>1</v>
      </c>
    </row>
    <row r="20" spans="1:2" x14ac:dyDescent="0.25">
      <c r="A20" s="5">
        <v>2093</v>
      </c>
      <c r="B20" s="5">
        <v>5</v>
      </c>
    </row>
    <row r="21" spans="1:2" x14ac:dyDescent="0.25">
      <c r="A21" s="5">
        <v>7</v>
      </c>
      <c r="B21" s="5">
        <v>2</v>
      </c>
    </row>
    <row r="22" spans="1:2" x14ac:dyDescent="0.25">
      <c r="A22" s="5">
        <v>1622</v>
      </c>
      <c r="B22" s="5">
        <v>5</v>
      </c>
    </row>
    <row r="23" spans="1:2" x14ac:dyDescent="0.25">
      <c r="A23" s="5">
        <v>1622</v>
      </c>
      <c r="B23" s="5">
        <v>5</v>
      </c>
    </row>
    <row r="24" spans="1:2" x14ac:dyDescent="0.25">
      <c r="A24" s="5">
        <v>373</v>
      </c>
      <c r="B24" s="5">
        <v>6</v>
      </c>
    </row>
    <row r="25" spans="1:2" x14ac:dyDescent="0.25">
      <c r="A25" s="5">
        <v>82</v>
      </c>
      <c r="B25" s="5">
        <v>4</v>
      </c>
    </row>
    <row r="26" spans="1:2" x14ac:dyDescent="0.25">
      <c r="A26" s="5">
        <v>8</v>
      </c>
      <c r="B26" s="5">
        <v>2</v>
      </c>
    </row>
    <row r="27" spans="1:2" x14ac:dyDescent="0.25">
      <c r="A27" s="5">
        <v>1954</v>
      </c>
      <c r="B27" s="5">
        <v>3</v>
      </c>
    </row>
    <row r="28" spans="1:2" x14ac:dyDescent="0.25">
      <c r="A28" s="5">
        <v>1543</v>
      </c>
      <c r="B28" s="5">
        <v>8</v>
      </c>
    </row>
    <row r="29" spans="1:2" x14ac:dyDescent="0.25">
      <c r="A29" s="5">
        <v>1506</v>
      </c>
      <c r="B29" s="5">
        <v>6</v>
      </c>
    </row>
    <row r="30" spans="1:2" x14ac:dyDescent="0.25">
      <c r="A30" s="5">
        <v>1829</v>
      </c>
      <c r="B30" s="5">
        <v>6</v>
      </c>
    </row>
    <row r="31" spans="1:2" x14ac:dyDescent="0.25">
      <c r="A31" s="5">
        <v>9</v>
      </c>
      <c r="B31" s="5">
        <v>3</v>
      </c>
    </row>
    <row r="32" spans="1:2" x14ac:dyDescent="0.25">
      <c r="A32" s="5">
        <v>1461</v>
      </c>
      <c r="B32" s="5">
        <v>5</v>
      </c>
    </row>
    <row r="33" spans="1:2" x14ac:dyDescent="0.25">
      <c r="A33" s="5">
        <v>391</v>
      </c>
      <c r="B33" s="5">
        <v>8</v>
      </c>
    </row>
    <row r="34" spans="1:2" x14ac:dyDescent="0.25">
      <c r="A34" s="5">
        <v>1824</v>
      </c>
      <c r="B34" s="5">
        <v>8</v>
      </c>
    </row>
    <row r="35" spans="1:2" x14ac:dyDescent="0.25">
      <c r="A35" s="5">
        <v>16</v>
      </c>
      <c r="B35" s="5">
        <v>4</v>
      </c>
    </row>
    <row r="36" spans="1:2" x14ac:dyDescent="0.25">
      <c r="A36" s="5">
        <v>1745</v>
      </c>
      <c r="B36" s="5">
        <v>2</v>
      </c>
    </row>
    <row r="37" spans="1:2" x14ac:dyDescent="0.25">
      <c r="A37" s="5">
        <v>663</v>
      </c>
      <c r="B37" s="5">
        <v>5</v>
      </c>
    </row>
    <row r="38" spans="1:2" x14ac:dyDescent="0.25">
      <c r="A38" s="5">
        <v>10</v>
      </c>
      <c r="B38" s="5">
        <v>1</v>
      </c>
    </row>
    <row r="39" spans="1:2" x14ac:dyDescent="0.25">
      <c r="A39" s="5">
        <v>1630</v>
      </c>
      <c r="B39" s="5">
        <v>5</v>
      </c>
    </row>
    <row r="40" spans="1:2" x14ac:dyDescent="0.25">
      <c r="A40" s="5">
        <v>12</v>
      </c>
      <c r="B40" s="5">
        <v>2</v>
      </c>
    </row>
    <row r="41" spans="1:2" x14ac:dyDescent="0.25">
      <c r="A41" s="5">
        <v>12</v>
      </c>
      <c r="B41" s="5">
        <v>2</v>
      </c>
    </row>
    <row r="42" spans="1:2" x14ac:dyDescent="0.25">
      <c r="A42" s="5">
        <v>1709</v>
      </c>
      <c r="B42" s="5">
        <v>3</v>
      </c>
    </row>
    <row r="43" spans="1:2" x14ac:dyDescent="0.25">
      <c r="A43" s="5">
        <v>12</v>
      </c>
      <c r="B43" s="5">
        <v>1</v>
      </c>
    </row>
    <row r="44" spans="1:2" x14ac:dyDescent="0.25">
      <c r="A44" s="5">
        <v>1625</v>
      </c>
      <c r="B44" s="5">
        <v>3</v>
      </c>
    </row>
    <row r="45" spans="1:2" x14ac:dyDescent="0.25">
      <c r="A45" s="5">
        <v>13</v>
      </c>
      <c r="B45" s="5">
        <v>2</v>
      </c>
    </row>
    <row r="46" spans="1:2" x14ac:dyDescent="0.25">
      <c r="A46" s="5">
        <v>1361</v>
      </c>
      <c r="B46" s="5">
        <v>3</v>
      </c>
    </row>
    <row r="47" spans="1:2" x14ac:dyDescent="0.25">
      <c r="A47" s="5">
        <v>1622</v>
      </c>
      <c r="B47" s="5">
        <v>3</v>
      </c>
    </row>
    <row r="48" spans="1:2" x14ac:dyDescent="0.25">
      <c r="A48" s="5">
        <v>1547</v>
      </c>
      <c r="B48" s="5">
        <v>6</v>
      </c>
    </row>
    <row r="49" spans="1:2" x14ac:dyDescent="0.25">
      <c r="A49" s="5">
        <v>1657</v>
      </c>
      <c r="B49" s="5">
        <v>4</v>
      </c>
    </row>
    <row r="50" spans="1:2" x14ac:dyDescent="0.25">
      <c r="A50" s="5">
        <v>1603</v>
      </c>
      <c r="B50" s="5">
        <v>9</v>
      </c>
    </row>
    <row r="51" spans="1:2" x14ac:dyDescent="0.25">
      <c r="A51" s="5">
        <v>1549</v>
      </c>
      <c r="B51" s="5">
        <v>4</v>
      </c>
    </row>
    <row r="52" spans="1:2" x14ac:dyDescent="0.25">
      <c r="A52" s="5">
        <v>1183</v>
      </c>
      <c r="B52" s="5">
        <v>4</v>
      </c>
    </row>
    <row r="53" spans="1:2" x14ac:dyDescent="0.25">
      <c r="A53" s="5">
        <v>74</v>
      </c>
      <c r="B53" s="5">
        <v>8</v>
      </c>
    </row>
    <row r="54" spans="1:2" x14ac:dyDescent="0.25">
      <c r="A54" s="5">
        <v>1499</v>
      </c>
      <c r="B54" s="5">
        <v>13</v>
      </c>
    </row>
    <row r="55" spans="1:2" x14ac:dyDescent="0.25">
      <c r="A55" s="5">
        <v>1120</v>
      </c>
      <c r="B55" s="5">
        <v>6</v>
      </c>
    </row>
    <row r="56" spans="1:2" x14ac:dyDescent="0.25">
      <c r="A56" s="5">
        <v>15</v>
      </c>
      <c r="B56" s="5">
        <v>1</v>
      </c>
    </row>
    <row r="57" spans="1:2" x14ac:dyDescent="0.25">
      <c r="A57" s="5">
        <v>1487</v>
      </c>
      <c r="B57" s="5">
        <v>3</v>
      </c>
    </row>
    <row r="58" spans="1:2" x14ac:dyDescent="0.25">
      <c r="A58" s="5">
        <v>1118</v>
      </c>
      <c r="B58" s="5">
        <v>2</v>
      </c>
    </row>
    <row r="59" spans="1:2" x14ac:dyDescent="0.25">
      <c r="A59" s="5">
        <v>11</v>
      </c>
      <c r="B59" s="5">
        <v>2</v>
      </c>
    </row>
    <row r="60" spans="1:2" x14ac:dyDescent="0.25">
      <c r="A60" s="5">
        <v>15</v>
      </c>
      <c r="B60" s="5">
        <v>1</v>
      </c>
    </row>
    <row r="61" spans="1:2" x14ac:dyDescent="0.25">
      <c r="A61" s="5">
        <v>1364</v>
      </c>
      <c r="B61" s="5">
        <v>5</v>
      </c>
    </row>
    <row r="62" spans="1:2" x14ac:dyDescent="0.25">
      <c r="A62" s="5">
        <v>1337</v>
      </c>
      <c r="B62" s="5">
        <v>7</v>
      </c>
    </row>
    <row r="63" spans="1:2" x14ac:dyDescent="0.25">
      <c r="A63" s="5">
        <v>15</v>
      </c>
      <c r="B63" s="5">
        <v>1</v>
      </c>
    </row>
    <row r="64" spans="1:2" x14ac:dyDescent="0.25">
      <c r="A64" s="5">
        <v>322</v>
      </c>
      <c r="B64" s="5">
        <v>5</v>
      </c>
    </row>
    <row r="65" spans="1:2" x14ac:dyDescent="0.25">
      <c r="A65" s="5">
        <v>1316</v>
      </c>
      <c r="B65" s="5">
        <v>7</v>
      </c>
    </row>
    <row r="66" spans="1:2" x14ac:dyDescent="0.25">
      <c r="A66" s="5">
        <v>1314</v>
      </c>
      <c r="B66" s="5">
        <v>3</v>
      </c>
    </row>
    <row r="67" spans="1:2" x14ac:dyDescent="0.25">
      <c r="A67" s="5">
        <v>17</v>
      </c>
      <c r="B67" s="5">
        <v>3</v>
      </c>
    </row>
    <row r="68" spans="1:2" x14ac:dyDescent="0.25">
      <c r="A68" s="5">
        <v>17</v>
      </c>
      <c r="B68" s="5">
        <v>2</v>
      </c>
    </row>
    <row r="69" spans="1:2" x14ac:dyDescent="0.25">
      <c r="A69" s="5">
        <v>17</v>
      </c>
      <c r="B69" s="5">
        <v>5</v>
      </c>
    </row>
    <row r="70" spans="1:2" x14ac:dyDescent="0.25">
      <c r="A70" s="5">
        <v>1308</v>
      </c>
      <c r="B70" s="5">
        <v>3</v>
      </c>
    </row>
    <row r="71" spans="1:2" x14ac:dyDescent="0.25">
      <c r="A71" s="5">
        <v>1076</v>
      </c>
      <c r="B71" s="5">
        <v>4</v>
      </c>
    </row>
    <row r="72" spans="1:2" x14ac:dyDescent="0.25">
      <c r="A72" s="5">
        <v>1301</v>
      </c>
      <c r="B72" s="5">
        <v>5</v>
      </c>
    </row>
    <row r="73" spans="1:2" x14ac:dyDescent="0.25">
      <c r="A73" s="5">
        <v>1300</v>
      </c>
      <c r="B73" s="5">
        <v>8</v>
      </c>
    </row>
    <row r="74" spans="1:2" x14ac:dyDescent="0.25">
      <c r="A74" s="5">
        <v>11</v>
      </c>
      <c r="B74" s="5">
        <v>4</v>
      </c>
    </row>
    <row r="75" spans="1:2" x14ac:dyDescent="0.25">
      <c r="A75" s="5">
        <v>1298</v>
      </c>
      <c r="B75" s="5">
        <v>9</v>
      </c>
    </row>
    <row r="76" spans="1:2" x14ac:dyDescent="0.25">
      <c r="A76" s="5">
        <v>304</v>
      </c>
      <c r="B76" s="5">
        <v>6</v>
      </c>
    </row>
    <row r="77" spans="1:2" x14ac:dyDescent="0.25">
      <c r="A77" s="5">
        <v>1055</v>
      </c>
      <c r="B77" s="5">
        <v>4</v>
      </c>
    </row>
    <row r="78" spans="1:2" x14ac:dyDescent="0.25">
      <c r="A78" s="5">
        <v>17</v>
      </c>
      <c r="B78" s="5">
        <v>4</v>
      </c>
    </row>
    <row r="79" spans="1:2" x14ac:dyDescent="0.25">
      <c r="A79" s="5">
        <v>147</v>
      </c>
      <c r="B79" s="5">
        <v>3</v>
      </c>
    </row>
    <row r="80" spans="1:2" x14ac:dyDescent="0.25">
      <c r="A80" s="5">
        <v>965</v>
      </c>
      <c r="B80" s="5">
        <v>3</v>
      </c>
    </row>
    <row r="81" spans="1:2" x14ac:dyDescent="0.25">
      <c r="A81" s="5">
        <v>12</v>
      </c>
      <c r="B81" s="5">
        <v>3</v>
      </c>
    </row>
    <row r="82" spans="1:2" x14ac:dyDescent="0.25">
      <c r="A82" s="5">
        <v>14</v>
      </c>
      <c r="B82" s="5">
        <v>3</v>
      </c>
    </row>
    <row r="83" spans="1:2" x14ac:dyDescent="0.25">
      <c r="A83" s="5">
        <v>934</v>
      </c>
      <c r="B83" s="5">
        <v>7</v>
      </c>
    </row>
    <row r="84" spans="1:2" x14ac:dyDescent="0.25">
      <c r="A84" s="5">
        <v>929</v>
      </c>
      <c r="B84" s="5">
        <v>9</v>
      </c>
    </row>
    <row r="85" spans="1:2" x14ac:dyDescent="0.25">
      <c r="A85" s="5">
        <v>18</v>
      </c>
      <c r="B85" s="5">
        <v>2</v>
      </c>
    </row>
    <row r="86" spans="1:2" x14ac:dyDescent="0.25">
      <c r="A86" s="5">
        <v>916</v>
      </c>
      <c r="B86" s="5">
        <v>11</v>
      </c>
    </row>
    <row r="87" spans="1:2" x14ac:dyDescent="0.25">
      <c r="A87" s="5">
        <v>76</v>
      </c>
      <c r="B87" s="5">
        <v>9</v>
      </c>
    </row>
    <row r="88" spans="1:2" x14ac:dyDescent="0.25">
      <c r="A88" s="5">
        <v>869</v>
      </c>
      <c r="B88" s="5">
        <v>4</v>
      </c>
    </row>
    <row r="89" spans="1:2" x14ac:dyDescent="0.25">
      <c r="A89" s="5">
        <v>112</v>
      </c>
      <c r="B89" s="5">
        <v>3</v>
      </c>
    </row>
    <row r="90" spans="1:2" x14ac:dyDescent="0.25">
      <c r="A90" s="5">
        <v>39</v>
      </c>
      <c r="B90" s="5">
        <v>6</v>
      </c>
    </row>
    <row r="91" spans="1:2" x14ac:dyDescent="0.25">
      <c r="A91" s="5">
        <v>857</v>
      </c>
      <c r="B91" s="5">
        <v>2</v>
      </c>
    </row>
    <row r="92" spans="1:2" x14ac:dyDescent="0.25">
      <c r="A92" s="5">
        <v>828</v>
      </c>
      <c r="B92" s="5">
        <v>2</v>
      </c>
    </row>
    <row r="93" spans="1:2" x14ac:dyDescent="0.25">
      <c r="A93" s="5">
        <v>1279</v>
      </c>
      <c r="B93" s="5">
        <v>8</v>
      </c>
    </row>
    <row r="94" spans="1:2" x14ac:dyDescent="0.25">
      <c r="A94" s="5">
        <v>1250</v>
      </c>
      <c r="B94" s="5">
        <v>7</v>
      </c>
    </row>
    <row r="95" spans="1:2" x14ac:dyDescent="0.25">
      <c r="A95" s="5">
        <v>823</v>
      </c>
      <c r="B95" s="5">
        <v>7</v>
      </c>
    </row>
    <row r="96" spans="1:2" x14ac:dyDescent="0.25">
      <c r="A96" s="5">
        <v>1157</v>
      </c>
      <c r="B96" s="5">
        <v>9</v>
      </c>
    </row>
    <row r="97" spans="1:2" x14ac:dyDescent="0.25">
      <c r="A97" s="5">
        <v>126</v>
      </c>
      <c r="B97" s="5">
        <v>3</v>
      </c>
    </row>
    <row r="98" spans="1:2" x14ac:dyDescent="0.25">
      <c r="A98" s="5">
        <v>1145</v>
      </c>
      <c r="B98" s="5">
        <v>3</v>
      </c>
    </row>
    <row r="99" spans="1:2" x14ac:dyDescent="0.25">
      <c r="A99" s="5">
        <v>774</v>
      </c>
      <c r="B99" s="5">
        <v>3</v>
      </c>
    </row>
    <row r="100" spans="1:2" x14ac:dyDescent="0.25">
      <c r="A100" s="5">
        <v>24</v>
      </c>
      <c r="B100" s="5">
        <v>2</v>
      </c>
    </row>
    <row r="101" spans="1:2" x14ac:dyDescent="0.25">
      <c r="A101" s="5">
        <v>774</v>
      </c>
      <c r="B101" s="5">
        <v>3</v>
      </c>
    </row>
    <row r="102" spans="1:2" x14ac:dyDescent="0.25">
      <c r="A102" s="5">
        <v>93</v>
      </c>
      <c r="B102" s="5">
        <v>2</v>
      </c>
    </row>
    <row r="103" spans="1:2" x14ac:dyDescent="0.25">
      <c r="A103" s="5">
        <v>765</v>
      </c>
      <c r="B103" s="5">
        <v>3</v>
      </c>
    </row>
    <row r="104" spans="1:2" x14ac:dyDescent="0.25">
      <c r="A104" s="5">
        <v>762</v>
      </c>
      <c r="B104" s="5">
        <v>6</v>
      </c>
    </row>
    <row r="105" spans="1:2" x14ac:dyDescent="0.25">
      <c r="A105" s="5">
        <v>761</v>
      </c>
      <c r="B105" s="5">
        <v>9</v>
      </c>
    </row>
    <row r="106" spans="1:2" x14ac:dyDescent="0.25">
      <c r="A106" s="5">
        <v>96</v>
      </c>
      <c r="B106" s="5">
        <v>5</v>
      </c>
    </row>
    <row r="107" spans="1:2" x14ac:dyDescent="0.25">
      <c r="A107" s="5">
        <v>1137</v>
      </c>
      <c r="B107" s="5">
        <v>7</v>
      </c>
    </row>
    <row r="108" spans="1:2" x14ac:dyDescent="0.25">
      <c r="A108" s="5">
        <v>18</v>
      </c>
      <c r="B108" s="5">
        <v>2</v>
      </c>
    </row>
    <row r="109" spans="1:2" x14ac:dyDescent="0.25">
      <c r="A109" s="5">
        <v>749</v>
      </c>
      <c r="B109" s="5">
        <v>7</v>
      </c>
    </row>
    <row r="110" spans="1:2" x14ac:dyDescent="0.25">
      <c r="A110" s="5">
        <v>1120</v>
      </c>
      <c r="B110" s="5">
        <v>6</v>
      </c>
    </row>
    <row r="111" spans="1:2" x14ac:dyDescent="0.25">
      <c r="A111" s="5">
        <v>744</v>
      </c>
      <c r="B111" s="5">
        <v>6</v>
      </c>
    </row>
    <row r="112" spans="1:2" x14ac:dyDescent="0.25">
      <c r="A112" s="5">
        <v>14</v>
      </c>
      <c r="B112" s="5">
        <v>4</v>
      </c>
    </row>
    <row r="113" spans="1:2" x14ac:dyDescent="0.25">
      <c r="A113" s="5">
        <v>19</v>
      </c>
      <c r="B113" s="5">
        <v>2</v>
      </c>
    </row>
    <row r="114" spans="1:2" x14ac:dyDescent="0.25">
      <c r="A114" s="5">
        <v>512</v>
      </c>
      <c r="B114" s="5">
        <v>5</v>
      </c>
    </row>
    <row r="115" spans="1:2" x14ac:dyDescent="0.25">
      <c r="A115" s="5">
        <v>742</v>
      </c>
      <c r="B115" s="5">
        <v>2</v>
      </c>
    </row>
    <row r="116" spans="1:2" x14ac:dyDescent="0.25">
      <c r="A116" s="5">
        <v>44</v>
      </c>
      <c r="B116" s="5">
        <v>3</v>
      </c>
    </row>
    <row r="117" spans="1:2" x14ac:dyDescent="0.25">
      <c r="A117" s="5">
        <v>1061</v>
      </c>
      <c r="B117" s="5">
        <v>8</v>
      </c>
    </row>
    <row r="118" spans="1:2" x14ac:dyDescent="0.25">
      <c r="A118" s="5">
        <v>19</v>
      </c>
      <c r="B118" s="5">
        <v>2</v>
      </c>
    </row>
    <row r="119" spans="1:2" x14ac:dyDescent="0.25">
      <c r="A119" s="5">
        <v>17</v>
      </c>
      <c r="B119" s="5">
        <v>1</v>
      </c>
    </row>
    <row r="120" spans="1:2" x14ac:dyDescent="0.25">
      <c r="A120" s="5">
        <v>741</v>
      </c>
      <c r="B120" s="5">
        <v>5</v>
      </c>
    </row>
    <row r="121" spans="1:2" x14ac:dyDescent="0.25">
      <c r="A121" s="5">
        <v>735</v>
      </c>
      <c r="B121" s="5">
        <v>6</v>
      </c>
    </row>
    <row r="122" spans="1:2" x14ac:dyDescent="0.25">
      <c r="A122" s="5">
        <v>19</v>
      </c>
      <c r="B122" s="5">
        <v>1</v>
      </c>
    </row>
    <row r="123" spans="1:2" x14ac:dyDescent="0.25">
      <c r="A123" s="5">
        <v>1021</v>
      </c>
      <c r="B123" s="5">
        <v>4</v>
      </c>
    </row>
    <row r="124" spans="1:2" x14ac:dyDescent="0.25">
      <c r="A124" s="5">
        <v>556</v>
      </c>
      <c r="B124" s="5">
        <v>7</v>
      </c>
    </row>
    <row r="125" spans="1:2" x14ac:dyDescent="0.25">
      <c r="A125" s="5">
        <v>63</v>
      </c>
      <c r="B125" s="5">
        <v>6</v>
      </c>
    </row>
    <row r="126" spans="1:2" x14ac:dyDescent="0.25">
      <c r="A126" s="5">
        <v>734</v>
      </c>
      <c r="B126" s="5">
        <v>2</v>
      </c>
    </row>
    <row r="127" spans="1:2" x14ac:dyDescent="0.25">
      <c r="A127" s="5">
        <v>933</v>
      </c>
      <c r="B127" s="5">
        <v>5</v>
      </c>
    </row>
    <row r="128" spans="1:2" x14ac:dyDescent="0.25">
      <c r="A128" s="5">
        <v>20</v>
      </c>
      <c r="B128" s="5">
        <v>6</v>
      </c>
    </row>
    <row r="129" spans="1:2" x14ac:dyDescent="0.25">
      <c r="A129" s="5">
        <v>877</v>
      </c>
      <c r="B129" s="5">
        <v>2</v>
      </c>
    </row>
    <row r="130" spans="1:2" x14ac:dyDescent="0.25">
      <c r="A130" s="5">
        <v>719</v>
      </c>
      <c r="B130" s="5">
        <v>6</v>
      </c>
    </row>
    <row r="131" spans="1:2" x14ac:dyDescent="0.25">
      <c r="A131" s="5">
        <v>12</v>
      </c>
      <c r="B131" s="5">
        <v>2</v>
      </c>
    </row>
    <row r="132" spans="1:2" x14ac:dyDescent="0.25">
      <c r="A132" s="5">
        <v>714</v>
      </c>
      <c r="B132" s="5">
        <v>4</v>
      </c>
    </row>
    <row r="133" spans="1:2" x14ac:dyDescent="0.25">
      <c r="A133" s="5">
        <v>50</v>
      </c>
      <c r="B133" s="5">
        <v>4</v>
      </c>
    </row>
    <row r="134" spans="1:2" x14ac:dyDescent="0.25">
      <c r="A134" s="5">
        <v>709</v>
      </c>
      <c r="B134" s="5">
        <v>5</v>
      </c>
    </row>
    <row r="135" spans="1:2" x14ac:dyDescent="0.25">
      <c r="A135" s="5">
        <v>21</v>
      </c>
      <c r="B135" s="5">
        <v>3</v>
      </c>
    </row>
    <row r="136" spans="1:2" x14ac:dyDescent="0.25">
      <c r="A136" s="5">
        <v>693</v>
      </c>
      <c r="B136" s="5">
        <v>6</v>
      </c>
    </row>
    <row r="137" spans="1:2" x14ac:dyDescent="0.25">
      <c r="A137" s="5">
        <v>24</v>
      </c>
      <c r="B137" s="5">
        <v>4</v>
      </c>
    </row>
    <row r="138" spans="1:2" x14ac:dyDescent="0.25">
      <c r="A138" s="5">
        <v>24</v>
      </c>
      <c r="B138" s="5">
        <v>2</v>
      </c>
    </row>
    <row r="139" spans="1:2" x14ac:dyDescent="0.25">
      <c r="A139" s="5">
        <v>24</v>
      </c>
      <c r="B139" s="5">
        <v>2</v>
      </c>
    </row>
    <row r="140" spans="1:2" x14ac:dyDescent="0.25">
      <c r="A140" s="5">
        <v>21</v>
      </c>
      <c r="B140" s="5">
        <v>1</v>
      </c>
    </row>
    <row r="141" spans="1:2" x14ac:dyDescent="0.25">
      <c r="A141" s="5">
        <v>681</v>
      </c>
      <c r="B141" s="5">
        <v>4</v>
      </c>
    </row>
    <row r="142" spans="1:2" x14ac:dyDescent="0.25">
      <c r="A142" s="5">
        <v>674</v>
      </c>
      <c r="B142" s="5">
        <v>2</v>
      </c>
    </row>
    <row r="143" spans="1:2" x14ac:dyDescent="0.25">
      <c r="A143" s="5">
        <v>671</v>
      </c>
      <c r="B143" s="5">
        <v>5</v>
      </c>
    </row>
    <row r="144" spans="1:2" x14ac:dyDescent="0.25">
      <c r="A144" s="5">
        <v>646</v>
      </c>
      <c r="B144" s="5">
        <v>3</v>
      </c>
    </row>
    <row r="145" spans="1:2" x14ac:dyDescent="0.25">
      <c r="A145" s="5">
        <v>40</v>
      </c>
      <c r="B145" s="5">
        <v>1</v>
      </c>
    </row>
    <row r="146" spans="1:2" x14ac:dyDescent="0.25">
      <c r="A146" s="5">
        <v>24</v>
      </c>
      <c r="B146" s="5">
        <v>2</v>
      </c>
    </row>
    <row r="147" spans="1:2" x14ac:dyDescent="0.25">
      <c r="A147" s="5">
        <v>644</v>
      </c>
      <c r="B147" s="5">
        <v>2</v>
      </c>
    </row>
    <row r="148" spans="1:2" x14ac:dyDescent="0.25">
      <c r="A148" s="5">
        <v>643</v>
      </c>
      <c r="B148" s="5">
        <v>2</v>
      </c>
    </row>
    <row r="149" spans="1:2" x14ac:dyDescent="0.25">
      <c r="A149" s="5">
        <v>632</v>
      </c>
      <c r="B149" s="5">
        <v>6</v>
      </c>
    </row>
    <row r="150" spans="1:2" x14ac:dyDescent="0.25">
      <c r="A150" s="5">
        <v>632</v>
      </c>
      <c r="B150" s="5">
        <v>6</v>
      </c>
    </row>
    <row r="151" spans="1:2" x14ac:dyDescent="0.25">
      <c r="A151" s="5">
        <v>610</v>
      </c>
      <c r="B151" s="5">
        <v>3</v>
      </c>
    </row>
    <row r="152" spans="1:2" x14ac:dyDescent="0.25">
      <c r="A152" s="5">
        <v>78</v>
      </c>
      <c r="B152" s="5">
        <v>6</v>
      </c>
    </row>
    <row r="153" spans="1:2" x14ac:dyDescent="0.25">
      <c r="A153" s="5">
        <v>595</v>
      </c>
      <c r="B153" s="5">
        <v>4</v>
      </c>
    </row>
    <row r="154" spans="1:2" x14ac:dyDescent="0.25">
      <c r="A154" s="5">
        <v>595</v>
      </c>
      <c r="B154" s="5">
        <v>3</v>
      </c>
    </row>
    <row r="155" spans="1:2" x14ac:dyDescent="0.25">
      <c r="A155" s="5">
        <v>852</v>
      </c>
      <c r="B155" s="5">
        <v>5</v>
      </c>
    </row>
    <row r="156" spans="1:2" x14ac:dyDescent="0.25">
      <c r="A156" s="5">
        <v>594</v>
      </c>
      <c r="B156" s="5">
        <v>3</v>
      </c>
    </row>
    <row r="157" spans="1:2" x14ac:dyDescent="0.25">
      <c r="A157" s="5">
        <v>585</v>
      </c>
      <c r="B157" s="5">
        <v>13</v>
      </c>
    </row>
    <row r="158" spans="1:2" x14ac:dyDescent="0.25">
      <c r="A158" s="5">
        <v>582</v>
      </c>
      <c r="B158" s="5">
        <v>5</v>
      </c>
    </row>
    <row r="159" spans="1:2" x14ac:dyDescent="0.25">
      <c r="A159" s="5">
        <v>845</v>
      </c>
      <c r="B159" s="5">
        <v>7</v>
      </c>
    </row>
    <row r="160" spans="1:2" x14ac:dyDescent="0.25">
      <c r="A160" s="5">
        <v>829</v>
      </c>
      <c r="B160" s="5">
        <v>4</v>
      </c>
    </row>
    <row r="161" spans="1:2" x14ac:dyDescent="0.25">
      <c r="A161" s="5">
        <v>561</v>
      </c>
      <c r="B161" s="5">
        <v>3</v>
      </c>
    </row>
    <row r="162" spans="1:2" x14ac:dyDescent="0.25">
      <c r="A162" s="5">
        <v>771</v>
      </c>
      <c r="B162" s="5">
        <v>2</v>
      </c>
    </row>
    <row r="163" spans="1:2" x14ac:dyDescent="0.25">
      <c r="A163" s="5">
        <v>765</v>
      </c>
      <c r="B163" s="5">
        <v>6</v>
      </c>
    </row>
    <row r="164" spans="1:2" x14ac:dyDescent="0.25">
      <c r="A164" s="5">
        <v>31</v>
      </c>
      <c r="B164" s="5">
        <v>2</v>
      </c>
    </row>
    <row r="165" spans="1:2" x14ac:dyDescent="0.25">
      <c r="A165" s="5">
        <v>557</v>
      </c>
      <c r="B165" s="5">
        <v>2</v>
      </c>
    </row>
    <row r="166" spans="1:2" x14ac:dyDescent="0.25">
      <c r="A166" s="5">
        <v>757</v>
      </c>
      <c r="B166" s="5">
        <v>2</v>
      </c>
    </row>
    <row r="167" spans="1:2" x14ac:dyDescent="0.25">
      <c r="A167" s="5">
        <v>545</v>
      </c>
      <c r="B167" s="5">
        <v>11</v>
      </c>
    </row>
    <row r="168" spans="1:2" x14ac:dyDescent="0.25">
      <c r="A168" s="5">
        <v>1052</v>
      </c>
      <c r="B168" s="5">
        <v>3</v>
      </c>
    </row>
    <row r="169" spans="1:2" x14ac:dyDescent="0.25">
      <c r="A169" s="5">
        <v>544</v>
      </c>
      <c r="B169" s="5">
        <v>3</v>
      </c>
    </row>
    <row r="170" spans="1:2" x14ac:dyDescent="0.25">
      <c r="A170" s="5">
        <v>22</v>
      </c>
      <c r="B170" s="5">
        <v>2</v>
      </c>
    </row>
    <row r="171" spans="1:2" x14ac:dyDescent="0.25">
      <c r="A171" s="5">
        <v>757</v>
      </c>
      <c r="B171" s="5">
        <v>2</v>
      </c>
    </row>
    <row r="172" spans="1:2" x14ac:dyDescent="0.25">
      <c r="A172" s="5">
        <v>742</v>
      </c>
      <c r="B172" s="5">
        <v>2</v>
      </c>
    </row>
    <row r="173" spans="1:2" x14ac:dyDescent="0.25">
      <c r="A173" s="5">
        <v>537</v>
      </c>
      <c r="B173" s="5">
        <v>3</v>
      </c>
    </row>
    <row r="174" spans="1:2" x14ac:dyDescent="0.25">
      <c r="A174" s="5">
        <v>536</v>
      </c>
      <c r="B174" s="5">
        <v>1</v>
      </c>
    </row>
    <row r="175" spans="1:2" x14ac:dyDescent="0.25">
      <c r="A175" s="5">
        <v>6</v>
      </c>
      <c r="B175" s="5">
        <v>1</v>
      </c>
    </row>
    <row r="176" spans="1:2" x14ac:dyDescent="0.25">
      <c r="A176" s="5">
        <v>523</v>
      </c>
      <c r="B176" s="5">
        <v>7</v>
      </c>
    </row>
    <row r="177" spans="1:2" x14ac:dyDescent="0.25">
      <c r="A177" s="5">
        <v>27</v>
      </c>
      <c r="B177" s="5">
        <v>2</v>
      </c>
    </row>
    <row r="178" spans="1:2" x14ac:dyDescent="0.25">
      <c r="A178" s="5">
        <v>516</v>
      </c>
      <c r="B178" s="5">
        <v>8</v>
      </c>
    </row>
    <row r="179" spans="1:2" x14ac:dyDescent="0.25">
      <c r="A179" s="5">
        <v>504</v>
      </c>
      <c r="B179" s="5">
        <v>3</v>
      </c>
    </row>
    <row r="180" spans="1:2" x14ac:dyDescent="0.25">
      <c r="A180" s="5">
        <v>502</v>
      </c>
      <c r="B180" s="5">
        <v>4</v>
      </c>
    </row>
    <row r="181" spans="1:2" x14ac:dyDescent="0.25">
      <c r="A181" s="5">
        <v>734</v>
      </c>
      <c r="B181" s="5">
        <v>6</v>
      </c>
    </row>
    <row r="182" spans="1:2" x14ac:dyDescent="0.25">
      <c r="A182" s="5">
        <v>42</v>
      </c>
      <c r="B182" s="5">
        <v>2</v>
      </c>
    </row>
    <row r="183" spans="1:2" x14ac:dyDescent="0.25">
      <c r="A183" s="5">
        <v>29</v>
      </c>
      <c r="B183" s="5">
        <v>4</v>
      </c>
    </row>
    <row r="184" spans="1:2" x14ac:dyDescent="0.25">
      <c r="A184" s="5">
        <v>240</v>
      </c>
      <c r="B184" s="5">
        <v>6</v>
      </c>
    </row>
    <row r="185" spans="1:2" x14ac:dyDescent="0.25">
      <c r="A185" s="5">
        <v>496</v>
      </c>
      <c r="B185" s="5">
        <v>2</v>
      </c>
    </row>
    <row r="186" spans="1:2" x14ac:dyDescent="0.25">
      <c r="A186" s="5">
        <v>485</v>
      </c>
      <c r="B186" s="5">
        <v>4</v>
      </c>
    </row>
    <row r="187" spans="1:2" x14ac:dyDescent="0.25">
      <c r="A187" s="5">
        <v>31</v>
      </c>
      <c r="B187" s="5">
        <v>3</v>
      </c>
    </row>
    <row r="188" spans="1:2" x14ac:dyDescent="0.25">
      <c r="A188" s="5">
        <v>676</v>
      </c>
      <c r="B188" s="5">
        <v>3</v>
      </c>
    </row>
    <row r="189" spans="1:2" x14ac:dyDescent="0.25">
      <c r="A189" s="5">
        <v>23</v>
      </c>
      <c r="B189" s="5">
        <v>2</v>
      </c>
    </row>
    <row r="190" spans="1:2" x14ac:dyDescent="0.25">
      <c r="A190" s="5">
        <v>13</v>
      </c>
      <c r="B190" s="5">
        <v>2</v>
      </c>
    </row>
    <row r="191" spans="1:2" x14ac:dyDescent="0.25">
      <c r="A191" s="5">
        <v>180</v>
      </c>
      <c r="B191" s="5">
        <v>8</v>
      </c>
    </row>
    <row r="192" spans="1:2" x14ac:dyDescent="0.25">
      <c r="A192" s="5">
        <v>671</v>
      </c>
      <c r="B192" s="5">
        <v>9</v>
      </c>
    </row>
    <row r="193" spans="1:2" x14ac:dyDescent="0.25">
      <c r="A193" s="5">
        <v>22</v>
      </c>
      <c r="B193" s="5">
        <v>3</v>
      </c>
    </row>
    <row r="194" spans="1:2" x14ac:dyDescent="0.25">
      <c r="A194" s="5">
        <v>668</v>
      </c>
      <c r="B194" s="5">
        <v>3</v>
      </c>
    </row>
    <row r="195" spans="1:2" x14ac:dyDescent="0.25">
      <c r="A195" s="5">
        <v>145</v>
      </c>
      <c r="B195" s="5">
        <v>3</v>
      </c>
    </row>
    <row r="196" spans="1:2" x14ac:dyDescent="0.25">
      <c r="A196" s="5">
        <v>24</v>
      </c>
      <c r="B196" s="5">
        <v>2</v>
      </c>
    </row>
    <row r="197" spans="1:2" x14ac:dyDescent="0.25">
      <c r="A197" s="5">
        <v>476</v>
      </c>
      <c r="B197" s="5">
        <v>3</v>
      </c>
    </row>
    <row r="198" spans="1:2" x14ac:dyDescent="0.25">
      <c r="A198" s="5">
        <v>24</v>
      </c>
      <c r="B198" s="5">
        <v>5</v>
      </c>
    </row>
    <row r="199" spans="1:2" x14ac:dyDescent="0.25">
      <c r="A199" s="5">
        <v>37</v>
      </c>
      <c r="B199" s="5">
        <v>3</v>
      </c>
    </row>
    <row r="200" spans="1:2" x14ac:dyDescent="0.25">
      <c r="A200" s="5">
        <v>152</v>
      </c>
      <c r="B200" s="5">
        <v>6</v>
      </c>
    </row>
    <row r="201" spans="1:2" x14ac:dyDescent="0.25">
      <c r="A201" s="5">
        <v>32</v>
      </c>
      <c r="B201" s="5">
        <v>2</v>
      </c>
    </row>
    <row r="202" spans="1:2" x14ac:dyDescent="0.25">
      <c r="A202" s="5">
        <v>52</v>
      </c>
      <c r="B202" s="5">
        <v>5</v>
      </c>
    </row>
    <row r="203" spans="1:2" x14ac:dyDescent="0.25">
      <c r="A203" s="5">
        <v>24</v>
      </c>
      <c r="B203" s="5">
        <v>3</v>
      </c>
    </row>
    <row r="204" spans="1:2" x14ac:dyDescent="0.25">
      <c r="A204" s="5">
        <v>473</v>
      </c>
      <c r="B204" s="5">
        <v>4</v>
      </c>
    </row>
    <row r="205" spans="1:2" x14ac:dyDescent="0.25">
      <c r="A205" s="5">
        <v>263</v>
      </c>
      <c r="B205" s="5">
        <v>5</v>
      </c>
    </row>
    <row r="206" spans="1:2" x14ac:dyDescent="0.25">
      <c r="A206" s="5">
        <v>61</v>
      </c>
      <c r="B206" s="5">
        <v>3</v>
      </c>
    </row>
    <row r="207" spans="1:2" x14ac:dyDescent="0.25">
      <c r="A207" s="5">
        <v>469</v>
      </c>
      <c r="B207" s="5">
        <v>3</v>
      </c>
    </row>
    <row r="208" spans="1:2" x14ac:dyDescent="0.25">
      <c r="A208" s="5">
        <v>1272</v>
      </c>
      <c r="B208" s="5">
        <v>2</v>
      </c>
    </row>
    <row r="209" spans="1:2" x14ac:dyDescent="0.25">
      <c r="A209" s="5">
        <v>169</v>
      </c>
      <c r="B209" s="5">
        <v>3</v>
      </c>
    </row>
    <row r="210" spans="1:2" x14ac:dyDescent="0.25">
      <c r="A210" s="5">
        <v>25</v>
      </c>
      <c r="B210" s="5">
        <v>3</v>
      </c>
    </row>
    <row r="211" spans="1:2" x14ac:dyDescent="0.25">
      <c r="A211" s="5">
        <v>457</v>
      </c>
      <c r="B211" s="5">
        <v>4</v>
      </c>
    </row>
    <row r="212" spans="1:2" x14ac:dyDescent="0.25">
      <c r="A212" s="5">
        <v>455</v>
      </c>
      <c r="B212" s="5">
        <v>8</v>
      </c>
    </row>
    <row r="213" spans="1:2" x14ac:dyDescent="0.25">
      <c r="A213" s="5">
        <v>25</v>
      </c>
      <c r="B213" s="5">
        <v>2</v>
      </c>
    </row>
    <row r="214" spans="1:2" x14ac:dyDescent="0.25">
      <c r="A214" s="5">
        <v>450</v>
      </c>
      <c r="B214" s="5">
        <v>3</v>
      </c>
    </row>
    <row r="215" spans="1:2" x14ac:dyDescent="0.25">
      <c r="A215" s="5">
        <v>30</v>
      </c>
      <c r="B215" s="5">
        <v>1</v>
      </c>
    </row>
    <row r="216" spans="1:2" x14ac:dyDescent="0.25">
      <c r="A216" s="5">
        <v>659</v>
      </c>
      <c r="B216" s="5">
        <v>2</v>
      </c>
    </row>
    <row r="217" spans="1:2" x14ac:dyDescent="0.25">
      <c r="A217" s="5">
        <v>448</v>
      </c>
      <c r="B217" s="5">
        <v>2</v>
      </c>
    </row>
    <row r="218" spans="1:2" x14ac:dyDescent="0.25">
      <c r="A218" s="5">
        <v>446</v>
      </c>
      <c r="B218" s="5">
        <v>3</v>
      </c>
    </row>
    <row r="219" spans="1:2" x14ac:dyDescent="0.25">
      <c r="A219" s="5">
        <v>98</v>
      </c>
      <c r="B219" s="5">
        <v>2</v>
      </c>
    </row>
    <row r="220" spans="1:2" x14ac:dyDescent="0.25">
      <c r="A220" s="5">
        <v>443</v>
      </c>
      <c r="B220" s="5">
        <v>1</v>
      </c>
    </row>
    <row r="221" spans="1:2" x14ac:dyDescent="0.25">
      <c r="A221" s="5">
        <v>427</v>
      </c>
      <c r="B221" s="5">
        <v>7</v>
      </c>
    </row>
    <row r="222" spans="1:2" x14ac:dyDescent="0.25">
      <c r="A222" s="5">
        <v>656</v>
      </c>
      <c r="B222" s="5">
        <v>2</v>
      </c>
    </row>
    <row r="223" spans="1:2" x14ac:dyDescent="0.25">
      <c r="A223" s="5">
        <v>424</v>
      </c>
      <c r="B223" s="5">
        <v>2</v>
      </c>
    </row>
    <row r="224" spans="1:2" x14ac:dyDescent="0.25">
      <c r="A224" s="5">
        <v>27</v>
      </c>
      <c r="B224" s="5">
        <v>2</v>
      </c>
    </row>
    <row r="225" spans="1:2" x14ac:dyDescent="0.25">
      <c r="A225" s="5">
        <v>424</v>
      </c>
      <c r="B225" s="5">
        <v>5</v>
      </c>
    </row>
    <row r="226" spans="1:2" x14ac:dyDescent="0.25">
      <c r="A226" s="5">
        <v>202</v>
      </c>
      <c r="B226" s="5">
        <v>4</v>
      </c>
    </row>
    <row r="227" spans="1:2" x14ac:dyDescent="0.25">
      <c r="A227" s="5">
        <v>1275</v>
      </c>
      <c r="B227" s="5">
        <v>2</v>
      </c>
    </row>
    <row r="228" spans="1:2" x14ac:dyDescent="0.25">
      <c r="A228" s="5">
        <v>418</v>
      </c>
      <c r="B228" s="5">
        <v>7</v>
      </c>
    </row>
    <row r="229" spans="1:2" x14ac:dyDescent="0.25">
      <c r="A229" s="5">
        <v>417</v>
      </c>
      <c r="B229" s="5">
        <v>3</v>
      </c>
    </row>
    <row r="230" spans="1:2" x14ac:dyDescent="0.25">
      <c r="A230" s="5">
        <v>199</v>
      </c>
      <c r="B230" s="5">
        <v>4</v>
      </c>
    </row>
    <row r="231" spans="1:2" x14ac:dyDescent="0.25">
      <c r="A231" s="5">
        <v>385</v>
      </c>
      <c r="B231" s="5">
        <v>11</v>
      </c>
    </row>
    <row r="232" spans="1:2" x14ac:dyDescent="0.25">
      <c r="A232" s="5">
        <v>414</v>
      </c>
      <c r="B232" s="5">
        <v>3</v>
      </c>
    </row>
    <row r="233" spans="1:2" x14ac:dyDescent="0.25">
      <c r="A233" s="5">
        <v>97</v>
      </c>
      <c r="B233" s="5">
        <v>4</v>
      </c>
    </row>
    <row r="234" spans="1:2" x14ac:dyDescent="0.25">
      <c r="A234" s="5">
        <v>648</v>
      </c>
      <c r="B234" s="5">
        <v>6</v>
      </c>
    </row>
    <row r="235" spans="1:2" x14ac:dyDescent="0.25">
      <c r="A235" s="5">
        <v>27</v>
      </c>
      <c r="B235" s="5">
        <v>2</v>
      </c>
    </row>
    <row r="236" spans="1:2" x14ac:dyDescent="0.25">
      <c r="A236" s="5">
        <v>27</v>
      </c>
      <c r="B236" s="5">
        <v>1</v>
      </c>
    </row>
    <row r="237" spans="1:2" x14ac:dyDescent="0.25">
      <c r="A237" s="5">
        <v>27</v>
      </c>
      <c r="B237" s="5">
        <v>1</v>
      </c>
    </row>
    <row r="238" spans="1:2" x14ac:dyDescent="0.25">
      <c r="A238" s="5">
        <v>413</v>
      </c>
      <c r="B238" s="5">
        <v>9</v>
      </c>
    </row>
    <row r="239" spans="1:2" x14ac:dyDescent="0.25">
      <c r="A239" s="5">
        <v>53</v>
      </c>
      <c r="B239" s="5">
        <v>4</v>
      </c>
    </row>
    <row r="240" spans="1:2" x14ac:dyDescent="0.25">
      <c r="A240" s="5">
        <v>29</v>
      </c>
      <c r="B240" s="5">
        <v>5</v>
      </c>
    </row>
    <row r="241" spans="1:2" x14ac:dyDescent="0.25">
      <c r="A241" s="5">
        <v>30</v>
      </c>
      <c r="B241" s="5">
        <v>1</v>
      </c>
    </row>
    <row r="242" spans="1:2" x14ac:dyDescent="0.25">
      <c r="A242" s="5">
        <v>412</v>
      </c>
      <c r="B242" s="5">
        <v>6</v>
      </c>
    </row>
    <row r="243" spans="1:2" x14ac:dyDescent="0.25">
      <c r="A243" s="5">
        <v>646</v>
      </c>
      <c r="B243" s="5">
        <v>2</v>
      </c>
    </row>
    <row r="244" spans="1:2" x14ac:dyDescent="0.25">
      <c r="A244" s="5">
        <v>30</v>
      </c>
      <c r="B244" s="5">
        <v>5</v>
      </c>
    </row>
    <row r="245" spans="1:2" x14ac:dyDescent="0.25">
      <c r="A245" s="5">
        <v>618</v>
      </c>
      <c r="B245" s="5">
        <v>4</v>
      </c>
    </row>
    <row r="246" spans="1:2" x14ac:dyDescent="0.25">
      <c r="A246" s="5">
        <v>143</v>
      </c>
      <c r="B246" s="5">
        <v>5</v>
      </c>
    </row>
    <row r="247" spans="1:2" x14ac:dyDescent="0.25">
      <c r="A247" s="5">
        <v>31</v>
      </c>
      <c r="B247" s="5">
        <v>2</v>
      </c>
    </row>
    <row r="248" spans="1:2" x14ac:dyDescent="0.25">
      <c r="A248" s="5">
        <v>409</v>
      </c>
      <c r="B248" s="5">
        <v>3</v>
      </c>
    </row>
    <row r="249" spans="1:2" x14ac:dyDescent="0.25">
      <c r="A249" s="5">
        <v>406</v>
      </c>
      <c r="B249" s="5">
        <v>2</v>
      </c>
    </row>
    <row r="250" spans="1:2" x14ac:dyDescent="0.25">
      <c r="A250" s="5">
        <v>565</v>
      </c>
      <c r="B250" s="5">
        <v>7</v>
      </c>
    </row>
    <row r="251" spans="1:2" x14ac:dyDescent="0.25">
      <c r="A251" s="5">
        <v>85</v>
      </c>
      <c r="B251" s="5">
        <v>6</v>
      </c>
    </row>
    <row r="252" spans="1:2" x14ac:dyDescent="0.25">
      <c r="A252" s="5">
        <v>561</v>
      </c>
      <c r="B252" s="5">
        <v>5</v>
      </c>
    </row>
    <row r="253" spans="1:2" x14ac:dyDescent="0.25">
      <c r="A253" s="5">
        <v>503</v>
      </c>
      <c r="B253" s="5">
        <v>2</v>
      </c>
    </row>
    <row r="254" spans="1:2" x14ac:dyDescent="0.25">
      <c r="A254" s="5">
        <v>31</v>
      </c>
      <c r="B254" s="5">
        <v>3</v>
      </c>
    </row>
    <row r="255" spans="1:2" x14ac:dyDescent="0.25">
      <c r="A255" s="5">
        <v>398</v>
      </c>
      <c r="B255" s="5">
        <v>8</v>
      </c>
    </row>
    <row r="256" spans="1:2" x14ac:dyDescent="0.25">
      <c r="A256" s="5">
        <v>388</v>
      </c>
      <c r="B256" s="5">
        <v>2</v>
      </c>
    </row>
    <row r="257" spans="1:2" x14ac:dyDescent="0.25">
      <c r="A257" s="5">
        <v>498</v>
      </c>
      <c r="B257" s="5">
        <v>4</v>
      </c>
    </row>
    <row r="258" spans="1:2" x14ac:dyDescent="0.25">
      <c r="A258" s="5">
        <v>561</v>
      </c>
      <c r="B258" s="5">
        <v>3</v>
      </c>
    </row>
    <row r="259" spans="1:2" x14ac:dyDescent="0.25">
      <c r="A259" s="5">
        <v>61</v>
      </c>
      <c r="B259" s="5">
        <v>4</v>
      </c>
    </row>
    <row r="260" spans="1:2" x14ac:dyDescent="0.25">
      <c r="A260" s="5">
        <v>34</v>
      </c>
      <c r="B260" s="5">
        <v>4</v>
      </c>
    </row>
    <row r="261" spans="1:2" x14ac:dyDescent="0.25">
      <c r="A261" s="5">
        <v>32</v>
      </c>
      <c r="B261" s="5">
        <v>3</v>
      </c>
    </row>
    <row r="262" spans="1:2" x14ac:dyDescent="0.25">
      <c r="A262" s="5">
        <v>623</v>
      </c>
      <c r="B262" s="5">
        <v>3</v>
      </c>
    </row>
    <row r="263" spans="1:2" x14ac:dyDescent="0.25">
      <c r="A263" s="5">
        <v>520</v>
      </c>
      <c r="B263" s="5">
        <v>3</v>
      </c>
    </row>
    <row r="264" spans="1:2" x14ac:dyDescent="0.25">
      <c r="A264" s="5">
        <v>32</v>
      </c>
      <c r="B264" s="5">
        <v>6</v>
      </c>
    </row>
    <row r="265" spans="1:2" x14ac:dyDescent="0.25">
      <c r="A265" s="5">
        <v>32</v>
      </c>
      <c r="B265" s="5">
        <v>5</v>
      </c>
    </row>
    <row r="266" spans="1:2" x14ac:dyDescent="0.25">
      <c r="A266" s="5">
        <v>510</v>
      </c>
      <c r="B266" s="5">
        <v>6</v>
      </c>
    </row>
    <row r="267" spans="1:2" x14ac:dyDescent="0.25">
      <c r="A267" s="5">
        <v>382</v>
      </c>
      <c r="B267" s="5">
        <v>3</v>
      </c>
    </row>
    <row r="268" spans="1:2" x14ac:dyDescent="0.25">
      <c r="A268" s="5">
        <v>33</v>
      </c>
      <c r="B268" s="5">
        <v>3</v>
      </c>
    </row>
    <row r="269" spans="1:2" x14ac:dyDescent="0.25">
      <c r="A269" s="5">
        <v>381</v>
      </c>
      <c r="B269" s="5">
        <v>2</v>
      </c>
    </row>
    <row r="270" spans="1:2" x14ac:dyDescent="0.25">
      <c r="A270" s="5">
        <v>490</v>
      </c>
      <c r="B270" s="5">
        <v>2</v>
      </c>
    </row>
    <row r="271" spans="1:2" x14ac:dyDescent="0.25">
      <c r="A271" s="5">
        <v>381</v>
      </c>
      <c r="B271" s="5">
        <v>2</v>
      </c>
    </row>
    <row r="272" spans="1:2" x14ac:dyDescent="0.25">
      <c r="A272" s="5">
        <v>487</v>
      </c>
      <c r="B272" s="5">
        <v>4</v>
      </c>
    </row>
    <row r="273" spans="1:2" x14ac:dyDescent="0.25">
      <c r="A273" s="5">
        <v>366</v>
      </c>
      <c r="B273" s="5">
        <v>3</v>
      </c>
    </row>
    <row r="274" spans="1:2" x14ac:dyDescent="0.25">
      <c r="A274" s="5">
        <v>33</v>
      </c>
      <c r="B274" s="5">
        <v>3</v>
      </c>
    </row>
    <row r="275" spans="1:2" x14ac:dyDescent="0.25">
      <c r="A275" s="5">
        <v>365</v>
      </c>
      <c r="B275" s="5">
        <v>3</v>
      </c>
    </row>
    <row r="276" spans="1:2" x14ac:dyDescent="0.25">
      <c r="A276" s="5">
        <v>207</v>
      </c>
      <c r="B276" s="5">
        <v>2</v>
      </c>
    </row>
    <row r="277" spans="1:2" x14ac:dyDescent="0.25">
      <c r="A277" s="5">
        <v>359</v>
      </c>
      <c r="B277" s="5">
        <v>5</v>
      </c>
    </row>
    <row r="278" spans="1:2" x14ac:dyDescent="0.25">
      <c r="A278" s="5">
        <v>351</v>
      </c>
      <c r="B278" s="5">
        <v>8</v>
      </c>
    </row>
    <row r="279" spans="1:2" x14ac:dyDescent="0.25">
      <c r="A279" s="5">
        <v>485</v>
      </c>
      <c r="B279" s="5">
        <v>4</v>
      </c>
    </row>
    <row r="280" spans="1:2" x14ac:dyDescent="0.25">
      <c r="A280" s="5">
        <v>37</v>
      </c>
      <c r="B280" s="5">
        <v>4</v>
      </c>
    </row>
    <row r="281" spans="1:2" x14ac:dyDescent="0.25">
      <c r="A281" s="5">
        <v>34</v>
      </c>
      <c r="B281" s="5">
        <v>2</v>
      </c>
    </row>
    <row r="282" spans="1:2" x14ac:dyDescent="0.25">
      <c r="A282" s="5">
        <v>346</v>
      </c>
      <c r="B282" s="5">
        <v>3</v>
      </c>
    </row>
    <row r="283" spans="1:2" x14ac:dyDescent="0.25">
      <c r="A283" s="5">
        <v>342</v>
      </c>
      <c r="B283" s="5">
        <v>4</v>
      </c>
    </row>
    <row r="284" spans="1:2" x14ac:dyDescent="0.25">
      <c r="A284" s="5">
        <v>35</v>
      </c>
      <c r="B284" s="5">
        <v>2</v>
      </c>
    </row>
    <row r="285" spans="1:2" x14ac:dyDescent="0.25">
      <c r="A285" s="5">
        <v>121</v>
      </c>
      <c r="B285" s="5">
        <v>4</v>
      </c>
    </row>
    <row r="286" spans="1:2" x14ac:dyDescent="0.25">
      <c r="A286" s="5">
        <v>336</v>
      </c>
      <c r="B286" s="5">
        <v>2</v>
      </c>
    </row>
    <row r="287" spans="1:2" x14ac:dyDescent="0.25">
      <c r="A287" s="5">
        <v>336</v>
      </c>
      <c r="B287" s="5">
        <v>3</v>
      </c>
    </row>
    <row r="288" spans="1:2" x14ac:dyDescent="0.25">
      <c r="A288" s="5">
        <v>27</v>
      </c>
      <c r="B288" s="5">
        <v>1</v>
      </c>
    </row>
    <row r="289" spans="1:2" x14ac:dyDescent="0.25">
      <c r="A289" s="5">
        <v>333</v>
      </c>
      <c r="B289" s="5">
        <v>2</v>
      </c>
    </row>
    <row r="290" spans="1:2" x14ac:dyDescent="0.25">
      <c r="A290" s="5">
        <v>36</v>
      </c>
      <c r="B290" s="5">
        <v>3</v>
      </c>
    </row>
    <row r="291" spans="1:2" x14ac:dyDescent="0.25">
      <c r="A291" s="5">
        <v>333</v>
      </c>
      <c r="B291" s="5">
        <v>3</v>
      </c>
    </row>
    <row r="292" spans="1:2" x14ac:dyDescent="0.25">
      <c r="A292" s="5">
        <v>327</v>
      </c>
      <c r="B292" s="5">
        <v>4</v>
      </c>
    </row>
    <row r="293" spans="1:2" x14ac:dyDescent="0.25">
      <c r="A293" s="5">
        <v>18</v>
      </c>
      <c r="B293" s="5">
        <v>3</v>
      </c>
    </row>
    <row r="294" spans="1:2" x14ac:dyDescent="0.25">
      <c r="A294" s="5">
        <v>325</v>
      </c>
      <c r="B294" s="5">
        <v>7</v>
      </c>
    </row>
    <row r="295" spans="1:2" x14ac:dyDescent="0.25">
      <c r="A295" s="5">
        <v>482</v>
      </c>
      <c r="B295" s="5">
        <v>7</v>
      </c>
    </row>
    <row r="296" spans="1:2" x14ac:dyDescent="0.25">
      <c r="A296" s="5">
        <v>465</v>
      </c>
      <c r="B296" s="5">
        <v>4</v>
      </c>
    </row>
    <row r="297" spans="1:2" x14ac:dyDescent="0.25">
      <c r="A297" s="5">
        <v>40</v>
      </c>
      <c r="B297" s="5">
        <v>3</v>
      </c>
    </row>
    <row r="298" spans="1:2" x14ac:dyDescent="0.25">
      <c r="A298" s="5">
        <v>107</v>
      </c>
      <c r="B298" s="5">
        <v>6</v>
      </c>
    </row>
    <row r="299" spans="1:2" x14ac:dyDescent="0.25">
      <c r="A299" s="5">
        <v>312</v>
      </c>
      <c r="B299" s="5">
        <v>7</v>
      </c>
    </row>
    <row r="300" spans="1:2" x14ac:dyDescent="0.25">
      <c r="A300" s="5">
        <v>451</v>
      </c>
      <c r="B300" s="5">
        <v>3</v>
      </c>
    </row>
    <row r="301" spans="1:2" x14ac:dyDescent="0.25">
      <c r="A301" s="5">
        <v>312</v>
      </c>
      <c r="B301" s="5">
        <v>1</v>
      </c>
    </row>
    <row r="302" spans="1:2" x14ac:dyDescent="0.25">
      <c r="A302" s="5">
        <v>311</v>
      </c>
      <c r="B302" s="5">
        <v>2</v>
      </c>
    </row>
    <row r="303" spans="1:2" x14ac:dyDescent="0.25">
      <c r="A303" s="5">
        <v>11</v>
      </c>
      <c r="B303" s="5">
        <v>2</v>
      </c>
    </row>
    <row r="304" spans="1:2" x14ac:dyDescent="0.25">
      <c r="A304" s="5">
        <v>37</v>
      </c>
      <c r="B304" s="5">
        <v>3</v>
      </c>
    </row>
    <row r="305" spans="1:2" x14ac:dyDescent="0.25">
      <c r="A305" s="5">
        <v>444</v>
      </c>
      <c r="B305" s="5">
        <v>4</v>
      </c>
    </row>
    <row r="306" spans="1:2" x14ac:dyDescent="0.25">
      <c r="A306" s="5">
        <v>434</v>
      </c>
      <c r="B306" s="5">
        <v>11</v>
      </c>
    </row>
    <row r="307" spans="1:2" x14ac:dyDescent="0.25">
      <c r="A307" s="5">
        <v>299</v>
      </c>
      <c r="B307" s="5">
        <v>6</v>
      </c>
    </row>
    <row r="308" spans="1:2" x14ac:dyDescent="0.25">
      <c r="A308" s="5">
        <v>37</v>
      </c>
      <c r="B308" s="5">
        <v>3</v>
      </c>
    </row>
    <row r="309" spans="1:2" x14ac:dyDescent="0.25">
      <c r="A309" s="5">
        <v>299</v>
      </c>
      <c r="B309" s="5">
        <v>2</v>
      </c>
    </row>
    <row r="310" spans="1:2" x14ac:dyDescent="0.25">
      <c r="A310" s="5">
        <v>298</v>
      </c>
      <c r="B310" s="5">
        <v>2</v>
      </c>
    </row>
    <row r="311" spans="1:2" x14ac:dyDescent="0.25">
      <c r="A311" s="5">
        <v>94</v>
      </c>
      <c r="B311" s="5">
        <v>7</v>
      </c>
    </row>
    <row r="312" spans="1:2" x14ac:dyDescent="0.25">
      <c r="A312" s="5">
        <v>296</v>
      </c>
      <c r="B312" s="5">
        <v>11</v>
      </c>
    </row>
    <row r="313" spans="1:2" x14ac:dyDescent="0.25">
      <c r="A313" s="5">
        <v>37</v>
      </c>
      <c r="B313" s="5">
        <v>3</v>
      </c>
    </row>
    <row r="314" spans="1:2" x14ac:dyDescent="0.25">
      <c r="A314" s="5">
        <v>291</v>
      </c>
      <c r="B314" s="5">
        <v>2</v>
      </c>
    </row>
    <row r="315" spans="1:2" x14ac:dyDescent="0.25">
      <c r="A315" s="5">
        <v>327</v>
      </c>
      <c r="B315" s="5">
        <v>1</v>
      </c>
    </row>
    <row r="316" spans="1:2" x14ac:dyDescent="0.25">
      <c r="A316" s="5">
        <v>291</v>
      </c>
      <c r="B316" s="5">
        <v>11</v>
      </c>
    </row>
    <row r="317" spans="1:2" x14ac:dyDescent="0.25">
      <c r="A317" s="5">
        <v>287</v>
      </c>
      <c r="B317" s="5">
        <v>6</v>
      </c>
    </row>
    <row r="318" spans="1:2" x14ac:dyDescent="0.25">
      <c r="A318" s="5">
        <v>42</v>
      </c>
      <c r="B318" s="5">
        <v>1</v>
      </c>
    </row>
    <row r="319" spans="1:2" x14ac:dyDescent="0.25">
      <c r="A319" s="5">
        <v>429</v>
      </c>
      <c r="B319" s="5">
        <v>3</v>
      </c>
    </row>
    <row r="320" spans="1:2" x14ac:dyDescent="0.25">
      <c r="A320" s="5">
        <v>285</v>
      </c>
      <c r="B320" s="5">
        <v>2</v>
      </c>
    </row>
    <row r="321" spans="1:2" x14ac:dyDescent="0.25">
      <c r="A321" s="5">
        <v>277</v>
      </c>
      <c r="B321" s="5">
        <v>1</v>
      </c>
    </row>
    <row r="322" spans="1:2" x14ac:dyDescent="0.25">
      <c r="A322" s="5">
        <v>274</v>
      </c>
      <c r="B322" s="5">
        <v>4</v>
      </c>
    </row>
    <row r="323" spans="1:2" x14ac:dyDescent="0.25">
      <c r="A323" s="5">
        <v>273</v>
      </c>
      <c r="B323" s="5">
        <v>4</v>
      </c>
    </row>
    <row r="324" spans="1:2" x14ac:dyDescent="0.25">
      <c r="A324" s="5">
        <v>269</v>
      </c>
      <c r="B324" s="5">
        <v>1</v>
      </c>
    </row>
    <row r="325" spans="1:2" x14ac:dyDescent="0.25">
      <c r="A325" s="5">
        <v>11</v>
      </c>
      <c r="B325" s="5">
        <v>1</v>
      </c>
    </row>
    <row r="326" spans="1:2" x14ac:dyDescent="0.25">
      <c r="A326" s="5">
        <v>39</v>
      </c>
      <c r="B326" s="5">
        <v>2</v>
      </c>
    </row>
    <row r="327" spans="1:2" x14ac:dyDescent="0.25">
      <c r="A327" s="5">
        <v>264</v>
      </c>
      <c r="B327" s="5">
        <v>3</v>
      </c>
    </row>
    <row r="328" spans="1:2" x14ac:dyDescent="0.25">
      <c r="A328" s="5">
        <v>40</v>
      </c>
      <c r="B328" s="5">
        <v>3</v>
      </c>
    </row>
    <row r="329" spans="1:2" x14ac:dyDescent="0.25">
      <c r="A329" s="5">
        <v>41</v>
      </c>
      <c r="B329" s="5">
        <v>2</v>
      </c>
    </row>
    <row r="330" spans="1:2" x14ac:dyDescent="0.25">
      <c r="A330" s="5">
        <v>253</v>
      </c>
      <c r="B330" s="5">
        <v>2</v>
      </c>
    </row>
    <row r="331" spans="1:2" x14ac:dyDescent="0.25">
      <c r="A331" s="5">
        <v>406</v>
      </c>
      <c r="B331" s="5">
        <v>7</v>
      </c>
    </row>
    <row r="332" spans="1:2" x14ac:dyDescent="0.25">
      <c r="A332" s="5">
        <v>32</v>
      </c>
      <c r="B332" s="5">
        <v>3</v>
      </c>
    </row>
    <row r="333" spans="1:2" x14ac:dyDescent="0.25">
      <c r="A333" s="5">
        <v>260</v>
      </c>
      <c r="B333" s="5">
        <v>2</v>
      </c>
    </row>
    <row r="334" spans="1:2" x14ac:dyDescent="0.25">
      <c r="A334" s="5">
        <v>41</v>
      </c>
      <c r="B334" s="5">
        <v>5</v>
      </c>
    </row>
    <row r="335" spans="1:2" x14ac:dyDescent="0.25">
      <c r="A335" s="5">
        <v>401</v>
      </c>
      <c r="B335" s="5">
        <v>6</v>
      </c>
    </row>
    <row r="336" spans="1:2" x14ac:dyDescent="0.25">
      <c r="A336" s="5">
        <v>382</v>
      </c>
      <c r="B336" s="5">
        <v>3</v>
      </c>
    </row>
    <row r="337" spans="1:2" x14ac:dyDescent="0.25">
      <c r="A337" s="5">
        <v>867</v>
      </c>
      <c r="B337" s="5">
        <v>5</v>
      </c>
    </row>
    <row r="338" spans="1:2" x14ac:dyDescent="0.25">
      <c r="A338" s="5">
        <v>43</v>
      </c>
      <c r="B338" s="5">
        <v>3</v>
      </c>
    </row>
    <row r="339" spans="1:2" x14ac:dyDescent="0.25">
      <c r="A339" s="5">
        <v>43</v>
      </c>
      <c r="B339" s="5">
        <v>7</v>
      </c>
    </row>
    <row r="340" spans="1:2" x14ac:dyDescent="0.25">
      <c r="A340" s="5">
        <v>74</v>
      </c>
      <c r="B340" s="5">
        <v>3</v>
      </c>
    </row>
    <row r="341" spans="1:2" x14ac:dyDescent="0.25">
      <c r="A341" s="5">
        <v>44</v>
      </c>
      <c r="B341" s="5">
        <v>3</v>
      </c>
    </row>
    <row r="342" spans="1:2" x14ac:dyDescent="0.25">
      <c r="A342" s="5">
        <v>259</v>
      </c>
      <c r="B342" s="5">
        <v>2</v>
      </c>
    </row>
    <row r="343" spans="1:2" x14ac:dyDescent="0.25">
      <c r="A343" s="5">
        <v>257</v>
      </c>
      <c r="B343" s="5">
        <v>5</v>
      </c>
    </row>
    <row r="344" spans="1:2" x14ac:dyDescent="0.25">
      <c r="A344" s="5">
        <v>76</v>
      </c>
      <c r="B344" s="5">
        <v>5</v>
      </c>
    </row>
    <row r="345" spans="1:2" x14ac:dyDescent="0.25">
      <c r="A345" s="5">
        <v>44</v>
      </c>
      <c r="B345" s="5">
        <v>3</v>
      </c>
    </row>
    <row r="346" spans="1:2" x14ac:dyDescent="0.25">
      <c r="A346" s="5">
        <v>257</v>
      </c>
      <c r="B346" s="5">
        <v>2</v>
      </c>
    </row>
    <row r="347" spans="1:2" x14ac:dyDescent="0.25">
      <c r="A347" s="5">
        <v>255</v>
      </c>
      <c r="B347" s="5">
        <v>9</v>
      </c>
    </row>
    <row r="348" spans="1:2" x14ac:dyDescent="0.25">
      <c r="A348" s="5">
        <v>44</v>
      </c>
      <c r="B348" s="5">
        <v>3</v>
      </c>
    </row>
    <row r="349" spans="1:2" x14ac:dyDescent="0.25">
      <c r="A349" s="5">
        <v>45</v>
      </c>
      <c r="B349" s="5">
        <v>4</v>
      </c>
    </row>
    <row r="350" spans="1:2" x14ac:dyDescent="0.25">
      <c r="A350" s="5">
        <v>44</v>
      </c>
      <c r="B350" s="5">
        <v>1</v>
      </c>
    </row>
    <row r="351" spans="1:2" x14ac:dyDescent="0.25">
      <c r="A351" s="5">
        <v>382</v>
      </c>
      <c r="B351" s="5">
        <v>2</v>
      </c>
    </row>
    <row r="352" spans="1:2" x14ac:dyDescent="0.25">
      <c r="A352" s="5">
        <v>250</v>
      </c>
      <c r="B352" s="5">
        <v>3</v>
      </c>
    </row>
    <row r="353" spans="1:2" x14ac:dyDescent="0.25">
      <c r="A353" s="5">
        <v>45</v>
      </c>
      <c r="B353" s="5">
        <v>2</v>
      </c>
    </row>
    <row r="354" spans="1:2" x14ac:dyDescent="0.25">
      <c r="A354" s="5">
        <v>246</v>
      </c>
      <c r="B354" s="5">
        <v>2</v>
      </c>
    </row>
    <row r="355" spans="1:2" x14ac:dyDescent="0.25">
      <c r="A355" s="5">
        <v>50</v>
      </c>
      <c r="B355" s="5">
        <v>5</v>
      </c>
    </row>
    <row r="356" spans="1:2" x14ac:dyDescent="0.25">
      <c r="A356" s="5">
        <v>246</v>
      </c>
      <c r="B356" s="5">
        <v>5</v>
      </c>
    </row>
    <row r="357" spans="1:2" x14ac:dyDescent="0.25">
      <c r="A357" s="5">
        <v>44</v>
      </c>
      <c r="B357" s="5">
        <v>3</v>
      </c>
    </row>
    <row r="358" spans="1:2" x14ac:dyDescent="0.25">
      <c r="A358" s="5">
        <v>245</v>
      </c>
      <c r="B358" s="5">
        <v>3</v>
      </c>
    </row>
    <row r="359" spans="1:2" x14ac:dyDescent="0.25">
      <c r="A359" s="5">
        <v>245</v>
      </c>
      <c r="B359" s="5">
        <v>2</v>
      </c>
    </row>
    <row r="360" spans="1:2" x14ac:dyDescent="0.25">
      <c r="A360" s="5">
        <v>376</v>
      </c>
      <c r="B360" s="5">
        <v>7</v>
      </c>
    </row>
    <row r="361" spans="1:2" x14ac:dyDescent="0.25">
      <c r="A361" s="5">
        <v>45</v>
      </c>
      <c r="B361" s="5">
        <v>3</v>
      </c>
    </row>
    <row r="362" spans="1:2" x14ac:dyDescent="0.25">
      <c r="A362" s="5">
        <v>45</v>
      </c>
      <c r="B362" s="5">
        <v>2</v>
      </c>
    </row>
    <row r="363" spans="1:2" x14ac:dyDescent="0.25">
      <c r="A363" s="5">
        <v>244</v>
      </c>
      <c r="B363" s="5">
        <v>5</v>
      </c>
    </row>
    <row r="364" spans="1:2" x14ac:dyDescent="0.25">
      <c r="A364" s="5">
        <v>244</v>
      </c>
      <c r="B364" s="5">
        <v>2</v>
      </c>
    </row>
    <row r="365" spans="1:2" x14ac:dyDescent="0.25">
      <c r="A365" s="5">
        <v>10</v>
      </c>
      <c r="B365" s="5">
        <v>1</v>
      </c>
    </row>
    <row r="366" spans="1:2" x14ac:dyDescent="0.25">
      <c r="A366" s="5">
        <v>375</v>
      </c>
      <c r="B366" s="5">
        <v>3</v>
      </c>
    </row>
    <row r="367" spans="1:2" x14ac:dyDescent="0.25">
      <c r="A367" s="5">
        <v>46</v>
      </c>
      <c r="B367" s="5">
        <v>5</v>
      </c>
    </row>
    <row r="368" spans="1:2" x14ac:dyDescent="0.25">
      <c r="A368" s="5">
        <v>49</v>
      </c>
      <c r="B368" s="5">
        <v>2</v>
      </c>
    </row>
    <row r="369" spans="1:2" x14ac:dyDescent="0.25">
      <c r="A369" s="5">
        <v>47</v>
      </c>
      <c r="B369" s="5">
        <v>2</v>
      </c>
    </row>
    <row r="370" spans="1:2" x14ac:dyDescent="0.25">
      <c r="A370" s="5">
        <v>355</v>
      </c>
      <c r="B370" s="5">
        <v>7</v>
      </c>
    </row>
    <row r="371" spans="1:2" x14ac:dyDescent="0.25">
      <c r="A371" s="5">
        <v>32</v>
      </c>
      <c r="B371" s="5">
        <v>5</v>
      </c>
    </row>
    <row r="372" spans="1:2" x14ac:dyDescent="0.25">
      <c r="A372" s="5">
        <v>243</v>
      </c>
      <c r="B372" s="5">
        <v>2</v>
      </c>
    </row>
    <row r="373" spans="1:2" x14ac:dyDescent="0.25">
      <c r="A373" s="5">
        <v>241</v>
      </c>
      <c r="B373" s="5">
        <v>4</v>
      </c>
    </row>
    <row r="374" spans="1:2" x14ac:dyDescent="0.25">
      <c r="A374" s="5">
        <v>47</v>
      </c>
      <c r="B374" s="5">
        <v>5</v>
      </c>
    </row>
    <row r="375" spans="1:2" x14ac:dyDescent="0.25">
      <c r="A375" s="5">
        <v>50</v>
      </c>
      <c r="B375" s="5">
        <v>6</v>
      </c>
    </row>
    <row r="376" spans="1:2" x14ac:dyDescent="0.25">
      <c r="A376" s="5">
        <v>15</v>
      </c>
      <c r="B376" s="5">
        <v>2</v>
      </c>
    </row>
    <row r="377" spans="1:2" x14ac:dyDescent="0.25">
      <c r="A377" s="5">
        <v>148</v>
      </c>
      <c r="B377" s="5">
        <v>3</v>
      </c>
    </row>
    <row r="378" spans="1:2" x14ac:dyDescent="0.25">
      <c r="A378" s="5">
        <v>299</v>
      </c>
      <c r="B378" s="5">
        <v>3</v>
      </c>
    </row>
    <row r="379" spans="1:2" x14ac:dyDescent="0.25">
      <c r="A379" s="5">
        <v>68</v>
      </c>
      <c r="B379" s="5">
        <v>1</v>
      </c>
    </row>
    <row r="380" spans="1:2" x14ac:dyDescent="0.25">
      <c r="A380" s="5">
        <v>52</v>
      </c>
      <c r="B380" s="5">
        <v>5</v>
      </c>
    </row>
    <row r="381" spans="1:2" x14ac:dyDescent="0.25">
      <c r="A381" s="5">
        <v>239</v>
      </c>
      <c r="B381" s="5">
        <v>5</v>
      </c>
    </row>
    <row r="382" spans="1:2" x14ac:dyDescent="0.25">
      <c r="A382" s="5">
        <v>27</v>
      </c>
      <c r="B382" s="5">
        <v>3</v>
      </c>
    </row>
    <row r="383" spans="1:2" x14ac:dyDescent="0.25">
      <c r="A383" s="5">
        <v>238</v>
      </c>
      <c r="B383" s="5">
        <v>2</v>
      </c>
    </row>
    <row r="384" spans="1:2" x14ac:dyDescent="0.25">
      <c r="A384" s="5">
        <v>48</v>
      </c>
      <c r="B384" s="5">
        <v>3</v>
      </c>
    </row>
    <row r="385" spans="1:2" x14ac:dyDescent="0.25">
      <c r="A385" s="5">
        <v>66</v>
      </c>
      <c r="B385" s="5">
        <v>3</v>
      </c>
    </row>
    <row r="386" spans="1:2" x14ac:dyDescent="0.25">
      <c r="A386" s="5">
        <v>53</v>
      </c>
      <c r="B386" s="5">
        <v>1</v>
      </c>
    </row>
    <row r="387" spans="1:2" x14ac:dyDescent="0.25">
      <c r="A387" s="5">
        <v>233</v>
      </c>
      <c r="B387" s="5">
        <v>5</v>
      </c>
    </row>
    <row r="388" spans="1:2" x14ac:dyDescent="0.25">
      <c r="A388" s="5">
        <v>53</v>
      </c>
      <c r="B388" s="5">
        <v>3</v>
      </c>
    </row>
    <row r="389" spans="1:2" x14ac:dyDescent="0.25">
      <c r="A389" s="5">
        <v>54</v>
      </c>
      <c r="B389" s="5">
        <v>4</v>
      </c>
    </row>
    <row r="390" spans="1:2" x14ac:dyDescent="0.25">
      <c r="A390" s="5">
        <v>352</v>
      </c>
      <c r="B390" s="5">
        <v>5</v>
      </c>
    </row>
    <row r="391" spans="1:2" x14ac:dyDescent="0.25">
      <c r="A391" s="5">
        <v>349</v>
      </c>
      <c r="B391" s="5">
        <v>7</v>
      </c>
    </row>
    <row r="392" spans="1:2" x14ac:dyDescent="0.25">
      <c r="A392" s="5">
        <v>341</v>
      </c>
      <c r="B392" s="5">
        <v>6</v>
      </c>
    </row>
    <row r="393" spans="1:2" x14ac:dyDescent="0.25">
      <c r="A393" s="5">
        <v>54</v>
      </c>
      <c r="B393" s="5">
        <v>3</v>
      </c>
    </row>
    <row r="394" spans="1:2" x14ac:dyDescent="0.25">
      <c r="A394" s="5">
        <v>57</v>
      </c>
      <c r="B394" s="5">
        <v>2</v>
      </c>
    </row>
    <row r="395" spans="1:2" x14ac:dyDescent="0.25">
      <c r="A395" s="5">
        <v>340</v>
      </c>
      <c r="B395" s="5">
        <v>7</v>
      </c>
    </row>
    <row r="396" spans="1:2" x14ac:dyDescent="0.25">
      <c r="A396" s="5">
        <v>227</v>
      </c>
      <c r="B396" s="5">
        <v>5</v>
      </c>
    </row>
    <row r="397" spans="1:2" x14ac:dyDescent="0.25">
      <c r="A397" s="5">
        <v>330</v>
      </c>
      <c r="B397" s="5">
        <v>1</v>
      </c>
    </row>
    <row r="398" spans="1:2" x14ac:dyDescent="0.25">
      <c r="A398" s="5">
        <v>216</v>
      </c>
      <c r="B398" s="5">
        <v>6</v>
      </c>
    </row>
    <row r="399" spans="1:2" x14ac:dyDescent="0.25">
      <c r="A399" s="5">
        <v>224</v>
      </c>
      <c r="B399" s="5">
        <v>3</v>
      </c>
    </row>
    <row r="400" spans="1:2" x14ac:dyDescent="0.25">
      <c r="A400" s="5">
        <v>55</v>
      </c>
      <c r="B400" s="5">
        <v>2</v>
      </c>
    </row>
    <row r="401" spans="1:2" x14ac:dyDescent="0.25">
      <c r="A401" s="5">
        <v>49</v>
      </c>
      <c r="B401" s="5">
        <v>1</v>
      </c>
    </row>
    <row r="402" spans="1:2" x14ac:dyDescent="0.25">
      <c r="A402" s="5">
        <v>224</v>
      </c>
      <c r="B402" s="5">
        <v>3</v>
      </c>
    </row>
    <row r="403" spans="1:2" x14ac:dyDescent="0.25">
      <c r="A403" s="5">
        <v>223</v>
      </c>
      <c r="B403" s="5">
        <v>2</v>
      </c>
    </row>
    <row r="404" spans="1:2" x14ac:dyDescent="0.25">
      <c r="A404" s="5">
        <v>324</v>
      </c>
      <c r="B404" s="5">
        <v>8</v>
      </c>
    </row>
    <row r="405" spans="1:2" x14ac:dyDescent="0.25">
      <c r="A405" s="5">
        <v>56</v>
      </c>
      <c r="B405" s="5">
        <v>2</v>
      </c>
    </row>
    <row r="406" spans="1:2" x14ac:dyDescent="0.25">
      <c r="A406" s="5">
        <v>223</v>
      </c>
      <c r="B406" s="5">
        <v>7</v>
      </c>
    </row>
    <row r="407" spans="1:2" x14ac:dyDescent="0.25">
      <c r="A407" s="5">
        <v>10</v>
      </c>
      <c r="B407" s="5">
        <v>2</v>
      </c>
    </row>
    <row r="408" spans="1:2" x14ac:dyDescent="0.25">
      <c r="A408" s="5">
        <v>57</v>
      </c>
      <c r="B408" s="5">
        <v>5</v>
      </c>
    </row>
    <row r="409" spans="1:2" x14ac:dyDescent="0.25">
      <c r="A409" s="5">
        <v>322</v>
      </c>
      <c r="B409" s="5">
        <v>4</v>
      </c>
    </row>
    <row r="410" spans="1:2" x14ac:dyDescent="0.25">
      <c r="A410" s="5">
        <v>219</v>
      </c>
      <c r="B410" s="5">
        <v>2</v>
      </c>
    </row>
    <row r="411" spans="1:2" x14ac:dyDescent="0.25">
      <c r="A411" s="5">
        <v>103</v>
      </c>
      <c r="B411" s="5">
        <v>7</v>
      </c>
    </row>
    <row r="412" spans="1:2" x14ac:dyDescent="0.25">
      <c r="A412" s="5">
        <v>47</v>
      </c>
      <c r="B412" s="5">
        <v>4</v>
      </c>
    </row>
    <row r="413" spans="1:2" x14ac:dyDescent="0.25">
      <c r="A413" s="5">
        <v>219</v>
      </c>
      <c r="B413" s="5">
        <v>1</v>
      </c>
    </row>
    <row r="414" spans="1:2" x14ac:dyDescent="0.25">
      <c r="A414" s="5">
        <v>57</v>
      </c>
      <c r="B414" s="5">
        <v>6</v>
      </c>
    </row>
    <row r="415" spans="1:2" x14ac:dyDescent="0.25">
      <c r="A415" s="5">
        <v>319</v>
      </c>
      <c r="B415" s="5">
        <v>6</v>
      </c>
    </row>
    <row r="416" spans="1:2" x14ac:dyDescent="0.25">
      <c r="A416" s="5">
        <v>315</v>
      </c>
      <c r="B416" s="5">
        <v>3</v>
      </c>
    </row>
    <row r="417" spans="1:2" x14ac:dyDescent="0.25">
      <c r="A417" s="5">
        <v>314</v>
      </c>
      <c r="B417" s="5">
        <v>3</v>
      </c>
    </row>
    <row r="418" spans="1:2" x14ac:dyDescent="0.25">
      <c r="A418" s="5">
        <v>311</v>
      </c>
      <c r="B418" s="5">
        <v>1</v>
      </c>
    </row>
    <row r="419" spans="1:2" x14ac:dyDescent="0.25">
      <c r="A419" s="5">
        <v>307</v>
      </c>
      <c r="B419" s="5">
        <v>3</v>
      </c>
    </row>
    <row r="420" spans="1:2" x14ac:dyDescent="0.25">
      <c r="A420" s="5">
        <v>294</v>
      </c>
      <c r="B420" s="5">
        <v>7</v>
      </c>
    </row>
    <row r="421" spans="1:2" x14ac:dyDescent="0.25">
      <c r="A421" s="5">
        <v>216</v>
      </c>
      <c r="B421" s="5">
        <v>3</v>
      </c>
    </row>
    <row r="422" spans="1:2" x14ac:dyDescent="0.25">
      <c r="A422" s="5">
        <v>58</v>
      </c>
      <c r="B422" s="5">
        <v>2</v>
      </c>
    </row>
    <row r="423" spans="1:2" x14ac:dyDescent="0.25">
      <c r="A423" s="5">
        <v>48</v>
      </c>
      <c r="B423" s="5">
        <v>4</v>
      </c>
    </row>
    <row r="424" spans="1:2" x14ac:dyDescent="0.25">
      <c r="A424" s="5">
        <v>54</v>
      </c>
      <c r="B424" s="5">
        <v>3</v>
      </c>
    </row>
    <row r="425" spans="1:2" x14ac:dyDescent="0.25">
      <c r="A425" s="5">
        <v>216</v>
      </c>
      <c r="B425" s="5">
        <v>4</v>
      </c>
    </row>
    <row r="426" spans="1:2" x14ac:dyDescent="0.25">
      <c r="A426" s="5">
        <v>215</v>
      </c>
      <c r="B426" s="5">
        <v>2</v>
      </c>
    </row>
    <row r="427" spans="1:2" x14ac:dyDescent="0.25">
      <c r="A427" s="5">
        <v>43</v>
      </c>
      <c r="B427" s="5">
        <v>3</v>
      </c>
    </row>
    <row r="428" spans="1:2" x14ac:dyDescent="0.25">
      <c r="A428" s="5">
        <v>136</v>
      </c>
      <c r="B428" s="5">
        <v>5</v>
      </c>
    </row>
    <row r="429" spans="1:2" x14ac:dyDescent="0.25">
      <c r="A429" s="5">
        <v>59</v>
      </c>
      <c r="B429" s="5">
        <v>3</v>
      </c>
    </row>
    <row r="430" spans="1:2" x14ac:dyDescent="0.25">
      <c r="A430" s="5">
        <v>213</v>
      </c>
      <c r="B430" s="5">
        <v>14</v>
      </c>
    </row>
    <row r="431" spans="1:2" x14ac:dyDescent="0.25">
      <c r="A431" s="5">
        <v>59</v>
      </c>
      <c r="B431" s="5">
        <v>2</v>
      </c>
    </row>
    <row r="432" spans="1:2" x14ac:dyDescent="0.25">
      <c r="A432" s="5">
        <v>55</v>
      </c>
      <c r="B432" s="5">
        <v>3</v>
      </c>
    </row>
    <row r="433" spans="1:2" x14ac:dyDescent="0.25">
      <c r="A433" s="5">
        <v>294</v>
      </c>
      <c r="B433" s="5">
        <v>9</v>
      </c>
    </row>
    <row r="434" spans="1:2" x14ac:dyDescent="0.25">
      <c r="A434" s="5">
        <v>210</v>
      </c>
      <c r="B434" s="5">
        <v>2</v>
      </c>
    </row>
    <row r="435" spans="1:2" x14ac:dyDescent="0.25">
      <c r="A435" s="5">
        <v>59</v>
      </c>
      <c r="B435" s="5">
        <v>6</v>
      </c>
    </row>
    <row r="436" spans="1:2" x14ac:dyDescent="0.25">
      <c r="A436" s="5">
        <v>396</v>
      </c>
      <c r="B436" s="5">
        <v>9</v>
      </c>
    </row>
    <row r="437" spans="1:2" x14ac:dyDescent="0.25">
      <c r="A437" s="5">
        <v>284</v>
      </c>
      <c r="B437" s="5">
        <v>2</v>
      </c>
    </row>
    <row r="438" spans="1:2" x14ac:dyDescent="0.25">
      <c r="A438" s="5">
        <v>276</v>
      </c>
      <c r="B438" s="5">
        <v>5</v>
      </c>
    </row>
    <row r="439" spans="1:2" x14ac:dyDescent="0.25">
      <c r="A439" s="5">
        <v>23</v>
      </c>
      <c r="B439" s="5">
        <v>2</v>
      </c>
    </row>
    <row r="440" spans="1:2" x14ac:dyDescent="0.25">
      <c r="A440" s="5">
        <v>209</v>
      </c>
      <c r="B440" s="5">
        <v>4</v>
      </c>
    </row>
    <row r="441" spans="1:2" x14ac:dyDescent="0.25">
      <c r="A441" s="5">
        <v>50</v>
      </c>
      <c r="B441" s="5">
        <v>5</v>
      </c>
    </row>
    <row r="442" spans="1:2" x14ac:dyDescent="0.25">
      <c r="A442" s="5">
        <v>57</v>
      </c>
      <c r="B442" s="5">
        <v>2</v>
      </c>
    </row>
    <row r="443" spans="1:2" x14ac:dyDescent="0.25">
      <c r="A443" s="5">
        <v>276</v>
      </c>
      <c r="B443" s="5">
        <v>2</v>
      </c>
    </row>
    <row r="444" spans="1:2" x14ac:dyDescent="0.25">
      <c r="A444" s="5">
        <v>268</v>
      </c>
      <c r="B444" s="5">
        <v>2</v>
      </c>
    </row>
    <row r="445" spans="1:2" x14ac:dyDescent="0.25">
      <c r="A445" s="5">
        <v>269</v>
      </c>
      <c r="B445" s="5">
        <v>3</v>
      </c>
    </row>
    <row r="446" spans="1:2" x14ac:dyDescent="0.25">
      <c r="A446" s="5">
        <v>209</v>
      </c>
      <c r="B446" s="5">
        <v>1</v>
      </c>
    </row>
    <row r="447" spans="1:2" x14ac:dyDescent="0.25">
      <c r="A447" s="5">
        <v>60</v>
      </c>
      <c r="B447" s="5">
        <v>4</v>
      </c>
    </row>
    <row r="448" spans="1:2" x14ac:dyDescent="0.25">
      <c r="A448" s="5">
        <v>269</v>
      </c>
      <c r="B448" s="5">
        <v>2</v>
      </c>
    </row>
    <row r="449" spans="1:2" x14ac:dyDescent="0.25">
      <c r="A449" s="5">
        <v>208</v>
      </c>
      <c r="B449" s="5">
        <v>2</v>
      </c>
    </row>
    <row r="450" spans="1:2" x14ac:dyDescent="0.25">
      <c r="A450" s="5">
        <v>27</v>
      </c>
      <c r="B450" s="5">
        <v>2</v>
      </c>
    </row>
    <row r="451" spans="1:2" x14ac:dyDescent="0.25">
      <c r="A451" s="5">
        <v>206</v>
      </c>
      <c r="B451" s="5">
        <v>3</v>
      </c>
    </row>
    <row r="452" spans="1:2" x14ac:dyDescent="0.25">
      <c r="A452" s="5">
        <v>61</v>
      </c>
      <c r="B452" s="5">
        <v>4</v>
      </c>
    </row>
    <row r="453" spans="1:2" x14ac:dyDescent="0.25">
      <c r="A453" s="5">
        <v>212</v>
      </c>
      <c r="B453" s="5">
        <v>2</v>
      </c>
    </row>
    <row r="454" spans="1:2" x14ac:dyDescent="0.25">
      <c r="A454" s="5">
        <v>262</v>
      </c>
      <c r="B454" s="5">
        <v>6</v>
      </c>
    </row>
    <row r="455" spans="1:2" x14ac:dyDescent="0.25">
      <c r="A455" s="5">
        <v>204</v>
      </c>
      <c r="B455" s="5">
        <v>3</v>
      </c>
    </row>
    <row r="456" spans="1:2" x14ac:dyDescent="0.25">
      <c r="A456" s="5">
        <v>59</v>
      </c>
      <c r="B456" s="5">
        <v>7</v>
      </c>
    </row>
    <row r="457" spans="1:2" x14ac:dyDescent="0.25">
      <c r="A457" s="5">
        <v>199</v>
      </c>
      <c r="B457" s="5">
        <v>2</v>
      </c>
    </row>
    <row r="458" spans="1:2" x14ac:dyDescent="0.25">
      <c r="A458" s="5">
        <v>59</v>
      </c>
      <c r="B458" s="5">
        <v>1</v>
      </c>
    </row>
    <row r="459" spans="1:2" x14ac:dyDescent="0.25">
      <c r="A459" s="5">
        <v>45</v>
      </c>
      <c r="B459" s="5">
        <v>3</v>
      </c>
    </row>
    <row r="460" spans="1:2" x14ac:dyDescent="0.25">
      <c r="A460" s="5">
        <v>211</v>
      </c>
      <c r="B460" s="5">
        <v>8</v>
      </c>
    </row>
    <row r="461" spans="1:2" x14ac:dyDescent="0.25">
      <c r="A461" s="5">
        <v>65</v>
      </c>
      <c r="B461" s="5">
        <v>2</v>
      </c>
    </row>
    <row r="462" spans="1:2" x14ac:dyDescent="0.25">
      <c r="A462" s="5">
        <v>25</v>
      </c>
      <c r="B462" s="5">
        <v>4</v>
      </c>
    </row>
    <row r="463" spans="1:2" x14ac:dyDescent="0.25">
      <c r="A463" s="5">
        <v>196</v>
      </c>
      <c r="B463" s="5">
        <v>5</v>
      </c>
    </row>
    <row r="464" spans="1:2" x14ac:dyDescent="0.25">
      <c r="A464" s="5">
        <v>261</v>
      </c>
      <c r="B464" s="5">
        <v>6</v>
      </c>
    </row>
    <row r="465" spans="1:2" x14ac:dyDescent="0.25">
      <c r="A465" s="5">
        <v>195</v>
      </c>
      <c r="B465" s="5">
        <v>5</v>
      </c>
    </row>
    <row r="466" spans="1:2" x14ac:dyDescent="0.25">
      <c r="A466" s="5">
        <v>192</v>
      </c>
      <c r="B466" s="5">
        <v>3</v>
      </c>
    </row>
    <row r="467" spans="1:2" x14ac:dyDescent="0.25">
      <c r="A467" s="5">
        <v>189</v>
      </c>
      <c r="B467" s="5">
        <v>7</v>
      </c>
    </row>
    <row r="468" spans="1:2" x14ac:dyDescent="0.25">
      <c r="A468" s="5">
        <v>32</v>
      </c>
      <c r="B468" s="5">
        <v>2</v>
      </c>
    </row>
    <row r="469" spans="1:2" x14ac:dyDescent="0.25">
      <c r="A469" s="5">
        <v>188</v>
      </c>
      <c r="B469" s="5">
        <v>7</v>
      </c>
    </row>
    <row r="470" spans="1:2" x14ac:dyDescent="0.25">
      <c r="A470" s="5">
        <v>73</v>
      </c>
      <c r="B470" s="5">
        <v>3</v>
      </c>
    </row>
    <row r="471" spans="1:2" x14ac:dyDescent="0.25">
      <c r="A471" s="5">
        <v>259</v>
      </c>
      <c r="B471" s="5">
        <v>5</v>
      </c>
    </row>
    <row r="472" spans="1:2" x14ac:dyDescent="0.25">
      <c r="A472" s="5">
        <v>187</v>
      </c>
      <c r="B472" s="5">
        <v>3</v>
      </c>
    </row>
    <row r="473" spans="1:2" x14ac:dyDescent="0.25">
      <c r="A473" s="5">
        <v>26</v>
      </c>
      <c r="B473" s="5">
        <v>2</v>
      </c>
    </row>
    <row r="474" spans="1:2" x14ac:dyDescent="0.25">
      <c r="A474" s="5">
        <v>185</v>
      </c>
      <c r="B474" s="5">
        <v>6</v>
      </c>
    </row>
    <row r="475" spans="1:2" x14ac:dyDescent="0.25">
      <c r="A475" s="5">
        <v>248</v>
      </c>
      <c r="B475" s="5">
        <v>2</v>
      </c>
    </row>
    <row r="476" spans="1:2" x14ac:dyDescent="0.25">
      <c r="A476" s="5">
        <v>67</v>
      </c>
      <c r="B476" s="5">
        <v>4</v>
      </c>
    </row>
    <row r="477" spans="1:2" x14ac:dyDescent="0.25">
      <c r="A477" s="5">
        <v>248</v>
      </c>
      <c r="B477" s="5">
        <v>3</v>
      </c>
    </row>
    <row r="478" spans="1:2" x14ac:dyDescent="0.25">
      <c r="A478" s="5">
        <v>246</v>
      </c>
      <c r="B478" s="5">
        <v>2</v>
      </c>
    </row>
    <row r="479" spans="1:2" x14ac:dyDescent="0.25">
      <c r="A479" s="5">
        <v>179</v>
      </c>
      <c r="B479" s="5">
        <v>5</v>
      </c>
    </row>
    <row r="480" spans="1:2" x14ac:dyDescent="0.25">
      <c r="A480" s="5">
        <v>176</v>
      </c>
      <c r="B480" s="5">
        <v>5</v>
      </c>
    </row>
    <row r="481" spans="1:2" x14ac:dyDescent="0.25">
      <c r="A481" s="5">
        <v>176</v>
      </c>
      <c r="B481" s="5">
        <v>5</v>
      </c>
    </row>
    <row r="482" spans="1:2" x14ac:dyDescent="0.25">
      <c r="A482" s="5">
        <v>68</v>
      </c>
      <c r="B482" s="5">
        <v>2</v>
      </c>
    </row>
    <row r="483" spans="1:2" x14ac:dyDescent="0.25">
      <c r="A483" s="5">
        <v>176</v>
      </c>
      <c r="B483" s="5">
        <v>6</v>
      </c>
    </row>
    <row r="484" spans="1:2" x14ac:dyDescent="0.25">
      <c r="A484" s="5">
        <v>88</v>
      </c>
      <c r="B484" s="5">
        <v>7</v>
      </c>
    </row>
    <row r="485" spans="1:2" x14ac:dyDescent="0.25">
      <c r="A485" s="5">
        <v>68</v>
      </c>
      <c r="B485" s="5">
        <v>5</v>
      </c>
    </row>
    <row r="486" spans="1:2" x14ac:dyDescent="0.25">
      <c r="A486" s="5">
        <v>231</v>
      </c>
      <c r="B486" s="5">
        <v>2</v>
      </c>
    </row>
    <row r="487" spans="1:2" x14ac:dyDescent="0.25">
      <c r="A487" s="5">
        <v>62</v>
      </c>
      <c r="B487" s="5">
        <v>2</v>
      </c>
    </row>
    <row r="488" spans="1:2" x14ac:dyDescent="0.25">
      <c r="A488" s="5">
        <v>175</v>
      </c>
      <c r="B488" s="5">
        <v>3</v>
      </c>
    </row>
    <row r="489" spans="1:2" x14ac:dyDescent="0.25">
      <c r="A489" s="5">
        <v>71</v>
      </c>
      <c r="B489" s="5">
        <v>5</v>
      </c>
    </row>
    <row r="490" spans="1:2" x14ac:dyDescent="0.25">
      <c r="A490" s="5">
        <v>174</v>
      </c>
      <c r="B490" s="5">
        <v>3</v>
      </c>
    </row>
    <row r="491" spans="1:2" x14ac:dyDescent="0.25">
      <c r="A491" s="5">
        <v>173</v>
      </c>
      <c r="B491" s="5">
        <v>3</v>
      </c>
    </row>
    <row r="492" spans="1:2" x14ac:dyDescent="0.25">
      <c r="A492" s="5">
        <v>171</v>
      </c>
      <c r="B492" s="5">
        <v>2</v>
      </c>
    </row>
    <row r="493" spans="1:2" x14ac:dyDescent="0.25">
      <c r="A493" s="5">
        <v>268</v>
      </c>
      <c r="B493" s="5">
        <v>3</v>
      </c>
    </row>
    <row r="494" spans="1:2" x14ac:dyDescent="0.25">
      <c r="A494" s="5">
        <v>71</v>
      </c>
      <c r="B494" s="5">
        <v>3</v>
      </c>
    </row>
    <row r="495" spans="1:2" x14ac:dyDescent="0.25">
      <c r="A495" s="5">
        <v>29</v>
      </c>
      <c r="B495" s="5">
        <v>4</v>
      </c>
    </row>
    <row r="496" spans="1:2" x14ac:dyDescent="0.25">
      <c r="A496" s="5">
        <v>65</v>
      </c>
      <c r="B496" s="5">
        <v>2</v>
      </c>
    </row>
    <row r="497" spans="1:2" x14ac:dyDescent="0.25">
      <c r="A497" s="5">
        <v>72</v>
      </c>
      <c r="B497" s="5">
        <v>7</v>
      </c>
    </row>
    <row r="498" spans="1:2" x14ac:dyDescent="0.25">
      <c r="A498" s="5">
        <v>168</v>
      </c>
      <c r="B498" s="5">
        <v>2</v>
      </c>
    </row>
    <row r="499" spans="1:2" x14ac:dyDescent="0.25">
      <c r="A499" s="5">
        <v>165</v>
      </c>
      <c r="B499" s="5">
        <v>3</v>
      </c>
    </row>
    <row r="500" spans="1:2" x14ac:dyDescent="0.25">
      <c r="A500" s="5">
        <v>74</v>
      </c>
      <c r="B500" s="5">
        <v>2</v>
      </c>
    </row>
    <row r="501" spans="1:2" x14ac:dyDescent="0.25">
      <c r="A501" s="5">
        <v>89</v>
      </c>
      <c r="B501" s="5">
        <v>2</v>
      </c>
    </row>
    <row r="502" spans="1:2" x14ac:dyDescent="0.25">
      <c r="A502" s="5">
        <v>228</v>
      </c>
      <c r="B502" s="5">
        <v>3</v>
      </c>
    </row>
    <row r="503" spans="1:2" x14ac:dyDescent="0.25">
      <c r="A503" s="5">
        <v>119</v>
      </c>
      <c r="B503" s="5">
        <v>4</v>
      </c>
    </row>
    <row r="504" spans="1:2" x14ac:dyDescent="0.25">
      <c r="A504" s="5">
        <v>75</v>
      </c>
      <c r="B504" s="5">
        <v>3</v>
      </c>
    </row>
    <row r="505" spans="1:2" x14ac:dyDescent="0.25">
      <c r="A505" s="5">
        <v>67</v>
      </c>
      <c r="B505" s="5">
        <v>4</v>
      </c>
    </row>
    <row r="506" spans="1:2" x14ac:dyDescent="0.25">
      <c r="A506" s="5">
        <v>7</v>
      </c>
      <c r="B506" s="5">
        <v>1</v>
      </c>
    </row>
    <row r="507" spans="1:2" x14ac:dyDescent="0.25">
      <c r="A507" s="5">
        <v>222</v>
      </c>
      <c r="B507" s="5">
        <v>5</v>
      </c>
    </row>
    <row r="508" spans="1:2" x14ac:dyDescent="0.25">
      <c r="A508" s="5">
        <v>219</v>
      </c>
      <c r="B508" s="5">
        <v>4</v>
      </c>
    </row>
    <row r="509" spans="1:2" x14ac:dyDescent="0.25">
      <c r="A509" s="5">
        <v>42</v>
      </c>
      <c r="B509" s="5">
        <v>2</v>
      </c>
    </row>
    <row r="510" spans="1:2" x14ac:dyDescent="0.25">
      <c r="A510" s="5">
        <v>216</v>
      </c>
      <c r="B510" s="5">
        <v>3</v>
      </c>
    </row>
    <row r="511" spans="1:2" x14ac:dyDescent="0.25">
      <c r="A511" s="5">
        <v>47</v>
      </c>
      <c r="B511" s="5">
        <v>2</v>
      </c>
    </row>
    <row r="512" spans="1:2" x14ac:dyDescent="0.25">
      <c r="A512" s="5">
        <v>68</v>
      </c>
      <c r="B512" s="5">
        <v>5</v>
      </c>
    </row>
    <row r="513" spans="1:2" x14ac:dyDescent="0.25">
      <c r="A513" s="5">
        <v>74</v>
      </c>
      <c r="B513" s="5">
        <v>2</v>
      </c>
    </row>
    <row r="514" spans="1:2" x14ac:dyDescent="0.25">
      <c r="A514" s="5">
        <v>165</v>
      </c>
      <c r="B514" s="5">
        <v>3</v>
      </c>
    </row>
    <row r="515" spans="1:2" x14ac:dyDescent="0.25">
      <c r="A515" s="5">
        <v>101</v>
      </c>
      <c r="B515" s="5">
        <v>2</v>
      </c>
    </row>
    <row r="516" spans="1:2" x14ac:dyDescent="0.25">
      <c r="A516" s="5">
        <v>162</v>
      </c>
      <c r="B516" s="5">
        <v>2</v>
      </c>
    </row>
    <row r="517" spans="1:2" x14ac:dyDescent="0.25">
      <c r="A517" s="5">
        <v>20</v>
      </c>
      <c r="B517" s="5">
        <v>1</v>
      </c>
    </row>
    <row r="518" spans="1:2" x14ac:dyDescent="0.25">
      <c r="A518" s="5">
        <v>162</v>
      </c>
      <c r="B518" s="5">
        <v>3</v>
      </c>
    </row>
    <row r="519" spans="1:2" x14ac:dyDescent="0.25">
      <c r="A519" s="5">
        <v>229</v>
      </c>
      <c r="B519" s="5">
        <v>2</v>
      </c>
    </row>
    <row r="520" spans="1:2" x14ac:dyDescent="0.25">
      <c r="A520" s="5">
        <v>27</v>
      </c>
      <c r="B520" s="5">
        <v>2</v>
      </c>
    </row>
    <row r="521" spans="1:2" x14ac:dyDescent="0.25">
      <c r="A521" s="5">
        <v>685</v>
      </c>
      <c r="B521" s="5">
        <v>7</v>
      </c>
    </row>
    <row r="522" spans="1:2" x14ac:dyDescent="0.25">
      <c r="A522" s="5">
        <v>75</v>
      </c>
      <c r="B522" s="5">
        <v>5</v>
      </c>
    </row>
    <row r="523" spans="1:2" x14ac:dyDescent="0.25">
      <c r="A523" s="5">
        <v>161</v>
      </c>
      <c r="B523" s="5">
        <v>8</v>
      </c>
    </row>
    <row r="524" spans="1:2" x14ac:dyDescent="0.25">
      <c r="A524" s="5">
        <v>71</v>
      </c>
      <c r="B524" s="5">
        <v>3</v>
      </c>
    </row>
    <row r="525" spans="1:2" x14ac:dyDescent="0.25">
      <c r="A525" s="5">
        <v>211</v>
      </c>
      <c r="B525" s="5">
        <v>2</v>
      </c>
    </row>
    <row r="526" spans="1:2" x14ac:dyDescent="0.25">
      <c r="A526" s="5">
        <v>79</v>
      </c>
      <c r="B526" s="5">
        <v>6</v>
      </c>
    </row>
    <row r="527" spans="1:2" x14ac:dyDescent="0.25">
      <c r="A527" s="5">
        <v>32</v>
      </c>
      <c r="B527" s="5">
        <v>5</v>
      </c>
    </row>
    <row r="528" spans="1:2" x14ac:dyDescent="0.25">
      <c r="A528" s="5">
        <v>161</v>
      </c>
      <c r="B528" s="5">
        <v>3</v>
      </c>
    </row>
    <row r="529" spans="1:2" x14ac:dyDescent="0.25">
      <c r="A529" s="5">
        <v>159</v>
      </c>
      <c r="B529" s="5">
        <v>1</v>
      </c>
    </row>
    <row r="530" spans="1:2" x14ac:dyDescent="0.25">
      <c r="A530" s="5">
        <v>210</v>
      </c>
      <c r="B530" s="5">
        <v>4</v>
      </c>
    </row>
    <row r="531" spans="1:2" x14ac:dyDescent="0.25">
      <c r="A531" s="5">
        <v>79</v>
      </c>
      <c r="B531" s="5">
        <v>2</v>
      </c>
    </row>
    <row r="532" spans="1:2" x14ac:dyDescent="0.25">
      <c r="A532" s="5">
        <v>207</v>
      </c>
      <c r="B532" s="5">
        <v>3</v>
      </c>
    </row>
    <row r="533" spans="1:2" x14ac:dyDescent="0.25">
      <c r="A533" s="5">
        <v>36</v>
      </c>
      <c r="B533" s="5">
        <v>4</v>
      </c>
    </row>
    <row r="534" spans="1:2" x14ac:dyDescent="0.25">
      <c r="A534" s="5">
        <v>206</v>
      </c>
      <c r="B534" s="5">
        <v>1</v>
      </c>
    </row>
    <row r="535" spans="1:2" x14ac:dyDescent="0.25">
      <c r="A535" s="5">
        <v>46</v>
      </c>
      <c r="B535" s="5">
        <v>4</v>
      </c>
    </row>
    <row r="536" spans="1:2" x14ac:dyDescent="0.25">
      <c r="A536" s="5">
        <v>156</v>
      </c>
      <c r="B536" s="5">
        <v>3</v>
      </c>
    </row>
    <row r="537" spans="1:2" x14ac:dyDescent="0.25">
      <c r="A537" s="5">
        <v>154</v>
      </c>
      <c r="B537" s="5">
        <v>3</v>
      </c>
    </row>
    <row r="538" spans="1:2" x14ac:dyDescent="0.25">
      <c r="A538" s="5">
        <v>36</v>
      </c>
      <c r="B538" s="5">
        <v>3</v>
      </c>
    </row>
    <row r="539" spans="1:2" x14ac:dyDescent="0.25">
      <c r="A539" s="5">
        <v>206</v>
      </c>
      <c r="B539" s="5">
        <v>4</v>
      </c>
    </row>
    <row r="540" spans="1:2" x14ac:dyDescent="0.25">
      <c r="A540" s="5">
        <v>200</v>
      </c>
      <c r="B540" s="5">
        <v>4</v>
      </c>
    </row>
    <row r="541" spans="1:2" x14ac:dyDescent="0.25">
      <c r="A541" s="5">
        <v>199</v>
      </c>
      <c r="B541" s="5">
        <v>1</v>
      </c>
    </row>
    <row r="542" spans="1:2" x14ac:dyDescent="0.25">
      <c r="A542" s="5">
        <v>154</v>
      </c>
      <c r="B542" s="5">
        <v>7</v>
      </c>
    </row>
    <row r="543" spans="1:2" x14ac:dyDescent="0.25">
      <c r="A543" s="5">
        <v>152</v>
      </c>
      <c r="B543" s="5">
        <v>3</v>
      </c>
    </row>
    <row r="544" spans="1:2" x14ac:dyDescent="0.25">
      <c r="A544" s="5">
        <v>152</v>
      </c>
      <c r="B544" s="5">
        <v>6</v>
      </c>
    </row>
    <row r="545" spans="1:2" x14ac:dyDescent="0.25">
      <c r="A545" s="5">
        <v>122</v>
      </c>
      <c r="B545" s="5">
        <v>3</v>
      </c>
    </row>
    <row r="546" spans="1:2" x14ac:dyDescent="0.25">
      <c r="A546" s="5">
        <v>149</v>
      </c>
      <c r="B546" s="5">
        <v>6</v>
      </c>
    </row>
    <row r="547" spans="1:2" x14ac:dyDescent="0.25">
      <c r="A547" s="5">
        <v>149</v>
      </c>
      <c r="B547" s="5">
        <v>4</v>
      </c>
    </row>
    <row r="548" spans="1:2" x14ac:dyDescent="0.25">
      <c r="A548" s="5">
        <v>197</v>
      </c>
      <c r="B548" s="5">
        <v>4</v>
      </c>
    </row>
    <row r="549" spans="1:2" x14ac:dyDescent="0.25">
      <c r="A549" s="5">
        <v>76</v>
      </c>
      <c r="B549" s="5">
        <v>3</v>
      </c>
    </row>
    <row r="550" spans="1:2" x14ac:dyDescent="0.25">
      <c r="A550" s="5">
        <v>221</v>
      </c>
      <c r="B550" s="5">
        <v>2</v>
      </c>
    </row>
    <row r="551" spans="1:2" x14ac:dyDescent="0.25">
      <c r="A551" s="5">
        <v>79</v>
      </c>
      <c r="B551" s="5">
        <v>3</v>
      </c>
    </row>
    <row r="552" spans="1:2" x14ac:dyDescent="0.25">
      <c r="A552" s="5">
        <v>45</v>
      </c>
      <c r="B552" s="5">
        <v>7</v>
      </c>
    </row>
    <row r="553" spans="1:2" x14ac:dyDescent="0.25">
      <c r="A553" s="5">
        <v>149</v>
      </c>
      <c r="B553" s="5">
        <v>1</v>
      </c>
    </row>
    <row r="554" spans="1:2" x14ac:dyDescent="0.25">
      <c r="A554" s="5">
        <v>80</v>
      </c>
      <c r="B554" s="5">
        <v>3</v>
      </c>
    </row>
    <row r="555" spans="1:2" x14ac:dyDescent="0.25">
      <c r="A555" s="5">
        <v>195</v>
      </c>
      <c r="B555" s="5">
        <v>9</v>
      </c>
    </row>
    <row r="556" spans="1:2" x14ac:dyDescent="0.25">
      <c r="A556" s="5">
        <v>19</v>
      </c>
      <c r="B556" s="5">
        <v>3</v>
      </c>
    </row>
    <row r="557" spans="1:2" x14ac:dyDescent="0.25">
      <c r="A557" s="5">
        <v>81</v>
      </c>
      <c r="B557" s="5">
        <v>3</v>
      </c>
    </row>
    <row r="558" spans="1:2" x14ac:dyDescent="0.25">
      <c r="A558" s="5">
        <v>83</v>
      </c>
      <c r="B558" s="5">
        <v>5</v>
      </c>
    </row>
    <row r="559" spans="1:2" x14ac:dyDescent="0.25">
      <c r="A559" s="5">
        <v>149</v>
      </c>
      <c r="B559" s="5">
        <v>4</v>
      </c>
    </row>
    <row r="560" spans="1:2" x14ac:dyDescent="0.25">
      <c r="A560" s="5">
        <v>193</v>
      </c>
      <c r="B560" s="5">
        <v>1</v>
      </c>
    </row>
    <row r="561" spans="1:2" x14ac:dyDescent="0.25">
      <c r="A561" s="5">
        <v>85</v>
      </c>
      <c r="B561" s="5">
        <v>10</v>
      </c>
    </row>
    <row r="562" spans="1:2" x14ac:dyDescent="0.25">
      <c r="A562" s="5">
        <v>44</v>
      </c>
      <c r="B562" s="5">
        <v>5</v>
      </c>
    </row>
    <row r="563" spans="1:2" x14ac:dyDescent="0.25">
      <c r="A563" s="5">
        <v>149</v>
      </c>
      <c r="B563" s="5">
        <v>2</v>
      </c>
    </row>
    <row r="564" spans="1:2" x14ac:dyDescent="0.25">
      <c r="A564" s="5">
        <v>26</v>
      </c>
      <c r="B564" s="5">
        <v>2</v>
      </c>
    </row>
    <row r="565" spans="1:2" x14ac:dyDescent="0.25">
      <c r="A565" s="5">
        <v>86</v>
      </c>
      <c r="B565" s="5">
        <v>4</v>
      </c>
    </row>
    <row r="566" spans="1:2" x14ac:dyDescent="0.25">
      <c r="A566" s="5">
        <v>86</v>
      </c>
      <c r="B566" s="5">
        <v>2</v>
      </c>
    </row>
    <row r="567" spans="1:2" x14ac:dyDescent="0.25">
      <c r="A567" s="5">
        <v>79</v>
      </c>
      <c r="B567" s="5">
        <v>3</v>
      </c>
    </row>
    <row r="568" spans="1:2" x14ac:dyDescent="0.25">
      <c r="A568" s="5">
        <v>193</v>
      </c>
      <c r="B568" s="5">
        <v>3</v>
      </c>
    </row>
    <row r="569" spans="1:2" x14ac:dyDescent="0.25">
      <c r="A569" s="5">
        <v>148</v>
      </c>
      <c r="B569" s="5">
        <v>3</v>
      </c>
    </row>
    <row r="570" spans="1:2" x14ac:dyDescent="0.25">
      <c r="A570" s="5">
        <v>70</v>
      </c>
      <c r="B570" s="5">
        <v>2</v>
      </c>
    </row>
    <row r="571" spans="1:2" x14ac:dyDescent="0.25">
      <c r="A571" s="5">
        <v>148</v>
      </c>
      <c r="B571" s="5">
        <v>3</v>
      </c>
    </row>
    <row r="572" spans="1:2" x14ac:dyDescent="0.25">
      <c r="A572" s="5">
        <v>190</v>
      </c>
      <c r="B572" s="5">
        <v>9</v>
      </c>
    </row>
    <row r="573" spans="1:2" x14ac:dyDescent="0.25">
      <c r="A573" s="5">
        <v>52</v>
      </c>
      <c r="B573" s="5">
        <v>2</v>
      </c>
    </row>
    <row r="574" spans="1:2" x14ac:dyDescent="0.25">
      <c r="A574" s="5">
        <v>147</v>
      </c>
      <c r="B574" s="5">
        <v>3</v>
      </c>
    </row>
    <row r="575" spans="1:2" x14ac:dyDescent="0.25">
      <c r="A575" s="5">
        <v>190</v>
      </c>
      <c r="B575" s="5">
        <v>8</v>
      </c>
    </row>
    <row r="576" spans="1:2" x14ac:dyDescent="0.25">
      <c r="A576" s="5">
        <v>80</v>
      </c>
      <c r="B576" s="5">
        <v>4</v>
      </c>
    </row>
    <row r="577" spans="1:2" x14ac:dyDescent="0.25">
      <c r="A577" s="5">
        <v>147</v>
      </c>
      <c r="B577" s="5">
        <v>3</v>
      </c>
    </row>
    <row r="578" spans="1:2" x14ac:dyDescent="0.25">
      <c r="A578" s="5">
        <v>66</v>
      </c>
      <c r="B578" s="5">
        <v>3</v>
      </c>
    </row>
    <row r="579" spans="1:2" x14ac:dyDescent="0.25">
      <c r="A579" s="5">
        <v>86</v>
      </c>
      <c r="B579" s="5">
        <v>2</v>
      </c>
    </row>
    <row r="580" spans="1:2" x14ac:dyDescent="0.25">
      <c r="A580" s="5">
        <v>88</v>
      </c>
      <c r="B580" s="5">
        <v>2</v>
      </c>
    </row>
    <row r="581" spans="1:2" x14ac:dyDescent="0.25">
      <c r="A581" s="5">
        <v>188</v>
      </c>
      <c r="B581" s="5">
        <v>2</v>
      </c>
    </row>
    <row r="582" spans="1:2" x14ac:dyDescent="0.25">
      <c r="A582" s="5">
        <v>89</v>
      </c>
      <c r="B582" s="5">
        <v>2</v>
      </c>
    </row>
    <row r="583" spans="1:2" x14ac:dyDescent="0.25">
      <c r="A583" s="5">
        <v>146</v>
      </c>
      <c r="B583" s="5">
        <v>5</v>
      </c>
    </row>
    <row r="584" spans="1:2" x14ac:dyDescent="0.25">
      <c r="A584" s="5">
        <v>143</v>
      </c>
      <c r="B584" s="5">
        <v>1</v>
      </c>
    </row>
    <row r="585" spans="1:2" x14ac:dyDescent="0.25">
      <c r="A585" s="5">
        <v>25</v>
      </c>
      <c r="B585" s="5">
        <v>4</v>
      </c>
    </row>
    <row r="586" spans="1:2" x14ac:dyDescent="0.25">
      <c r="A586" s="5">
        <v>30</v>
      </c>
      <c r="B586" s="5">
        <v>3</v>
      </c>
    </row>
    <row r="587" spans="1:2" x14ac:dyDescent="0.25">
      <c r="A587" s="5">
        <v>140</v>
      </c>
      <c r="B587" s="5">
        <v>4</v>
      </c>
    </row>
    <row r="588" spans="1:2" x14ac:dyDescent="0.25">
      <c r="A588" s="5">
        <v>83</v>
      </c>
      <c r="B588" s="5">
        <v>1</v>
      </c>
    </row>
    <row r="589" spans="1:2" x14ac:dyDescent="0.25">
      <c r="A589" s="5">
        <v>140</v>
      </c>
      <c r="B589" s="5">
        <v>5</v>
      </c>
    </row>
    <row r="590" spans="1:2" x14ac:dyDescent="0.25">
      <c r="A590" s="5">
        <v>28</v>
      </c>
      <c r="B590" s="5">
        <v>4</v>
      </c>
    </row>
    <row r="591" spans="1:2" x14ac:dyDescent="0.25">
      <c r="A591" s="5">
        <v>139</v>
      </c>
      <c r="B591" s="5">
        <v>3</v>
      </c>
    </row>
    <row r="592" spans="1:2" x14ac:dyDescent="0.25">
      <c r="A592" s="5">
        <v>30</v>
      </c>
      <c r="B592" s="5">
        <v>3</v>
      </c>
    </row>
    <row r="593" spans="1:2" x14ac:dyDescent="0.25">
      <c r="A593" s="5">
        <v>89</v>
      </c>
      <c r="B593" s="5">
        <v>3</v>
      </c>
    </row>
    <row r="594" spans="1:2" x14ac:dyDescent="0.25">
      <c r="A594" s="5">
        <v>187</v>
      </c>
      <c r="B594" s="5">
        <v>4</v>
      </c>
    </row>
    <row r="595" spans="1:2" x14ac:dyDescent="0.25">
      <c r="A595" s="5">
        <v>139</v>
      </c>
      <c r="B595" s="5">
        <v>3</v>
      </c>
    </row>
    <row r="596" spans="1:2" x14ac:dyDescent="0.25">
      <c r="A596" s="5">
        <v>437</v>
      </c>
      <c r="B596" s="5">
        <v>2</v>
      </c>
    </row>
    <row r="597" spans="1:2" x14ac:dyDescent="0.25">
      <c r="A597" s="5">
        <v>138</v>
      </c>
      <c r="B597" s="5">
        <v>5</v>
      </c>
    </row>
    <row r="598" spans="1:2" x14ac:dyDescent="0.25">
      <c r="A598" s="5">
        <v>85</v>
      </c>
      <c r="B598" s="5">
        <v>2</v>
      </c>
    </row>
    <row r="599" spans="1:2" x14ac:dyDescent="0.25">
      <c r="A599" s="5">
        <v>83</v>
      </c>
      <c r="B599" s="5">
        <v>3</v>
      </c>
    </row>
    <row r="600" spans="1:2" x14ac:dyDescent="0.25">
      <c r="A600" s="5">
        <v>91</v>
      </c>
      <c r="B600" s="5">
        <v>2</v>
      </c>
    </row>
    <row r="601" spans="1:2" x14ac:dyDescent="0.25">
      <c r="A601" s="5">
        <v>137</v>
      </c>
      <c r="B601" s="5">
        <v>5</v>
      </c>
    </row>
    <row r="602" spans="1:2" x14ac:dyDescent="0.25">
      <c r="A602" s="5">
        <v>33</v>
      </c>
      <c r="B602" s="5">
        <v>7</v>
      </c>
    </row>
    <row r="603" spans="1:2" x14ac:dyDescent="0.25">
      <c r="A603" s="5">
        <v>134</v>
      </c>
      <c r="B603" s="5">
        <v>2</v>
      </c>
    </row>
    <row r="604" spans="1:2" x14ac:dyDescent="0.25">
      <c r="A604" s="5">
        <v>134</v>
      </c>
      <c r="B604" s="5">
        <v>2</v>
      </c>
    </row>
    <row r="605" spans="1:2" x14ac:dyDescent="0.25">
      <c r="A605" s="5">
        <v>133</v>
      </c>
      <c r="B605" s="5">
        <v>2</v>
      </c>
    </row>
    <row r="606" spans="1:2" x14ac:dyDescent="0.25">
      <c r="A606" s="5">
        <v>93</v>
      </c>
      <c r="B606" s="5">
        <v>3</v>
      </c>
    </row>
    <row r="607" spans="1:2" x14ac:dyDescent="0.25">
      <c r="A607" s="5">
        <v>86</v>
      </c>
      <c r="B607" s="5">
        <v>1</v>
      </c>
    </row>
    <row r="608" spans="1:2" x14ac:dyDescent="0.25">
      <c r="A608" s="5">
        <v>132</v>
      </c>
      <c r="B608" s="5">
        <v>5</v>
      </c>
    </row>
    <row r="609" spans="1:2" x14ac:dyDescent="0.25">
      <c r="A609" s="5">
        <v>132</v>
      </c>
      <c r="B609" s="5">
        <v>3</v>
      </c>
    </row>
    <row r="610" spans="1:2" x14ac:dyDescent="0.25">
      <c r="A610" s="5">
        <v>132</v>
      </c>
      <c r="B610" s="5">
        <v>5</v>
      </c>
    </row>
    <row r="611" spans="1:2" x14ac:dyDescent="0.25">
      <c r="A611" s="5">
        <v>93</v>
      </c>
      <c r="B611" s="5">
        <v>4</v>
      </c>
    </row>
    <row r="612" spans="1:2" x14ac:dyDescent="0.25">
      <c r="A612" s="5">
        <v>95</v>
      </c>
      <c r="B612" s="5">
        <v>2</v>
      </c>
    </row>
    <row r="613" spans="1:2" x14ac:dyDescent="0.25">
      <c r="A613" s="5">
        <v>97</v>
      </c>
      <c r="B613" s="5">
        <v>2</v>
      </c>
    </row>
    <row r="614" spans="1:2" x14ac:dyDescent="0.25">
      <c r="A614" s="5">
        <v>131</v>
      </c>
      <c r="B614" s="5">
        <v>8</v>
      </c>
    </row>
    <row r="615" spans="1:2" x14ac:dyDescent="0.25">
      <c r="A615" s="5">
        <v>97</v>
      </c>
      <c r="B615" s="5">
        <v>2</v>
      </c>
    </row>
    <row r="616" spans="1:2" x14ac:dyDescent="0.25">
      <c r="A616" s="5">
        <v>128</v>
      </c>
      <c r="B616" s="5">
        <v>3</v>
      </c>
    </row>
    <row r="617" spans="1:2" x14ac:dyDescent="0.25">
      <c r="A617" s="5">
        <v>186</v>
      </c>
      <c r="B617" s="5">
        <v>9</v>
      </c>
    </row>
    <row r="618" spans="1:2" x14ac:dyDescent="0.25">
      <c r="A618" s="5">
        <v>128</v>
      </c>
      <c r="B618" s="5">
        <v>4</v>
      </c>
    </row>
    <row r="619" spans="1:2" x14ac:dyDescent="0.25">
      <c r="A619" s="5">
        <v>185</v>
      </c>
      <c r="B619" s="5">
        <v>4</v>
      </c>
    </row>
    <row r="620" spans="1:2" x14ac:dyDescent="0.25">
      <c r="A620" s="5">
        <v>29</v>
      </c>
      <c r="B620" s="5">
        <v>2</v>
      </c>
    </row>
    <row r="621" spans="1:2" x14ac:dyDescent="0.25">
      <c r="A621" s="5">
        <v>127</v>
      </c>
      <c r="B621" s="5">
        <v>3</v>
      </c>
    </row>
    <row r="622" spans="1:2" x14ac:dyDescent="0.25">
      <c r="A622" s="5">
        <v>97</v>
      </c>
      <c r="B622" s="5">
        <v>7</v>
      </c>
    </row>
    <row r="623" spans="1:2" x14ac:dyDescent="0.25">
      <c r="A623" s="5">
        <v>125</v>
      </c>
      <c r="B623" s="5">
        <v>3</v>
      </c>
    </row>
    <row r="624" spans="1:2" x14ac:dyDescent="0.25">
      <c r="A624" s="5">
        <v>299</v>
      </c>
      <c r="B624" s="5">
        <v>2</v>
      </c>
    </row>
    <row r="625" spans="1:2" x14ac:dyDescent="0.25">
      <c r="A625" s="5">
        <v>124</v>
      </c>
      <c r="B625" s="5">
        <v>5</v>
      </c>
    </row>
    <row r="626" spans="1:2" x14ac:dyDescent="0.25">
      <c r="A626" s="5">
        <v>90</v>
      </c>
      <c r="B626" s="5">
        <v>3</v>
      </c>
    </row>
    <row r="627" spans="1:2" x14ac:dyDescent="0.25">
      <c r="A627" s="5">
        <v>122</v>
      </c>
      <c r="B627" s="5">
        <v>4</v>
      </c>
    </row>
    <row r="628" spans="1:2" x14ac:dyDescent="0.25">
      <c r="A628" s="5">
        <v>122</v>
      </c>
      <c r="B628" s="5">
        <v>9</v>
      </c>
    </row>
    <row r="629" spans="1:2" x14ac:dyDescent="0.25">
      <c r="A629" s="5">
        <v>90</v>
      </c>
      <c r="B629" s="5">
        <v>2</v>
      </c>
    </row>
    <row r="630" spans="1:2" x14ac:dyDescent="0.25">
      <c r="A630" s="5">
        <v>182</v>
      </c>
      <c r="B630" s="5">
        <v>3</v>
      </c>
    </row>
    <row r="631" spans="1:2" x14ac:dyDescent="0.25">
      <c r="A631" s="5">
        <v>122</v>
      </c>
      <c r="B631" s="5">
        <v>7</v>
      </c>
    </row>
    <row r="632" spans="1:2" x14ac:dyDescent="0.25">
      <c r="A632" s="5">
        <v>121</v>
      </c>
      <c r="B632" s="5">
        <v>4</v>
      </c>
    </row>
    <row r="633" spans="1:2" x14ac:dyDescent="0.25">
      <c r="A633" s="5">
        <v>120</v>
      </c>
      <c r="B633" s="5">
        <v>1</v>
      </c>
    </row>
    <row r="634" spans="1:2" x14ac:dyDescent="0.25">
      <c r="A634" s="5">
        <v>120</v>
      </c>
      <c r="B634" s="5">
        <v>5</v>
      </c>
    </row>
    <row r="635" spans="1:2" x14ac:dyDescent="0.25">
      <c r="A635" s="5">
        <v>34</v>
      </c>
      <c r="B635" s="5">
        <v>5</v>
      </c>
    </row>
    <row r="636" spans="1:2" x14ac:dyDescent="0.25">
      <c r="A636" s="5">
        <v>117</v>
      </c>
      <c r="B636" s="5">
        <v>6</v>
      </c>
    </row>
    <row r="637" spans="1:2" x14ac:dyDescent="0.25">
      <c r="A637" s="5">
        <v>38</v>
      </c>
      <c r="B637" s="5">
        <v>2</v>
      </c>
    </row>
    <row r="638" spans="1:2" x14ac:dyDescent="0.25">
      <c r="A638" s="5">
        <v>117</v>
      </c>
      <c r="B638" s="5">
        <v>3</v>
      </c>
    </row>
    <row r="639" spans="1:2" x14ac:dyDescent="0.25">
      <c r="A639" s="5">
        <v>180</v>
      </c>
      <c r="B639" s="5">
        <v>4</v>
      </c>
    </row>
    <row r="640" spans="1:2" x14ac:dyDescent="0.25">
      <c r="A640" s="5">
        <v>99</v>
      </c>
      <c r="B640" s="5">
        <v>1</v>
      </c>
    </row>
    <row r="641" spans="1:2" x14ac:dyDescent="0.25">
      <c r="A641" s="5">
        <v>172</v>
      </c>
      <c r="B641" s="5">
        <v>3</v>
      </c>
    </row>
    <row r="642" spans="1:2" x14ac:dyDescent="0.25">
      <c r="A642" s="5">
        <v>116</v>
      </c>
      <c r="B642" s="5">
        <v>4</v>
      </c>
    </row>
    <row r="643" spans="1:2" x14ac:dyDescent="0.25">
      <c r="A643" s="5">
        <v>116</v>
      </c>
      <c r="B643" s="5">
        <v>1</v>
      </c>
    </row>
    <row r="644" spans="1:2" x14ac:dyDescent="0.25">
      <c r="A644" s="5">
        <v>171</v>
      </c>
      <c r="B644" s="5">
        <v>7</v>
      </c>
    </row>
    <row r="645" spans="1:2" x14ac:dyDescent="0.25">
      <c r="A645" s="5">
        <v>46</v>
      </c>
      <c r="B645" s="5">
        <v>5</v>
      </c>
    </row>
    <row r="646" spans="1:2" x14ac:dyDescent="0.25">
      <c r="A646" s="5">
        <v>115</v>
      </c>
      <c r="B646" s="5">
        <v>3</v>
      </c>
    </row>
    <row r="647" spans="1:2" x14ac:dyDescent="0.25">
      <c r="A647" s="5">
        <v>100</v>
      </c>
      <c r="B647" s="5">
        <v>2</v>
      </c>
    </row>
    <row r="648" spans="1:2" x14ac:dyDescent="0.25">
      <c r="A648" s="5">
        <v>44</v>
      </c>
      <c r="B648" s="5">
        <v>2</v>
      </c>
    </row>
    <row r="649" spans="1:2" x14ac:dyDescent="0.25">
      <c r="A649" s="5">
        <v>139</v>
      </c>
      <c r="B649" s="5">
        <v>3</v>
      </c>
    </row>
    <row r="650" spans="1:2" x14ac:dyDescent="0.25">
      <c r="A650" s="5">
        <v>171</v>
      </c>
      <c r="B650" s="5">
        <v>2</v>
      </c>
    </row>
    <row r="651" spans="1:2" x14ac:dyDescent="0.25">
      <c r="A651" s="5">
        <v>100</v>
      </c>
      <c r="B651" s="5">
        <v>2</v>
      </c>
    </row>
    <row r="652" spans="1:2" x14ac:dyDescent="0.25">
      <c r="A652" s="5">
        <v>115</v>
      </c>
      <c r="B652" s="5">
        <v>6</v>
      </c>
    </row>
    <row r="653" spans="1:2" x14ac:dyDescent="0.25">
      <c r="A653" s="5">
        <v>168</v>
      </c>
      <c r="B653" s="5">
        <v>3</v>
      </c>
    </row>
    <row r="654" spans="1:2" x14ac:dyDescent="0.25">
      <c r="A654" s="5">
        <v>115</v>
      </c>
      <c r="B654" s="5">
        <v>2</v>
      </c>
    </row>
    <row r="655" spans="1:2" x14ac:dyDescent="0.25">
      <c r="A655" s="5">
        <v>168</v>
      </c>
      <c r="B655" s="5">
        <v>2</v>
      </c>
    </row>
    <row r="656" spans="1:2" x14ac:dyDescent="0.25">
      <c r="A656" s="5">
        <v>31</v>
      </c>
      <c r="B656" s="5">
        <v>5</v>
      </c>
    </row>
    <row r="657" spans="1:2" x14ac:dyDescent="0.25">
      <c r="A657" s="5">
        <v>114</v>
      </c>
      <c r="B657" s="5">
        <v>6</v>
      </c>
    </row>
    <row r="658" spans="1:2" x14ac:dyDescent="0.25">
      <c r="A658" s="5">
        <v>111</v>
      </c>
      <c r="B658" s="5">
        <v>4</v>
      </c>
    </row>
    <row r="659" spans="1:2" x14ac:dyDescent="0.25">
      <c r="A659" s="5">
        <v>11</v>
      </c>
      <c r="B659" s="5">
        <v>2</v>
      </c>
    </row>
    <row r="660" spans="1:2" x14ac:dyDescent="0.25">
      <c r="A660" s="5">
        <v>110</v>
      </c>
      <c r="B660" s="5">
        <v>1</v>
      </c>
    </row>
    <row r="661" spans="1:2" x14ac:dyDescent="0.25">
      <c r="A661" s="5">
        <v>59</v>
      </c>
      <c r="B661" s="5">
        <v>2</v>
      </c>
    </row>
    <row r="662" spans="1:2" x14ac:dyDescent="0.25">
      <c r="A662" s="5">
        <v>166</v>
      </c>
      <c r="B662" s="5">
        <v>2</v>
      </c>
    </row>
    <row r="663" spans="1:2" x14ac:dyDescent="0.25">
      <c r="A663" s="5">
        <v>109</v>
      </c>
      <c r="B663" s="5">
        <v>6</v>
      </c>
    </row>
    <row r="664" spans="1:2" x14ac:dyDescent="0.25">
      <c r="A664" s="5">
        <v>34</v>
      </c>
      <c r="B664" s="5">
        <v>4</v>
      </c>
    </row>
    <row r="665" spans="1:2" x14ac:dyDescent="0.25">
      <c r="A665" s="5">
        <v>109</v>
      </c>
      <c r="B665" s="5">
        <v>1</v>
      </c>
    </row>
    <row r="666" spans="1:2" x14ac:dyDescent="0.25">
      <c r="A666" s="5">
        <v>108</v>
      </c>
      <c r="B666" s="5">
        <v>3</v>
      </c>
    </row>
    <row r="667" spans="1:2" x14ac:dyDescent="0.25">
      <c r="A667" s="5">
        <v>103</v>
      </c>
      <c r="B667" s="5">
        <v>2</v>
      </c>
    </row>
    <row r="668" spans="1:2" x14ac:dyDescent="0.25">
      <c r="A668" s="5">
        <v>10</v>
      </c>
      <c r="B668" s="5">
        <v>2</v>
      </c>
    </row>
    <row r="669" spans="1:2" x14ac:dyDescent="0.25">
      <c r="A669" s="5">
        <v>90</v>
      </c>
      <c r="B669" s="5">
        <v>3</v>
      </c>
    </row>
    <row r="670" spans="1:2" x14ac:dyDescent="0.25">
      <c r="A670" s="5">
        <v>105</v>
      </c>
      <c r="B670" s="5">
        <v>2</v>
      </c>
    </row>
    <row r="671" spans="1:2" x14ac:dyDescent="0.25">
      <c r="A671" s="5">
        <v>105</v>
      </c>
      <c r="B671" s="5">
        <v>2</v>
      </c>
    </row>
    <row r="672" spans="1:2" x14ac:dyDescent="0.25">
      <c r="A672" s="5">
        <v>22</v>
      </c>
      <c r="B672" s="5">
        <v>1</v>
      </c>
    </row>
    <row r="673" spans="1:2" x14ac:dyDescent="0.25">
      <c r="A673" s="5">
        <v>105</v>
      </c>
      <c r="B673" s="5">
        <v>5</v>
      </c>
    </row>
    <row r="674" spans="1:2" x14ac:dyDescent="0.25">
      <c r="A674" s="5">
        <v>105</v>
      </c>
      <c r="B674" s="5">
        <v>2</v>
      </c>
    </row>
    <row r="675" spans="1:2" x14ac:dyDescent="0.25">
      <c r="A675" s="5">
        <v>25</v>
      </c>
      <c r="B675" s="5">
        <v>5</v>
      </c>
    </row>
    <row r="676" spans="1:2" x14ac:dyDescent="0.25">
      <c r="A676" s="5">
        <v>104</v>
      </c>
      <c r="B676" s="5">
        <v>2</v>
      </c>
    </row>
    <row r="677" spans="1:2" x14ac:dyDescent="0.25">
      <c r="A677" s="5">
        <v>16</v>
      </c>
      <c r="B677" s="5">
        <v>1</v>
      </c>
    </row>
    <row r="678" spans="1:2" x14ac:dyDescent="0.25">
      <c r="A678" s="5">
        <v>64</v>
      </c>
      <c r="B678" s="5">
        <v>3</v>
      </c>
    </row>
    <row r="679" spans="1:2" x14ac:dyDescent="0.25">
      <c r="A679" s="5">
        <v>38</v>
      </c>
      <c r="B679" s="5">
        <v>2</v>
      </c>
    </row>
    <row r="680" spans="1:2" x14ac:dyDescent="0.25">
      <c r="A680" s="5">
        <v>83</v>
      </c>
      <c r="B680" s="5">
        <v>2</v>
      </c>
    </row>
    <row r="681" spans="1:2" x14ac:dyDescent="0.25">
      <c r="A681" s="5">
        <v>103</v>
      </c>
      <c r="B681" s="5">
        <v>2</v>
      </c>
    </row>
    <row r="682" spans="1:2" x14ac:dyDescent="0.25">
      <c r="A682" s="5">
        <v>37</v>
      </c>
      <c r="B682" s="5">
        <v>1</v>
      </c>
    </row>
    <row r="683" spans="1:2" x14ac:dyDescent="0.25">
      <c r="A683" s="5">
        <v>105</v>
      </c>
      <c r="B683" s="5">
        <v>6</v>
      </c>
    </row>
    <row r="684" spans="1:2" x14ac:dyDescent="0.25">
      <c r="A684" s="5">
        <v>78</v>
      </c>
      <c r="B684" s="5">
        <v>2</v>
      </c>
    </row>
    <row r="685" spans="1:2" x14ac:dyDescent="0.25">
      <c r="A685" s="5">
        <v>102</v>
      </c>
      <c r="B685" s="5">
        <v>1</v>
      </c>
    </row>
    <row r="686" spans="1:2" x14ac:dyDescent="0.25">
      <c r="A686" s="5">
        <v>102</v>
      </c>
      <c r="B686" s="5">
        <v>6</v>
      </c>
    </row>
    <row r="687" spans="1:2" x14ac:dyDescent="0.25">
      <c r="A687" s="5">
        <v>10</v>
      </c>
      <c r="B687" s="5">
        <v>1</v>
      </c>
    </row>
    <row r="688" spans="1:2" x14ac:dyDescent="0.25">
      <c r="A688" s="5">
        <v>101</v>
      </c>
      <c r="B688" s="5">
        <v>9</v>
      </c>
    </row>
    <row r="689" spans="1:2" x14ac:dyDescent="0.25">
      <c r="A689" s="5">
        <v>42</v>
      </c>
      <c r="B689" s="5">
        <v>4</v>
      </c>
    </row>
    <row r="690" spans="1:2" x14ac:dyDescent="0.25">
      <c r="A690" s="5">
        <v>56</v>
      </c>
      <c r="B690" s="5">
        <v>2</v>
      </c>
    </row>
    <row r="691" spans="1:2" x14ac:dyDescent="0.25">
      <c r="A691" s="5">
        <v>95</v>
      </c>
      <c r="B691" s="5">
        <v>2</v>
      </c>
    </row>
    <row r="692" spans="1:2" x14ac:dyDescent="0.25">
      <c r="A692" s="5">
        <v>159</v>
      </c>
      <c r="B692" s="5">
        <v>3</v>
      </c>
    </row>
    <row r="693" spans="1:2" x14ac:dyDescent="0.25">
      <c r="A693" s="5">
        <v>158</v>
      </c>
      <c r="B693" s="5">
        <v>3</v>
      </c>
    </row>
    <row r="694" spans="1:2" x14ac:dyDescent="0.25">
      <c r="A694" s="5">
        <v>106</v>
      </c>
      <c r="B694" s="5">
        <v>2</v>
      </c>
    </row>
    <row r="695" spans="1:2" x14ac:dyDescent="0.25">
      <c r="A695" s="5">
        <v>101</v>
      </c>
      <c r="B695" s="5">
        <v>4</v>
      </c>
    </row>
    <row r="696" spans="1:2" x14ac:dyDescent="0.25">
      <c r="A696" s="5">
        <v>107</v>
      </c>
      <c r="B696" s="5">
        <v>3</v>
      </c>
    </row>
    <row r="697" spans="1:2" x14ac:dyDescent="0.25">
      <c r="A697" s="5">
        <v>156</v>
      </c>
      <c r="B697" s="5">
        <v>5</v>
      </c>
    </row>
    <row r="698" spans="1:2" x14ac:dyDescent="0.25">
      <c r="A698" s="5">
        <v>108</v>
      </c>
      <c r="B698" s="5">
        <v>3</v>
      </c>
    </row>
    <row r="699" spans="1:2" x14ac:dyDescent="0.25">
      <c r="A699" s="5">
        <v>107</v>
      </c>
      <c r="B699" s="5">
        <v>4</v>
      </c>
    </row>
    <row r="700" spans="1:2" x14ac:dyDescent="0.25">
      <c r="A700" s="5">
        <v>100</v>
      </c>
      <c r="B700" s="5">
        <v>4</v>
      </c>
    </row>
    <row r="701" spans="1:2" x14ac:dyDescent="0.25">
      <c r="A701" s="5">
        <v>108</v>
      </c>
      <c r="B701" s="5">
        <v>4</v>
      </c>
    </row>
    <row r="702" spans="1:2" x14ac:dyDescent="0.25">
      <c r="A702" s="5">
        <v>100</v>
      </c>
      <c r="B702" s="5">
        <v>4</v>
      </c>
    </row>
    <row r="703" spans="1:2" x14ac:dyDescent="0.25">
      <c r="A703" s="5">
        <v>100</v>
      </c>
      <c r="B703" s="5">
        <v>1</v>
      </c>
    </row>
    <row r="704" spans="1:2" x14ac:dyDescent="0.25">
      <c r="A704" s="5">
        <v>43</v>
      </c>
      <c r="B704" s="5">
        <v>2</v>
      </c>
    </row>
    <row r="705" spans="1:2" x14ac:dyDescent="0.25">
      <c r="A705" s="5">
        <v>155</v>
      </c>
      <c r="B705" s="5">
        <v>3</v>
      </c>
    </row>
    <row r="706" spans="1:2" x14ac:dyDescent="0.25">
      <c r="A706" s="5">
        <v>151</v>
      </c>
      <c r="B706" s="5">
        <v>3</v>
      </c>
    </row>
    <row r="707" spans="1:2" x14ac:dyDescent="0.25">
      <c r="A707" s="5">
        <v>151</v>
      </c>
      <c r="B707" s="5">
        <v>5</v>
      </c>
    </row>
    <row r="708" spans="1:2" x14ac:dyDescent="0.25">
      <c r="A708" s="5">
        <v>110</v>
      </c>
      <c r="B708" s="5">
        <v>4</v>
      </c>
    </row>
    <row r="709" spans="1:2" x14ac:dyDescent="0.25">
      <c r="A709" s="5">
        <v>98</v>
      </c>
      <c r="B709" s="5">
        <v>2</v>
      </c>
    </row>
    <row r="710" spans="1:2" x14ac:dyDescent="0.25">
      <c r="A710" s="5">
        <v>97</v>
      </c>
      <c r="B710" s="5">
        <v>2</v>
      </c>
    </row>
    <row r="711" spans="1:2" x14ac:dyDescent="0.25">
      <c r="A711" s="5">
        <v>111</v>
      </c>
      <c r="B711" s="5">
        <v>5</v>
      </c>
    </row>
    <row r="712" spans="1:2" x14ac:dyDescent="0.25">
      <c r="A712" s="5">
        <v>45</v>
      </c>
      <c r="B712" s="5">
        <v>1</v>
      </c>
    </row>
    <row r="713" spans="1:2" x14ac:dyDescent="0.25">
      <c r="A713" s="5">
        <v>112</v>
      </c>
      <c r="B713" s="5">
        <v>2</v>
      </c>
    </row>
    <row r="714" spans="1:2" x14ac:dyDescent="0.25">
      <c r="A714" s="5">
        <v>110</v>
      </c>
      <c r="B714" s="5">
        <v>5</v>
      </c>
    </row>
    <row r="715" spans="1:2" x14ac:dyDescent="0.25">
      <c r="A715" s="5">
        <v>98</v>
      </c>
      <c r="B715" s="5">
        <v>2</v>
      </c>
    </row>
    <row r="716" spans="1:2" x14ac:dyDescent="0.25">
      <c r="A716" s="5">
        <v>110</v>
      </c>
      <c r="B716" s="5">
        <v>7</v>
      </c>
    </row>
    <row r="717" spans="1:2" x14ac:dyDescent="0.25">
      <c r="A717" s="5">
        <v>95</v>
      </c>
      <c r="B717" s="5">
        <v>4</v>
      </c>
    </row>
    <row r="718" spans="1:2" x14ac:dyDescent="0.25">
      <c r="A718" s="5">
        <v>1228</v>
      </c>
      <c r="B718" s="5">
        <v>3</v>
      </c>
    </row>
    <row r="719" spans="1:2" x14ac:dyDescent="0.25">
      <c r="A719" s="5">
        <v>29</v>
      </c>
      <c r="B719" s="5">
        <v>3</v>
      </c>
    </row>
    <row r="720" spans="1:2" x14ac:dyDescent="0.25">
      <c r="A720" s="5">
        <v>94</v>
      </c>
      <c r="B720" s="5">
        <v>2</v>
      </c>
    </row>
    <row r="721" spans="1:2" x14ac:dyDescent="0.25">
      <c r="A721" s="5">
        <v>115</v>
      </c>
      <c r="B721" s="5">
        <v>1</v>
      </c>
    </row>
    <row r="722" spans="1:2" x14ac:dyDescent="0.25">
      <c r="A722" s="5">
        <v>149</v>
      </c>
      <c r="B722" s="5">
        <v>3</v>
      </c>
    </row>
    <row r="723" spans="1:2" x14ac:dyDescent="0.25">
      <c r="A723" s="5">
        <v>148</v>
      </c>
      <c r="B723" s="5">
        <v>4</v>
      </c>
    </row>
    <row r="724" spans="1:2" x14ac:dyDescent="0.25">
      <c r="A724" s="5">
        <v>93</v>
      </c>
      <c r="B724" s="5">
        <v>2</v>
      </c>
    </row>
    <row r="725" spans="1:2" x14ac:dyDescent="0.25">
      <c r="A725" s="5">
        <v>113</v>
      </c>
      <c r="B725" s="5">
        <v>4</v>
      </c>
    </row>
    <row r="726" spans="1:2" x14ac:dyDescent="0.25">
      <c r="A726" s="5">
        <v>48</v>
      </c>
      <c r="B726" s="5">
        <v>3</v>
      </c>
    </row>
    <row r="727" spans="1:2" x14ac:dyDescent="0.25">
      <c r="A727" s="5">
        <v>148</v>
      </c>
      <c r="B727" s="5">
        <v>1</v>
      </c>
    </row>
    <row r="728" spans="1:2" x14ac:dyDescent="0.25">
      <c r="A728" s="5">
        <v>114</v>
      </c>
      <c r="B728" s="5">
        <v>4</v>
      </c>
    </row>
    <row r="729" spans="1:2" x14ac:dyDescent="0.25">
      <c r="A729" s="5">
        <v>92</v>
      </c>
      <c r="B729" s="5">
        <v>2</v>
      </c>
    </row>
    <row r="730" spans="1:2" x14ac:dyDescent="0.25">
      <c r="A730" s="5">
        <v>117</v>
      </c>
      <c r="B730" s="5">
        <v>3</v>
      </c>
    </row>
    <row r="731" spans="1:2" x14ac:dyDescent="0.25">
      <c r="A731" s="5">
        <v>21</v>
      </c>
      <c r="B731" s="5">
        <v>4</v>
      </c>
    </row>
    <row r="732" spans="1:2" x14ac:dyDescent="0.25">
      <c r="A732" s="5">
        <v>33</v>
      </c>
      <c r="B732" s="5">
        <v>6</v>
      </c>
    </row>
    <row r="733" spans="1:2" x14ac:dyDescent="0.25">
      <c r="A733" s="5">
        <v>114</v>
      </c>
      <c r="B733" s="5">
        <v>3</v>
      </c>
    </row>
    <row r="734" spans="1:2" x14ac:dyDescent="0.25">
      <c r="A734" s="5">
        <v>115</v>
      </c>
      <c r="B734" s="5">
        <v>1</v>
      </c>
    </row>
    <row r="735" spans="1:2" x14ac:dyDescent="0.25">
      <c r="A735" s="5">
        <v>90</v>
      </c>
      <c r="B735" s="5">
        <v>5</v>
      </c>
    </row>
    <row r="736" spans="1:2" x14ac:dyDescent="0.25">
      <c r="A736" s="5">
        <v>61</v>
      </c>
      <c r="B736" s="5">
        <v>2</v>
      </c>
    </row>
    <row r="737" spans="1:2" x14ac:dyDescent="0.25">
      <c r="A737" s="5">
        <v>119</v>
      </c>
      <c r="B737" s="5">
        <v>1</v>
      </c>
    </row>
    <row r="738" spans="1:2" x14ac:dyDescent="0.25">
      <c r="A738" s="5">
        <v>117</v>
      </c>
      <c r="B738" s="5">
        <v>2</v>
      </c>
    </row>
    <row r="739" spans="1:2" x14ac:dyDescent="0.25">
      <c r="A739" s="5">
        <v>148</v>
      </c>
      <c r="B739" s="5">
        <v>2</v>
      </c>
    </row>
    <row r="740" spans="1:2" x14ac:dyDescent="0.25">
      <c r="A740" s="5">
        <v>249</v>
      </c>
      <c r="B740" s="5">
        <v>4</v>
      </c>
    </row>
    <row r="741" spans="1:2" x14ac:dyDescent="0.25">
      <c r="A741" s="5">
        <v>147</v>
      </c>
      <c r="B741" s="5">
        <v>3</v>
      </c>
    </row>
    <row r="742" spans="1:2" x14ac:dyDescent="0.25">
      <c r="A742" s="5">
        <v>118</v>
      </c>
      <c r="B742" s="5">
        <v>7</v>
      </c>
    </row>
    <row r="743" spans="1:2" x14ac:dyDescent="0.25">
      <c r="A743" s="5">
        <v>119</v>
      </c>
      <c r="B743" s="5">
        <v>7</v>
      </c>
    </row>
    <row r="744" spans="1:2" x14ac:dyDescent="0.25">
      <c r="A744" s="5">
        <v>90</v>
      </c>
      <c r="B744" s="5">
        <v>2</v>
      </c>
    </row>
    <row r="745" spans="1:2" x14ac:dyDescent="0.25">
      <c r="A745" s="5">
        <v>32</v>
      </c>
      <c r="B745" s="5">
        <v>2</v>
      </c>
    </row>
    <row r="746" spans="1:2" x14ac:dyDescent="0.25">
      <c r="A746" s="5">
        <v>89</v>
      </c>
      <c r="B746" s="5">
        <v>2</v>
      </c>
    </row>
    <row r="747" spans="1:2" x14ac:dyDescent="0.25">
      <c r="A747" s="5">
        <v>146</v>
      </c>
      <c r="B747" s="5">
        <v>1</v>
      </c>
    </row>
    <row r="748" spans="1:2" x14ac:dyDescent="0.25">
      <c r="A748" s="5">
        <v>89</v>
      </c>
      <c r="B748" s="5">
        <v>4</v>
      </c>
    </row>
    <row r="749" spans="1:2" x14ac:dyDescent="0.25">
      <c r="A749" s="5">
        <v>88</v>
      </c>
      <c r="B749" s="5">
        <v>3</v>
      </c>
    </row>
    <row r="750" spans="1:2" x14ac:dyDescent="0.25">
      <c r="A750" s="5">
        <v>121</v>
      </c>
      <c r="B750" s="5">
        <v>4</v>
      </c>
    </row>
    <row r="751" spans="1:2" x14ac:dyDescent="0.25">
      <c r="A751" s="5">
        <v>88</v>
      </c>
      <c r="B751" s="5">
        <v>2</v>
      </c>
    </row>
    <row r="752" spans="1:2" x14ac:dyDescent="0.25">
      <c r="A752" s="5">
        <v>87</v>
      </c>
      <c r="B752" s="5">
        <v>5</v>
      </c>
    </row>
    <row r="753" spans="1:2" x14ac:dyDescent="0.25">
      <c r="A753" s="5">
        <v>87</v>
      </c>
      <c r="B753" s="5">
        <v>2</v>
      </c>
    </row>
    <row r="754" spans="1:2" x14ac:dyDescent="0.25">
      <c r="A754" s="5">
        <v>122</v>
      </c>
      <c r="B754" s="5">
        <v>3</v>
      </c>
    </row>
    <row r="755" spans="1:2" x14ac:dyDescent="0.25">
      <c r="A755" s="5">
        <v>87</v>
      </c>
      <c r="B755" s="5">
        <v>3</v>
      </c>
    </row>
    <row r="756" spans="1:2" x14ac:dyDescent="0.25">
      <c r="A756" s="5">
        <v>53</v>
      </c>
      <c r="B756" s="5">
        <v>3</v>
      </c>
    </row>
    <row r="757" spans="1:2" x14ac:dyDescent="0.25">
      <c r="A757" s="5">
        <v>87</v>
      </c>
      <c r="B757" s="5">
        <v>9</v>
      </c>
    </row>
    <row r="758" spans="1:2" x14ac:dyDescent="0.25">
      <c r="A758" s="5">
        <v>86</v>
      </c>
      <c r="B758" s="5">
        <v>6</v>
      </c>
    </row>
    <row r="759" spans="1:2" x14ac:dyDescent="0.25">
      <c r="A759" s="5">
        <v>125</v>
      </c>
      <c r="B759" s="5">
        <v>3</v>
      </c>
    </row>
    <row r="760" spans="1:2" x14ac:dyDescent="0.25">
      <c r="A760" s="5">
        <v>128</v>
      </c>
      <c r="B760" s="5">
        <v>3</v>
      </c>
    </row>
    <row r="761" spans="1:2" x14ac:dyDescent="0.25">
      <c r="A761" s="5">
        <v>143</v>
      </c>
      <c r="B761" s="5">
        <v>5</v>
      </c>
    </row>
    <row r="762" spans="1:2" x14ac:dyDescent="0.25">
      <c r="A762" s="5">
        <v>86</v>
      </c>
      <c r="B762" s="5">
        <v>2</v>
      </c>
    </row>
    <row r="763" spans="1:2" x14ac:dyDescent="0.25">
      <c r="A763" s="5">
        <v>86</v>
      </c>
      <c r="B763" s="5">
        <v>3</v>
      </c>
    </row>
    <row r="764" spans="1:2" x14ac:dyDescent="0.25">
      <c r="A764" s="5">
        <v>85</v>
      </c>
      <c r="B764" s="5">
        <v>4</v>
      </c>
    </row>
    <row r="765" spans="1:2" x14ac:dyDescent="0.25">
      <c r="A765" s="5">
        <v>129</v>
      </c>
      <c r="B765" s="5">
        <v>5</v>
      </c>
    </row>
    <row r="766" spans="1:2" x14ac:dyDescent="0.25">
      <c r="A766" s="5">
        <v>84</v>
      </c>
      <c r="B766" s="5">
        <v>2</v>
      </c>
    </row>
    <row r="767" spans="1:2" x14ac:dyDescent="0.25">
      <c r="A767" s="5">
        <v>83</v>
      </c>
      <c r="B767" s="5">
        <v>3</v>
      </c>
    </row>
    <row r="768" spans="1:2" x14ac:dyDescent="0.25">
      <c r="A768" s="5">
        <v>143</v>
      </c>
      <c r="B768" s="5">
        <v>2</v>
      </c>
    </row>
    <row r="769" spans="1:2" x14ac:dyDescent="0.25">
      <c r="A769" s="5">
        <v>336</v>
      </c>
      <c r="B769" s="5">
        <v>3</v>
      </c>
    </row>
    <row r="770" spans="1:2" x14ac:dyDescent="0.25">
      <c r="A770" s="5">
        <v>323</v>
      </c>
      <c r="B770" s="5">
        <v>5</v>
      </c>
    </row>
    <row r="771" spans="1:2" x14ac:dyDescent="0.25">
      <c r="A771" s="5">
        <v>130</v>
      </c>
      <c r="B771" s="5">
        <v>3</v>
      </c>
    </row>
    <row r="772" spans="1:2" x14ac:dyDescent="0.25">
      <c r="A772" s="5">
        <v>152</v>
      </c>
      <c r="B772" s="5">
        <v>5</v>
      </c>
    </row>
    <row r="773" spans="1:2" x14ac:dyDescent="0.25">
      <c r="A773" s="5">
        <v>25</v>
      </c>
      <c r="B773" s="5">
        <v>1</v>
      </c>
    </row>
    <row r="774" spans="1:2" x14ac:dyDescent="0.25">
      <c r="A774" s="5">
        <v>140</v>
      </c>
      <c r="B774" s="5">
        <v>5</v>
      </c>
    </row>
    <row r="775" spans="1:2" x14ac:dyDescent="0.25">
      <c r="A775" s="5">
        <v>45</v>
      </c>
      <c r="B775" s="5">
        <v>2</v>
      </c>
    </row>
    <row r="776" spans="1:2" x14ac:dyDescent="0.25">
      <c r="A776" s="5">
        <v>132</v>
      </c>
      <c r="B776" s="5">
        <v>3</v>
      </c>
    </row>
    <row r="777" spans="1:2" x14ac:dyDescent="0.25">
      <c r="A777" s="5">
        <v>133</v>
      </c>
      <c r="B777" s="5">
        <v>5</v>
      </c>
    </row>
    <row r="778" spans="1:2" x14ac:dyDescent="0.25">
      <c r="A778" s="5">
        <v>82</v>
      </c>
      <c r="B778" s="5">
        <v>2</v>
      </c>
    </row>
    <row r="779" spans="1:2" x14ac:dyDescent="0.25">
      <c r="A779" s="5">
        <v>140</v>
      </c>
      <c r="B779" s="5">
        <v>4</v>
      </c>
    </row>
    <row r="780" spans="1:2" x14ac:dyDescent="0.25">
      <c r="A780" s="5">
        <v>81</v>
      </c>
      <c r="B780" s="5">
        <v>7</v>
      </c>
    </row>
    <row r="781" spans="1:2" x14ac:dyDescent="0.25">
      <c r="A781" s="5">
        <v>137</v>
      </c>
      <c r="B781" s="5">
        <v>5</v>
      </c>
    </row>
    <row r="782" spans="1:2" x14ac:dyDescent="0.25">
      <c r="A782" s="5">
        <v>137</v>
      </c>
      <c r="B782" s="5">
        <v>3</v>
      </c>
    </row>
    <row r="783" spans="1:2" x14ac:dyDescent="0.25">
      <c r="A783" s="5">
        <v>140</v>
      </c>
      <c r="B783" s="5">
        <v>2</v>
      </c>
    </row>
    <row r="784" spans="1:2" x14ac:dyDescent="0.25">
      <c r="A784" s="5">
        <v>139</v>
      </c>
      <c r="B784" s="5">
        <v>3</v>
      </c>
    </row>
    <row r="785" spans="1:2" x14ac:dyDescent="0.25">
      <c r="A785" s="5">
        <v>138</v>
      </c>
      <c r="B785" s="5">
        <v>5</v>
      </c>
    </row>
    <row r="786" spans="1:2" x14ac:dyDescent="0.25">
      <c r="A786" s="5">
        <v>79</v>
      </c>
      <c r="B786" s="5">
        <v>9</v>
      </c>
    </row>
    <row r="787" spans="1:2" x14ac:dyDescent="0.25">
      <c r="A787" s="5">
        <v>136</v>
      </c>
      <c r="B787" s="5">
        <v>3</v>
      </c>
    </row>
    <row r="788" spans="1:2" x14ac:dyDescent="0.25">
      <c r="A788" s="5">
        <v>145</v>
      </c>
      <c r="B788" s="5">
        <v>3</v>
      </c>
    </row>
    <row r="789" spans="1:2" x14ac:dyDescent="0.25">
      <c r="A789" s="5">
        <v>44</v>
      </c>
      <c r="B789" s="5">
        <v>2</v>
      </c>
    </row>
    <row r="790" spans="1:2" x14ac:dyDescent="0.25">
      <c r="A790" s="5">
        <v>79</v>
      </c>
      <c r="B790" s="5">
        <v>7</v>
      </c>
    </row>
    <row r="791" spans="1:2" x14ac:dyDescent="0.25">
      <c r="A791" s="5">
        <v>79</v>
      </c>
      <c r="B791" s="5">
        <v>4</v>
      </c>
    </row>
    <row r="792" spans="1:2" x14ac:dyDescent="0.25">
      <c r="A792" s="5">
        <v>134</v>
      </c>
      <c r="B792" s="5">
        <v>3</v>
      </c>
    </row>
    <row r="793" spans="1:2" x14ac:dyDescent="0.25">
      <c r="A793" s="5">
        <v>133</v>
      </c>
      <c r="B793" s="5">
        <v>5</v>
      </c>
    </row>
    <row r="794" spans="1:2" x14ac:dyDescent="0.25">
      <c r="A794" s="5">
        <v>47</v>
      </c>
      <c r="B794" s="5">
        <v>7</v>
      </c>
    </row>
    <row r="795" spans="1:2" x14ac:dyDescent="0.25">
      <c r="A795" s="5">
        <v>133</v>
      </c>
      <c r="B795" s="5">
        <v>1</v>
      </c>
    </row>
    <row r="796" spans="1:2" x14ac:dyDescent="0.25">
      <c r="A796" s="5">
        <v>78</v>
      </c>
      <c r="B796" s="5">
        <v>3</v>
      </c>
    </row>
    <row r="797" spans="1:2" x14ac:dyDescent="0.25">
      <c r="A797" s="5">
        <v>78</v>
      </c>
      <c r="B797" s="5">
        <v>1</v>
      </c>
    </row>
    <row r="798" spans="1:2" x14ac:dyDescent="0.25">
      <c r="A798" s="5">
        <v>76</v>
      </c>
      <c r="B798" s="5">
        <v>8</v>
      </c>
    </row>
    <row r="799" spans="1:2" x14ac:dyDescent="0.25">
      <c r="A799" s="5">
        <v>76</v>
      </c>
      <c r="B799" s="5">
        <v>1</v>
      </c>
    </row>
    <row r="800" spans="1:2" x14ac:dyDescent="0.25">
      <c r="A800" s="5">
        <v>76</v>
      </c>
      <c r="B800" s="5">
        <v>3</v>
      </c>
    </row>
    <row r="801" spans="1:2" x14ac:dyDescent="0.25">
      <c r="A801" s="5">
        <v>74</v>
      </c>
      <c r="B801" s="5">
        <v>3</v>
      </c>
    </row>
    <row r="802" spans="1:2" x14ac:dyDescent="0.25">
      <c r="A802" s="5">
        <v>74</v>
      </c>
      <c r="B802" s="5">
        <v>3</v>
      </c>
    </row>
    <row r="803" spans="1:2" x14ac:dyDescent="0.25">
      <c r="A803" s="5">
        <v>146</v>
      </c>
      <c r="B803" s="5">
        <v>3</v>
      </c>
    </row>
    <row r="804" spans="1:2" x14ac:dyDescent="0.25">
      <c r="A804" s="5">
        <v>73</v>
      </c>
      <c r="B804" s="5">
        <v>1</v>
      </c>
    </row>
    <row r="805" spans="1:2" x14ac:dyDescent="0.25">
      <c r="A805" s="5">
        <v>80</v>
      </c>
      <c r="B805" s="5">
        <v>3</v>
      </c>
    </row>
    <row r="806" spans="1:2" x14ac:dyDescent="0.25">
      <c r="A806" s="5">
        <v>133</v>
      </c>
      <c r="B806" s="5">
        <v>5</v>
      </c>
    </row>
    <row r="807" spans="1:2" x14ac:dyDescent="0.25">
      <c r="A807" s="5">
        <v>146</v>
      </c>
      <c r="B807" s="5">
        <v>2</v>
      </c>
    </row>
    <row r="808" spans="1:2" x14ac:dyDescent="0.25">
      <c r="A808" s="5">
        <v>130</v>
      </c>
      <c r="B808" s="5">
        <v>4</v>
      </c>
    </row>
    <row r="809" spans="1:2" x14ac:dyDescent="0.25">
      <c r="A809" s="5">
        <v>141</v>
      </c>
      <c r="B809" s="5">
        <v>3</v>
      </c>
    </row>
    <row r="810" spans="1:2" x14ac:dyDescent="0.25">
      <c r="A810" s="5">
        <v>147</v>
      </c>
      <c r="B810" s="5">
        <v>3</v>
      </c>
    </row>
    <row r="811" spans="1:2" x14ac:dyDescent="0.25">
      <c r="A811" s="5">
        <v>73</v>
      </c>
      <c r="B811" s="5">
        <v>1</v>
      </c>
    </row>
    <row r="812" spans="1:2" x14ac:dyDescent="0.25">
      <c r="A812" s="5">
        <v>148</v>
      </c>
      <c r="B812" s="5">
        <v>7</v>
      </c>
    </row>
    <row r="813" spans="1:2" x14ac:dyDescent="0.25">
      <c r="A813" s="5">
        <v>58</v>
      </c>
      <c r="B813" s="5">
        <v>4</v>
      </c>
    </row>
    <row r="814" spans="1:2" x14ac:dyDescent="0.25">
      <c r="A814" s="5">
        <v>21</v>
      </c>
      <c r="B814" s="5">
        <v>3</v>
      </c>
    </row>
    <row r="815" spans="1:2" x14ac:dyDescent="0.25">
      <c r="A815" s="5">
        <v>148</v>
      </c>
      <c r="B815" s="5">
        <v>3</v>
      </c>
    </row>
    <row r="816" spans="1:2" x14ac:dyDescent="0.25">
      <c r="A816" s="5">
        <v>144</v>
      </c>
      <c r="B816" s="5">
        <v>4</v>
      </c>
    </row>
    <row r="817" spans="1:2" x14ac:dyDescent="0.25">
      <c r="A817" s="5">
        <v>145</v>
      </c>
      <c r="B817" s="5">
        <v>5</v>
      </c>
    </row>
    <row r="818" spans="1:2" x14ac:dyDescent="0.25">
      <c r="A818" s="5">
        <v>72</v>
      </c>
      <c r="B818" s="5">
        <v>1</v>
      </c>
    </row>
    <row r="819" spans="1:2" x14ac:dyDescent="0.25">
      <c r="A819" s="5">
        <v>125</v>
      </c>
      <c r="B819" s="5">
        <v>5</v>
      </c>
    </row>
    <row r="820" spans="1:2" x14ac:dyDescent="0.25">
      <c r="A820" s="5">
        <v>149</v>
      </c>
      <c r="B820" s="5">
        <v>3</v>
      </c>
    </row>
    <row r="821" spans="1:2" x14ac:dyDescent="0.25">
      <c r="A821" s="5">
        <v>72</v>
      </c>
      <c r="B821" s="5">
        <v>2</v>
      </c>
    </row>
    <row r="822" spans="1:2" x14ac:dyDescent="0.25">
      <c r="A822" s="5">
        <v>71</v>
      </c>
      <c r="B822" s="5">
        <v>8</v>
      </c>
    </row>
    <row r="823" spans="1:2" x14ac:dyDescent="0.25">
      <c r="A823" s="5">
        <v>71</v>
      </c>
      <c r="B823" s="5">
        <v>4</v>
      </c>
    </row>
    <row r="824" spans="1:2" x14ac:dyDescent="0.25">
      <c r="A824" s="5">
        <v>154</v>
      </c>
      <c r="B824" s="5">
        <v>3</v>
      </c>
    </row>
    <row r="825" spans="1:2" x14ac:dyDescent="0.25">
      <c r="A825" s="5">
        <v>191</v>
      </c>
      <c r="B825" s="5">
        <v>8</v>
      </c>
    </row>
    <row r="826" spans="1:2" x14ac:dyDescent="0.25">
      <c r="A826" s="5">
        <v>170</v>
      </c>
      <c r="B826" s="5">
        <v>5</v>
      </c>
    </row>
    <row r="827" spans="1:2" x14ac:dyDescent="0.25">
      <c r="A827" s="5">
        <v>47</v>
      </c>
      <c r="B827" s="5">
        <v>2</v>
      </c>
    </row>
    <row r="828" spans="1:2" x14ac:dyDescent="0.25">
      <c r="A828" s="5">
        <v>122</v>
      </c>
      <c r="B828" s="5">
        <v>4</v>
      </c>
    </row>
    <row r="829" spans="1:2" x14ac:dyDescent="0.25">
      <c r="A829" s="5">
        <v>70</v>
      </c>
      <c r="B829" s="5">
        <v>5</v>
      </c>
    </row>
    <row r="830" spans="1:2" x14ac:dyDescent="0.25">
      <c r="A830" s="5">
        <v>155</v>
      </c>
      <c r="B830" s="5">
        <v>3</v>
      </c>
    </row>
    <row r="831" spans="1:2" x14ac:dyDescent="0.25">
      <c r="A831" s="5">
        <v>67</v>
      </c>
      <c r="B831" s="5">
        <v>9</v>
      </c>
    </row>
    <row r="832" spans="1:2" x14ac:dyDescent="0.25">
      <c r="A832" s="5">
        <v>67</v>
      </c>
      <c r="B832" s="5">
        <v>3</v>
      </c>
    </row>
    <row r="833" spans="1:2" x14ac:dyDescent="0.25">
      <c r="A833" s="5">
        <v>148</v>
      </c>
      <c r="B833" s="5">
        <v>2</v>
      </c>
    </row>
    <row r="834" spans="1:2" x14ac:dyDescent="0.25">
      <c r="A834" s="5">
        <v>122</v>
      </c>
      <c r="B834" s="5">
        <v>6</v>
      </c>
    </row>
    <row r="835" spans="1:2" x14ac:dyDescent="0.25">
      <c r="A835" s="5">
        <v>16</v>
      </c>
      <c r="B835" s="5">
        <v>2</v>
      </c>
    </row>
    <row r="836" spans="1:2" x14ac:dyDescent="0.25">
      <c r="A836" s="5">
        <v>121</v>
      </c>
      <c r="B836" s="5">
        <v>3</v>
      </c>
    </row>
    <row r="837" spans="1:2" x14ac:dyDescent="0.25">
      <c r="A837" s="5">
        <v>42</v>
      </c>
      <c r="B837" s="5">
        <v>12</v>
      </c>
    </row>
    <row r="838" spans="1:2" x14ac:dyDescent="0.25">
      <c r="A838" s="5">
        <v>65</v>
      </c>
      <c r="B838" s="5">
        <v>6</v>
      </c>
    </row>
    <row r="839" spans="1:2" x14ac:dyDescent="0.25">
      <c r="A839" s="5">
        <v>119</v>
      </c>
      <c r="B839" s="5">
        <v>7</v>
      </c>
    </row>
    <row r="840" spans="1:2" x14ac:dyDescent="0.25">
      <c r="A840" s="5">
        <v>155</v>
      </c>
      <c r="B840" s="5">
        <v>3</v>
      </c>
    </row>
    <row r="841" spans="1:2" x14ac:dyDescent="0.25">
      <c r="A841" s="5">
        <v>119</v>
      </c>
      <c r="B841" s="5">
        <v>8</v>
      </c>
    </row>
    <row r="842" spans="1:2" x14ac:dyDescent="0.25">
      <c r="A842" s="5">
        <v>118</v>
      </c>
      <c r="B842" s="5">
        <v>4</v>
      </c>
    </row>
    <row r="843" spans="1:2" x14ac:dyDescent="0.25">
      <c r="A843" s="5">
        <v>116</v>
      </c>
      <c r="B843" s="5">
        <v>1</v>
      </c>
    </row>
    <row r="844" spans="1:2" x14ac:dyDescent="0.25">
      <c r="A844" s="5">
        <v>158</v>
      </c>
      <c r="B844" s="5">
        <v>10</v>
      </c>
    </row>
    <row r="845" spans="1:2" x14ac:dyDescent="0.25">
      <c r="A845" s="5">
        <v>158</v>
      </c>
      <c r="B845" s="5">
        <v>3</v>
      </c>
    </row>
    <row r="846" spans="1:2" x14ac:dyDescent="0.25">
      <c r="A846" s="5">
        <v>65</v>
      </c>
      <c r="B846" s="5">
        <v>3</v>
      </c>
    </row>
    <row r="847" spans="1:2" x14ac:dyDescent="0.25">
      <c r="A847" s="5">
        <v>160</v>
      </c>
      <c r="B847" s="5">
        <v>2</v>
      </c>
    </row>
    <row r="848" spans="1:2" x14ac:dyDescent="0.25">
      <c r="A848" s="5">
        <v>162</v>
      </c>
      <c r="B848" s="5">
        <v>3</v>
      </c>
    </row>
    <row r="849" spans="1:2" x14ac:dyDescent="0.25">
      <c r="A849" s="5">
        <v>63</v>
      </c>
      <c r="B849" s="5">
        <v>4</v>
      </c>
    </row>
    <row r="850" spans="1:2" x14ac:dyDescent="0.25">
      <c r="A850" s="5">
        <v>64</v>
      </c>
      <c r="B850" s="5">
        <v>5</v>
      </c>
    </row>
    <row r="851" spans="1:2" x14ac:dyDescent="0.25">
      <c r="A851" s="5">
        <v>166</v>
      </c>
      <c r="B851" s="5">
        <v>4</v>
      </c>
    </row>
    <row r="852" spans="1:2" x14ac:dyDescent="0.25">
      <c r="A852" s="5">
        <v>167</v>
      </c>
      <c r="B852" s="5">
        <v>7</v>
      </c>
    </row>
    <row r="853" spans="1:2" x14ac:dyDescent="0.25">
      <c r="A853" s="5">
        <v>123</v>
      </c>
      <c r="B853" s="5">
        <v>3</v>
      </c>
    </row>
    <row r="854" spans="1:2" x14ac:dyDescent="0.25">
      <c r="A854" s="5">
        <v>63</v>
      </c>
      <c r="B854" s="5">
        <v>2</v>
      </c>
    </row>
    <row r="855" spans="1:2" x14ac:dyDescent="0.25">
      <c r="A855" s="5">
        <v>891</v>
      </c>
      <c r="B855" s="5">
        <v>5</v>
      </c>
    </row>
    <row r="856" spans="1:2" x14ac:dyDescent="0.25">
      <c r="A856" s="5">
        <v>75</v>
      </c>
      <c r="B856" s="5">
        <v>9</v>
      </c>
    </row>
    <row r="857" spans="1:2" x14ac:dyDescent="0.25">
      <c r="A857" s="5">
        <v>62</v>
      </c>
      <c r="B857" s="5">
        <v>5</v>
      </c>
    </row>
    <row r="858" spans="1:2" x14ac:dyDescent="0.25">
      <c r="A858" s="5">
        <v>29</v>
      </c>
      <c r="B858" s="5">
        <v>7</v>
      </c>
    </row>
    <row r="859" spans="1:2" x14ac:dyDescent="0.25">
      <c r="A859" s="5">
        <v>168</v>
      </c>
      <c r="B859" s="5">
        <v>6</v>
      </c>
    </row>
    <row r="860" spans="1:2" x14ac:dyDescent="0.25">
      <c r="A860" s="5">
        <v>70</v>
      </c>
      <c r="B860" s="5">
        <v>3</v>
      </c>
    </row>
    <row r="861" spans="1:2" x14ac:dyDescent="0.25">
      <c r="A861" s="5">
        <v>169</v>
      </c>
      <c r="B861" s="5">
        <v>4</v>
      </c>
    </row>
    <row r="862" spans="1:2" x14ac:dyDescent="0.25">
      <c r="A862" s="5">
        <v>32</v>
      </c>
      <c r="B862" s="5">
        <v>2</v>
      </c>
    </row>
    <row r="863" spans="1:2" x14ac:dyDescent="0.25">
      <c r="A863" s="5">
        <v>44</v>
      </c>
      <c r="B863" s="5">
        <v>3</v>
      </c>
    </row>
    <row r="864" spans="1:2" x14ac:dyDescent="0.25">
      <c r="A864" s="5">
        <v>116</v>
      </c>
      <c r="B864" s="5">
        <v>5</v>
      </c>
    </row>
    <row r="865" spans="1:2" x14ac:dyDescent="0.25">
      <c r="A865" s="5">
        <v>156</v>
      </c>
      <c r="B865" s="5">
        <v>3</v>
      </c>
    </row>
    <row r="866" spans="1:2" x14ac:dyDescent="0.25">
      <c r="A866" s="5">
        <v>62</v>
      </c>
      <c r="B866" s="5">
        <v>6</v>
      </c>
    </row>
    <row r="867" spans="1:2" x14ac:dyDescent="0.25">
      <c r="A867" s="5">
        <v>54</v>
      </c>
      <c r="B867" s="5">
        <v>2</v>
      </c>
    </row>
    <row r="868" spans="1:2" x14ac:dyDescent="0.25">
      <c r="A868" s="5">
        <v>111</v>
      </c>
      <c r="B868" s="5">
        <v>9</v>
      </c>
    </row>
    <row r="869" spans="1:2" x14ac:dyDescent="0.25">
      <c r="A869" s="5">
        <v>158</v>
      </c>
      <c r="B869" s="5">
        <v>4</v>
      </c>
    </row>
    <row r="870" spans="1:2" x14ac:dyDescent="0.25">
      <c r="A870" s="5">
        <v>7</v>
      </c>
      <c r="B870" s="5">
        <v>2</v>
      </c>
    </row>
    <row r="871" spans="1:2" x14ac:dyDescent="0.25">
      <c r="A871" s="5">
        <v>61</v>
      </c>
      <c r="B871" s="5">
        <v>2</v>
      </c>
    </row>
    <row r="872" spans="1:2" x14ac:dyDescent="0.25">
      <c r="A872" s="5">
        <v>61</v>
      </c>
      <c r="B872" s="5">
        <v>4</v>
      </c>
    </row>
    <row r="873" spans="1:2" x14ac:dyDescent="0.25">
      <c r="A873" s="5">
        <v>154</v>
      </c>
      <c r="B873" s="5">
        <v>4</v>
      </c>
    </row>
    <row r="874" spans="1:2" x14ac:dyDescent="0.25">
      <c r="A874" s="5">
        <v>62</v>
      </c>
      <c r="B874" s="5">
        <v>3</v>
      </c>
    </row>
    <row r="875" spans="1:2" x14ac:dyDescent="0.25">
      <c r="A875" s="5">
        <v>169</v>
      </c>
      <c r="B875" s="5">
        <v>3</v>
      </c>
    </row>
    <row r="876" spans="1:2" x14ac:dyDescent="0.25">
      <c r="A876" s="5">
        <v>61</v>
      </c>
      <c r="B876" s="5">
        <v>2</v>
      </c>
    </row>
    <row r="877" spans="1:2" x14ac:dyDescent="0.25">
      <c r="A877" s="5">
        <v>61</v>
      </c>
      <c r="B877" s="5">
        <v>2</v>
      </c>
    </row>
    <row r="878" spans="1:2" x14ac:dyDescent="0.25">
      <c r="A878" s="5">
        <v>171</v>
      </c>
      <c r="B878" s="5">
        <v>9</v>
      </c>
    </row>
    <row r="879" spans="1:2" x14ac:dyDescent="0.25">
      <c r="A879" s="5">
        <v>60</v>
      </c>
      <c r="B879" s="5">
        <v>8</v>
      </c>
    </row>
    <row r="880" spans="1:2" x14ac:dyDescent="0.25">
      <c r="A880" s="5">
        <v>25</v>
      </c>
      <c r="B880" s="5">
        <v>1</v>
      </c>
    </row>
    <row r="881" spans="1:2" x14ac:dyDescent="0.25">
      <c r="A881" s="5">
        <v>163</v>
      </c>
      <c r="B881" s="5">
        <v>4</v>
      </c>
    </row>
    <row r="882" spans="1:2" x14ac:dyDescent="0.25">
      <c r="A882" s="5">
        <v>173</v>
      </c>
      <c r="B882" s="5">
        <v>1</v>
      </c>
    </row>
    <row r="883" spans="1:2" x14ac:dyDescent="0.25">
      <c r="A883" s="5">
        <v>257</v>
      </c>
      <c r="B883" s="5">
        <v>2</v>
      </c>
    </row>
    <row r="884" spans="1:2" x14ac:dyDescent="0.25">
      <c r="A884" s="5">
        <v>108</v>
      </c>
      <c r="B884" s="5">
        <v>2</v>
      </c>
    </row>
    <row r="885" spans="1:2" x14ac:dyDescent="0.25">
      <c r="A885" s="5">
        <v>177</v>
      </c>
      <c r="B885" s="5">
        <v>4</v>
      </c>
    </row>
    <row r="886" spans="1:2" x14ac:dyDescent="0.25">
      <c r="A886" s="5">
        <v>106</v>
      </c>
      <c r="B886" s="5">
        <v>7</v>
      </c>
    </row>
    <row r="887" spans="1:2" x14ac:dyDescent="0.25">
      <c r="A887" s="5">
        <v>41</v>
      </c>
      <c r="B887" s="5">
        <v>5</v>
      </c>
    </row>
    <row r="888" spans="1:2" x14ac:dyDescent="0.25">
      <c r="A888" s="5">
        <v>168</v>
      </c>
      <c r="B888" s="5">
        <v>3</v>
      </c>
    </row>
    <row r="889" spans="1:2" x14ac:dyDescent="0.25">
      <c r="A889" s="5">
        <v>60</v>
      </c>
      <c r="B889" s="5">
        <v>4</v>
      </c>
    </row>
    <row r="890" spans="1:2" x14ac:dyDescent="0.25">
      <c r="A890" s="5">
        <v>31</v>
      </c>
      <c r="B890" s="5">
        <v>4</v>
      </c>
    </row>
    <row r="891" spans="1:2" x14ac:dyDescent="0.25">
      <c r="A891" s="5">
        <v>179</v>
      </c>
      <c r="B891" s="5">
        <v>2</v>
      </c>
    </row>
    <row r="892" spans="1:2" x14ac:dyDescent="0.25">
      <c r="A892" s="5">
        <v>106</v>
      </c>
      <c r="B892" s="5">
        <v>3</v>
      </c>
    </row>
    <row r="893" spans="1:2" x14ac:dyDescent="0.25">
      <c r="A893" s="5">
        <v>60</v>
      </c>
      <c r="B893" s="5">
        <v>2</v>
      </c>
    </row>
    <row r="894" spans="1:2" x14ac:dyDescent="0.25">
      <c r="A894" s="5">
        <v>180</v>
      </c>
      <c r="B894" s="5">
        <v>3</v>
      </c>
    </row>
    <row r="895" spans="1:2" x14ac:dyDescent="0.25">
      <c r="A895" s="5">
        <v>60</v>
      </c>
      <c r="B895" s="5">
        <v>2</v>
      </c>
    </row>
    <row r="896" spans="1:2" x14ac:dyDescent="0.25">
      <c r="A896" s="5">
        <v>59</v>
      </c>
      <c r="B896" s="5">
        <v>3</v>
      </c>
    </row>
    <row r="897" spans="1:2" x14ac:dyDescent="0.25">
      <c r="A897" s="5">
        <v>170</v>
      </c>
      <c r="B897" s="5">
        <v>2</v>
      </c>
    </row>
    <row r="898" spans="1:2" x14ac:dyDescent="0.25">
      <c r="A898" s="5">
        <v>59</v>
      </c>
      <c r="B898" s="5">
        <v>2</v>
      </c>
    </row>
    <row r="899" spans="1:2" x14ac:dyDescent="0.25">
      <c r="A899" s="5">
        <v>24</v>
      </c>
      <c r="B899" s="5">
        <v>7</v>
      </c>
    </row>
    <row r="900" spans="1:2" x14ac:dyDescent="0.25">
      <c r="A900" s="5">
        <v>105</v>
      </c>
      <c r="B900" s="5">
        <v>8</v>
      </c>
    </row>
    <row r="901" spans="1:2" x14ac:dyDescent="0.25">
      <c r="A901" s="5">
        <v>103</v>
      </c>
      <c r="B901" s="5">
        <v>2</v>
      </c>
    </row>
    <row r="902" spans="1:2" x14ac:dyDescent="0.25">
      <c r="A902" s="5">
        <v>171</v>
      </c>
      <c r="B902" s="5">
        <v>6</v>
      </c>
    </row>
    <row r="903" spans="1:2" x14ac:dyDescent="0.25">
      <c r="A903" s="5">
        <v>102</v>
      </c>
      <c r="B903" s="5">
        <v>2</v>
      </c>
    </row>
    <row r="904" spans="1:2" x14ac:dyDescent="0.25">
      <c r="A904" s="5">
        <v>98</v>
      </c>
      <c r="B904" s="5">
        <v>2</v>
      </c>
    </row>
    <row r="905" spans="1:2" x14ac:dyDescent="0.25">
      <c r="A905" s="5">
        <v>59</v>
      </c>
      <c r="B905" s="5">
        <v>4</v>
      </c>
    </row>
    <row r="906" spans="1:2" x14ac:dyDescent="0.25">
      <c r="A906" s="5">
        <v>189</v>
      </c>
      <c r="B906" s="5">
        <v>4</v>
      </c>
    </row>
    <row r="907" spans="1:2" x14ac:dyDescent="0.25">
      <c r="A907" s="5">
        <v>58</v>
      </c>
      <c r="B907" s="5">
        <v>3</v>
      </c>
    </row>
    <row r="908" spans="1:2" x14ac:dyDescent="0.25">
      <c r="A908" s="5">
        <v>60</v>
      </c>
      <c r="B908" s="5">
        <v>3</v>
      </c>
    </row>
    <row r="909" spans="1:2" x14ac:dyDescent="0.25">
      <c r="A909" s="5">
        <v>58</v>
      </c>
      <c r="B909" s="5">
        <v>2</v>
      </c>
    </row>
    <row r="910" spans="1:2" x14ac:dyDescent="0.25">
      <c r="A910" s="5">
        <v>94</v>
      </c>
      <c r="B910" s="5">
        <v>2</v>
      </c>
    </row>
    <row r="911" spans="1:2" x14ac:dyDescent="0.25">
      <c r="A911" s="5">
        <v>193</v>
      </c>
      <c r="B911" s="5">
        <v>3</v>
      </c>
    </row>
    <row r="912" spans="1:2" x14ac:dyDescent="0.25">
      <c r="A912" s="5">
        <v>199</v>
      </c>
      <c r="B912" s="5">
        <v>4</v>
      </c>
    </row>
    <row r="913" spans="1:2" x14ac:dyDescent="0.25">
      <c r="A913" s="5">
        <v>202</v>
      </c>
      <c r="B913" s="5">
        <v>9</v>
      </c>
    </row>
    <row r="914" spans="1:2" x14ac:dyDescent="0.25">
      <c r="A914" s="5">
        <v>58</v>
      </c>
      <c r="B914" s="5">
        <v>2</v>
      </c>
    </row>
    <row r="915" spans="1:2" x14ac:dyDescent="0.25">
      <c r="A915" s="5">
        <v>57</v>
      </c>
      <c r="B915" s="5">
        <v>2</v>
      </c>
    </row>
    <row r="916" spans="1:2" x14ac:dyDescent="0.25">
      <c r="A916" s="5">
        <v>204</v>
      </c>
      <c r="B916" s="5">
        <v>4</v>
      </c>
    </row>
    <row r="917" spans="1:2" x14ac:dyDescent="0.25">
      <c r="A917" s="5">
        <v>98</v>
      </c>
      <c r="B917" s="5">
        <v>2</v>
      </c>
    </row>
    <row r="918" spans="1:2" x14ac:dyDescent="0.25">
      <c r="A918" s="5">
        <v>22</v>
      </c>
      <c r="B918" s="5">
        <v>3</v>
      </c>
    </row>
    <row r="919" spans="1:2" x14ac:dyDescent="0.25">
      <c r="A919" s="5">
        <v>97</v>
      </c>
      <c r="B919" s="5">
        <v>2</v>
      </c>
    </row>
    <row r="920" spans="1:2" x14ac:dyDescent="0.25">
      <c r="A920" s="5">
        <v>57</v>
      </c>
      <c r="B920" s="5">
        <v>5</v>
      </c>
    </row>
    <row r="921" spans="1:2" x14ac:dyDescent="0.25">
      <c r="A921" s="5">
        <v>97</v>
      </c>
      <c r="B921" s="5">
        <v>2</v>
      </c>
    </row>
    <row r="922" spans="1:2" x14ac:dyDescent="0.25">
      <c r="A922" s="5">
        <v>97</v>
      </c>
      <c r="B922" s="5">
        <v>2</v>
      </c>
    </row>
    <row r="923" spans="1:2" x14ac:dyDescent="0.25">
      <c r="A923" s="5">
        <v>96</v>
      </c>
      <c r="B923" s="5">
        <v>5</v>
      </c>
    </row>
    <row r="924" spans="1:2" x14ac:dyDescent="0.25">
      <c r="A924" s="5">
        <v>94</v>
      </c>
      <c r="B924" s="5">
        <v>2</v>
      </c>
    </row>
    <row r="925" spans="1:2" x14ac:dyDescent="0.25">
      <c r="A925" s="5">
        <v>26</v>
      </c>
      <c r="B925" s="5">
        <v>1</v>
      </c>
    </row>
    <row r="926" spans="1:2" x14ac:dyDescent="0.25">
      <c r="A926" s="5">
        <v>93</v>
      </c>
      <c r="B926" s="5">
        <v>2</v>
      </c>
    </row>
    <row r="927" spans="1:2" x14ac:dyDescent="0.25">
      <c r="A927" s="5">
        <v>93</v>
      </c>
      <c r="B927" s="5">
        <v>4</v>
      </c>
    </row>
    <row r="928" spans="1:2" x14ac:dyDescent="0.25">
      <c r="A928" s="5">
        <v>92</v>
      </c>
      <c r="B928" s="5">
        <v>6</v>
      </c>
    </row>
    <row r="929" spans="1:2" x14ac:dyDescent="0.25">
      <c r="A929" s="5">
        <v>57</v>
      </c>
      <c r="B929" s="5">
        <v>2</v>
      </c>
    </row>
    <row r="930" spans="1:2" x14ac:dyDescent="0.25">
      <c r="A930" s="5">
        <v>57</v>
      </c>
      <c r="B930" s="5">
        <v>3</v>
      </c>
    </row>
    <row r="931" spans="1:2" x14ac:dyDescent="0.25">
      <c r="A931" s="5">
        <v>57</v>
      </c>
      <c r="B931" s="5">
        <v>4</v>
      </c>
    </row>
    <row r="932" spans="1:2" x14ac:dyDescent="0.25">
      <c r="A932" s="5">
        <v>128</v>
      </c>
      <c r="B932" s="5">
        <v>3</v>
      </c>
    </row>
    <row r="933" spans="1:2" x14ac:dyDescent="0.25">
      <c r="A933" s="5">
        <v>89</v>
      </c>
      <c r="B933" s="5">
        <v>5</v>
      </c>
    </row>
    <row r="934" spans="1:2" x14ac:dyDescent="0.25">
      <c r="A934" s="5">
        <v>221</v>
      </c>
      <c r="B934" s="5">
        <v>7</v>
      </c>
    </row>
    <row r="935" spans="1:2" x14ac:dyDescent="0.25">
      <c r="A935" s="5">
        <v>205</v>
      </c>
      <c r="B935" s="5">
        <v>3</v>
      </c>
    </row>
    <row r="936" spans="1:2" x14ac:dyDescent="0.25">
      <c r="A936" s="5">
        <v>191</v>
      </c>
      <c r="B936" s="5">
        <v>5</v>
      </c>
    </row>
    <row r="937" spans="1:2" x14ac:dyDescent="0.25">
      <c r="A937" s="5">
        <v>206</v>
      </c>
      <c r="B937" s="5">
        <v>4</v>
      </c>
    </row>
    <row r="938" spans="1:2" x14ac:dyDescent="0.25">
      <c r="A938" s="5">
        <v>56</v>
      </c>
      <c r="B938" s="5">
        <v>4</v>
      </c>
    </row>
    <row r="939" spans="1:2" x14ac:dyDescent="0.25">
      <c r="A939" s="5">
        <v>88</v>
      </c>
      <c r="B939" s="5">
        <v>4</v>
      </c>
    </row>
    <row r="940" spans="1:2" x14ac:dyDescent="0.25">
      <c r="A940" s="5">
        <v>224</v>
      </c>
      <c r="B940" s="5">
        <v>3</v>
      </c>
    </row>
    <row r="941" spans="1:2" x14ac:dyDescent="0.25">
      <c r="A941" s="5">
        <v>193</v>
      </c>
      <c r="B941" s="5">
        <v>4</v>
      </c>
    </row>
    <row r="942" spans="1:2" x14ac:dyDescent="0.25">
      <c r="A942" s="5">
        <v>87</v>
      </c>
      <c r="B942" s="5">
        <v>5</v>
      </c>
    </row>
    <row r="943" spans="1:2" x14ac:dyDescent="0.25">
      <c r="A943" s="5">
        <v>189</v>
      </c>
      <c r="B943" s="5">
        <v>1</v>
      </c>
    </row>
    <row r="944" spans="1:2" x14ac:dyDescent="0.25">
      <c r="A944" s="5">
        <v>55</v>
      </c>
      <c r="B944" s="5">
        <v>2</v>
      </c>
    </row>
    <row r="945" spans="1:2" x14ac:dyDescent="0.25">
      <c r="A945" s="5">
        <v>85</v>
      </c>
      <c r="B945" s="5">
        <v>3</v>
      </c>
    </row>
    <row r="946" spans="1:2" x14ac:dyDescent="0.25">
      <c r="A946" s="5">
        <v>252</v>
      </c>
      <c r="B946" s="5">
        <v>2</v>
      </c>
    </row>
    <row r="947" spans="1:2" x14ac:dyDescent="0.25">
      <c r="A947" s="5">
        <v>197</v>
      </c>
      <c r="B947" s="5">
        <v>1</v>
      </c>
    </row>
    <row r="948" spans="1:2" x14ac:dyDescent="0.25">
      <c r="A948" s="5">
        <v>17</v>
      </c>
      <c r="B948" s="5">
        <v>2</v>
      </c>
    </row>
    <row r="949" spans="1:2" x14ac:dyDescent="0.25">
      <c r="A949" s="5">
        <v>100</v>
      </c>
      <c r="B949" s="5">
        <v>2</v>
      </c>
    </row>
    <row r="950" spans="1:2" x14ac:dyDescent="0.25">
      <c r="A950" s="5">
        <v>80</v>
      </c>
      <c r="B950" s="5">
        <v>5</v>
      </c>
    </row>
    <row r="951" spans="1:2" x14ac:dyDescent="0.25">
      <c r="A951" s="5">
        <v>75</v>
      </c>
      <c r="B951" s="5">
        <v>1</v>
      </c>
    </row>
    <row r="952" spans="1:2" x14ac:dyDescent="0.25">
      <c r="A952" s="5">
        <v>26</v>
      </c>
      <c r="B952" s="5">
        <v>2</v>
      </c>
    </row>
    <row r="953" spans="1:2" x14ac:dyDescent="0.25">
      <c r="A953" s="5">
        <v>55</v>
      </c>
      <c r="B953" s="5">
        <v>5</v>
      </c>
    </row>
    <row r="954" spans="1:2" x14ac:dyDescent="0.25">
      <c r="A954" s="5">
        <v>157</v>
      </c>
      <c r="B954" s="5">
        <v>9</v>
      </c>
    </row>
    <row r="955" spans="1:2" x14ac:dyDescent="0.25">
      <c r="A955" s="5">
        <v>200</v>
      </c>
      <c r="B955" s="5">
        <v>4</v>
      </c>
    </row>
    <row r="956" spans="1:2" x14ac:dyDescent="0.25">
      <c r="A956" s="5">
        <v>230</v>
      </c>
      <c r="B956" s="5">
        <v>2</v>
      </c>
    </row>
    <row r="957" spans="1:2" x14ac:dyDescent="0.25">
      <c r="A957" s="5">
        <v>213</v>
      </c>
      <c r="B957" s="5">
        <v>3</v>
      </c>
    </row>
    <row r="958" spans="1:2" x14ac:dyDescent="0.25">
      <c r="A958" s="5">
        <v>55</v>
      </c>
      <c r="B958" s="5">
        <v>2</v>
      </c>
    </row>
    <row r="959" spans="1:2" x14ac:dyDescent="0.25">
      <c r="A959" s="5">
        <v>220</v>
      </c>
      <c r="B959" s="5">
        <v>2</v>
      </c>
    </row>
    <row r="960" spans="1:2" x14ac:dyDescent="0.25">
      <c r="A960" s="5">
        <v>150</v>
      </c>
      <c r="B960" s="5">
        <v>3</v>
      </c>
    </row>
    <row r="961" spans="1:2" x14ac:dyDescent="0.25">
      <c r="A961" s="5">
        <v>203</v>
      </c>
      <c r="B961" s="5">
        <v>2</v>
      </c>
    </row>
    <row r="962" spans="1:2" x14ac:dyDescent="0.25">
      <c r="A962" s="5">
        <v>93</v>
      </c>
      <c r="B962" s="5">
        <v>3</v>
      </c>
    </row>
    <row r="963" spans="1:2" x14ac:dyDescent="0.25">
      <c r="A963" s="5">
        <v>290</v>
      </c>
      <c r="B963" s="5">
        <v>6</v>
      </c>
    </row>
    <row r="964" spans="1:2" x14ac:dyDescent="0.25">
      <c r="A964" s="5">
        <v>48</v>
      </c>
      <c r="B964" s="5">
        <v>1</v>
      </c>
    </row>
    <row r="965" spans="1:2" x14ac:dyDescent="0.25">
      <c r="A965" s="5">
        <v>221</v>
      </c>
      <c r="B965" s="5">
        <v>4</v>
      </c>
    </row>
    <row r="966" spans="1:2" x14ac:dyDescent="0.25">
      <c r="A966" s="5">
        <v>55</v>
      </c>
      <c r="B966" s="5">
        <v>2</v>
      </c>
    </row>
    <row r="967" spans="1:2" x14ac:dyDescent="0.25">
      <c r="A967" s="5">
        <v>227</v>
      </c>
      <c r="B967" s="5">
        <v>8</v>
      </c>
    </row>
    <row r="968" spans="1:2" x14ac:dyDescent="0.25">
      <c r="A968" s="5">
        <v>55</v>
      </c>
      <c r="B968" s="5">
        <v>4</v>
      </c>
    </row>
    <row r="969" spans="1:2" x14ac:dyDescent="0.25">
      <c r="A969" s="5">
        <v>207</v>
      </c>
      <c r="B969" s="5">
        <v>2</v>
      </c>
    </row>
    <row r="970" spans="1:2" x14ac:dyDescent="0.25">
      <c r="A970" s="5">
        <v>64</v>
      </c>
      <c r="B970" s="5">
        <v>4</v>
      </c>
    </row>
    <row r="971" spans="1:2" x14ac:dyDescent="0.25">
      <c r="A971" s="5">
        <v>89</v>
      </c>
      <c r="B971" s="5">
        <v>5</v>
      </c>
    </row>
    <row r="972" spans="1:2" x14ac:dyDescent="0.25">
      <c r="A972" s="5">
        <v>54</v>
      </c>
      <c r="B972" s="5">
        <v>2</v>
      </c>
    </row>
    <row r="973" spans="1:2" x14ac:dyDescent="0.25">
      <c r="A973" s="5">
        <v>84</v>
      </c>
      <c r="B973" s="5">
        <v>3</v>
      </c>
    </row>
    <row r="974" spans="1:2" x14ac:dyDescent="0.25">
      <c r="A974" s="5">
        <v>209</v>
      </c>
      <c r="B974" s="5">
        <v>2</v>
      </c>
    </row>
    <row r="975" spans="1:2" x14ac:dyDescent="0.25">
      <c r="A975" s="5">
        <v>79</v>
      </c>
      <c r="B975" s="5">
        <v>4</v>
      </c>
    </row>
    <row r="976" spans="1:2" x14ac:dyDescent="0.25">
      <c r="A976" s="5">
        <v>54</v>
      </c>
      <c r="B976" s="5">
        <v>4</v>
      </c>
    </row>
    <row r="977" spans="1:2" x14ac:dyDescent="0.25">
      <c r="A977" s="5">
        <v>229</v>
      </c>
      <c r="B977" s="5">
        <v>9</v>
      </c>
    </row>
    <row r="978" spans="1:2" x14ac:dyDescent="0.25">
      <c r="A978" s="5">
        <v>158</v>
      </c>
      <c r="B978" s="5">
        <v>3</v>
      </c>
    </row>
    <row r="979" spans="1:2" x14ac:dyDescent="0.25">
      <c r="A979" s="5">
        <v>248</v>
      </c>
      <c r="B979" s="5">
        <v>2</v>
      </c>
    </row>
    <row r="980" spans="1:2" x14ac:dyDescent="0.25">
      <c r="A980" s="5">
        <v>199</v>
      </c>
      <c r="B980" s="5">
        <v>2</v>
      </c>
    </row>
    <row r="981" spans="1:2" x14ac:dyDescent="0.25">
      <c r="A981" s="5">
        <v>253</v>
      </c>
      <c r="B981" s="5">
        <v>1</v>
      </c>
    </row>
    <row r="982" spans="1:2" x14ac:dyDescent="0.25">
      <c r="A982" s="5">
        <v>257</v>
      </c>
      <c r="B982" s="5">
        <v>4</v>
      </c>
    </row>
    <row r="983" spans="1:2" x14ac:dyDescent="0.25">
      <c r="A983" s="5">
        <v>193</v>
      </c>
      <c r="B983" s="5">
        <v>5</v>
      </c>
    </row>
    <row r="984" spans="1:2" x14ac:dyDescent="0.25">
      <c r="A984" s="5">
        <v>109</v>
      </c>
      <c r="B984" s="5">
        <v>6</v>
      </c>
    </row>
    <row r="985" spans="1:2" x14ac:dyDescent="0.25">
      <c r="A985" s="5">
        <v>214</v>
      </c>
      <c r="B985" s="5">
        <v>3</v>
      </c>
    </row>
    <row r="986" spans="1:2" x14ac:dyDescent="0.25">
      <c r="A986" s="5">
        <v>141</v>
      </c>
      <c r="B986" s="5">
        <v>7</v>
      </c>
    </row>
    <row r="987" spans="1:2" x14ac:dyDescent="0.25">
      <c r="A987" s="5">
        <v>201</v>
      </c>
      <c r="B987" s="5">
        <v>4</v>
      </c>
    </row>
    <row r="988" spans="1:2" x14ac:dyDescent="0.25">
      <c r="A988" s="5">
        <v>54</v>
      </c>
      <c r="B988" s="5">
        <v>4</v>
      </c>
    </row>
    <row r="989" spans="1:2" x14ac:dyDescent="0.25">
      <c r="A989" s="5">
        <v>83</v>
      </c>
      <c r="B989" s="5">
        <v>6</v>
      </c>
    </row>
    <row r="990" spans="1:2" x14ac:dyDescent="0.25">
      <c r="A990" s="5">
        <v>54</v>
      </c>
      <c r="B990" s="5">
        <v>3</v>
      </c>
    </row>
    <row r="991" spans="1:2" x14ac:dyDescent="0.25">
      <c r="A991" s="5">
        <v>53</v>
      </c>
      <c r="B991" s="5">
        <v>3</v>
      </c>
    </row>
    <row r="992" spans="1:2" x14ac:dyDescent="0.25">
      <c r="A992" s="5">
        <v>258</v>
      </c>
      <c r="B992" s="5">
        <v>2</v>
      </c>
    </row>
    <row r="993" spans="1:2" x14ac:dyDescent="0.25">
      <c r="A993" s="5">
        <v>199</v>
      </c>
      <c r="B993" s="5">
        <v>2</v>
      </c>
    </row>
    <row r="994" spans="1:2" x14ac:dyDescent="0.25">
      <c r="A994" s="5">
        <v>82</v>
      </c>
      <c r="B994" s="5">
        <v>3</v>
      </c>
    </row>
    <row r="995" spans="1:2" x14ac:dyDescent="0.25">
      <c r="A995" s="5">
        <v>139</v>
      </c>
      <c r="B995" s="5">
        <v>3</v>
      </c>
    </row>
    <row r="996" spans="1:2" x14ac:dyDescent="0.25">
      <c r="A996" s="5">
        <v>53</v>
      </c>
      <c r="B996" s="5">
        <v>2</v>
      </c>
    </row>
    <row r="997" spans="1:2" x14ac:dyDescent="0.25">
      <c r="A997" s="5">
        <v>53</v>
      </c>
      <c r="B997" s="5">
        <v>4</v>
      </c>
    </row>
    <row r="998" spans="1:2" x14ac:dyDescent="0.25">
      <c r="A998" s="5">
        <v>101</v>
      </c>
      <c r="B998" s="5">
        <v>2</v>
      </c>
    </row>
    <row r="999" spans="1:2" x14ac:dyDescent="0.25">
      <c r="A999" s="5">
        <v>262</v>
      </c>
      <c r="B999" s="5">
        <v>2</v>
      </c>
    </row>
    <row r="1000" spans="1:2" x14ac:dyDescent="0.25">
      <c r="A1000" s="5">
        <v>82</v>
      </c>
      <c r="B1000" s="5">
        <v>5</v>
      </c>
    </row>
    <row r="1001" spans="1:2" x14ac:dyDescent="0.25">
      <c r="A1001" s="5">
        <v>154</v>
      </c>
      <c r="B1001" s="5">
        <v>3</v>
      </c>
    </row>
    <row r="1002" spans="1:2" x14ac:dyDescent="0.25">
      <c r="A1002" s="5">
        <v>52</v>
      </c>
      <c r="B1002" s="5">
        <v>2</v>
      </c>
    </row>
    <row r="1003" spans="1:2" x14ac:dyDescent="0.25">
      <c r="A1003" s="5">
        <v>1599</v>
      </c>
      <c r="B1003" s="5">
        <v>6</v>
      </c>
    </row>
    <row r="1004" spans="1:2" x14ac:dyDescent="0.25">
      <c r="A1004" s="5">
        <v>338</v>
      </c>
      <c r="B1004" s="5">
        <v>7</v>
      </c>
    </row>
    <row r="1005" spans="1:2" x14ac:dyDescent="0.25">
      <c r="A1005" s="5">
        <v>51</v>
      </c>
      <c r="B1005" s="5">
        <v>2</v>
      </c>
    </row>
    <row r="1006" spans="1:2" x14ac:dyDescent="0.25">
      <c r="A1006" s="5">
        <v>224</v>
      </c>
      <c r="B1006" s="5">
        <v>3</v>
      </c>
    </row>
    <row r="1007" spans="1:2" x14ac:dyDescent="0.25">
      <c r="A1007" s="5">
        <v>207</v>
      </c>
      <c r="B1007" s="5">
        <v>4</v>
      </c>
    </row>
    <row r="1008" spans="1:2" x14ac:dyDescent="0.25">
      <c r="A1008" s="5">
        <v>51</v>
      </c>
      <c r="B1008" s="5">
        <v>2</v>
      </c>
    </row>
    <row r="1009" spans="1:2" x14ac:dyDescent="0.25">
      <c r="A1009" s="5">
        <v>82</v>
      </c>
      <c r="B1009" s="5">
        <v>3</v>
      </c>
    </row>
    <row r="1010" spans="1:2" x14ac:dyDescent="0.25">
      <c r="A1010" s="5">
        <v>50</v>
      </c>
      <c r="B1010" s="5">
        <v>2</v>
      </c>
    </row>
    <row r="1011" spans="1:2" x14ac:dyDescent="0.25">
      <c r="A1011" s="5">
        <v>263</v>
      </c>
      <c r="B1011" s="5">
        <v>9</v>
      </c>
    </row>
    <row r="1012" spans="1:2" x14ac:dyDescent="0.25">
      <c r="A1012" s="5">
        <v>50</v>
      </c>
      <c r="B1012" s="5">
        <v>6</v>
      </c>
    </row>
    <row r="1013" spans="1:2" x14ac:dyDescent="0.25">
      <c r="A1013" s="5">
        <v>245</v>
      </c>
      <c r="B1013" s="5">
        <v>4</v>
      </c>
    </row>
    <row r="1014" spans="1:2" x14ac:dyDescent="0.25">
      <c r="A1014" s="5">
        <v>82</v>
      </c>
      <c r="B1014" s="5">
        <v>6</v>
      </c>
    </row>
    <row r="1015" spans="1:2" x14ac:dyDescent="0.25">
      <c r="A1015" s="5">
        <v>229</v>
      </c>
      <c r="B1015" s="5">
        <v>8</v>
      </c>
    </row>
    <row r="1016" spans="1:2" x14ac:dyDescent="0.25">
      <c r="A1016" s="5">
        <v>50</v>
      </c>
      <c r="B1016" s="5">
        <v>1</v>
      </c>
    </row>
    <row r="1017" spans="1:2" x14ac:dyDescent="0.25">
      <c r="A1017" s="5">
        <v>220</v>
      </c>
      <c r="B1017" s="5">
        <v>2</v>
      </c>
    </row>
    <row r="1018" spans="1:2" x14ac:dyDescent="0.25">
      <c r="A1018" s="5">
        <v>263</v>
      </c>
      <c r="B1018" s="5">
        <v>2</v>
      </c>
    </row>
    <row r="1019" spans="1:2" x14ac:dyDescent="0.25">
      <c r="A1019" s="5">
        <v>81</v>
      </c>
      <c r="B1019" s="5">
        <v>5</v>
      </c>
    </row>
    <row r="1020" spans="1:2" x14ac:dyDescent="0.25">
      <c r="A1020" s="5">
        <v>50</v>
      </c>
      <c r="B1020" s="5">
        <v>2</v>
      </c>
    </row>
    <row r="1021" spans="1:2" x14ac:dyDescent="0.25">
      <c r="A1021" s="5">
        <v>49</v>
      </c>
      <c r="B1021" s="5">
        <v>4</v>
      </c>
    </row>
    <row r="1022" spans="1:2" x14ac:dyDescent="0.25">
      <c r="A1022" s="5">
        <v>237</v>
      </c>
      <c r="B1022" s="5">
        <v>9</v>
      </c>
    </row>
    <row r="1023" spans="1:2" x14ac:dyDescent="0.25">
      <c r="A1023" s="5">
        <v>264</v>
      </c>
      <c r="B1023" s="5">
        <v>3</v>
      </c>
    </row>
    <row r="1024" spans="1:2" x14ac:dyDescent="0.25">
      <c r="A1024" s="5">
        <v>49</v>
      </c>
      <c r="B1024" s="5">
        <v>1</v>
      </c>
    </row>
    <row r="1025" spans="1:2" x14ac:dyDescent="0.25">
      <c r="A1025" s="5">
        <v>63</v>
      </c>
      <c r="B1025" s="5">
        <v>6</v>
      </c>
    </row>
    <row r="1026" spans="1:2" x14ac:dyDescent="0.25">
      <c r="A1026" s="5">
        <v>81</v>
      </c>
      <c r="B1026" s="5">
        <v>7</v>
      </c>
    </row>
    <row r="1027" spans="1:2" x14ac:dyDescent="0.25">
      <c r="A1027" s="5">
        <v>264</v>
      </c>
      <c r="B1027" s="5">
        <v>10</v>
      </c>
    </row>
    <row r="1028" spans="1:2" x14ac:dyDescent="0.25">
      <c r="A1028" s="5">
        <v>48</v>
      </c>
      <c r="B1028" s="5">
        <v>2</v>
      </c>
    </row>
    <row r="1029" spans="1:2" x14ac:dyDescent="0.25">
      <c r="A1029" s="5">
        <v>48</v>
      </c>
      <c r="B1029" s="5">
        <v>1</v>
      </c>
    </row>
    <row r="1030" spans="1:2" x14ac:dyDescent="0.25">
      <c r="A1030" s="5">
        <v>245</v>
      </c>
      <c r="B1030" s="5">
        <v>2</v>
      </c>
    </row>
    <row r="1031" spans="1:2" x14ac:dyDescent="0.25">
      <c r="A1031" s="5">
        <v>146</v>
      </c>
      <c r="B1031" s="5">
        <v>5</v>
      </c>
    </row>
    <row r="1032" spans="1:2" x14ac:dyDescent="0.25">
      <c r="A1032" s="5">
        <v>245</v>
      </c>
      <c r="B1032" s="5">
        <v>2</v>
      </c>
    </row>
    <row r="1033" spans="1:2" x14ac:dyDescent="0.25">
      <c r="A1033" s="5">
        <v>245</v>
      </c>
      <c r="B1033" s="5">
        <v>2</v>
      </c>
    </row>
    <row r="1034" spans="1:2" x14ac:dyDescent="0.25">
      <c r="A1034" s="5">
        <v>80</v>
      </c>
      <c r="B1034" s="5">
        <v>3</v>
      </c>
    </row>
    <row r="1035" spans="1:2" x14ac:dyDescent="0.25">
      <c r="A1035" s="5">
        <v>269</v>
      </c>
      <c r="B1035" s="5">
        <v>5</v>
      </c>
    </row>
    <row r="1036" spans="1:2" x14ac:dyDescent="0.25">
      <c r="A1036" s="5">
        <v>80</v>
      </c>
      <c r="B1036" s="5">
        <v>3</v>
      </c>
    </row>
    <row r="1037" spans="1:2" x14ac:dyDescent="0.25">
      <c r="A1037" s="5">
        <v>284</v>
      </c>
      <c r="B1037" s="5">
        <v>6</v>
      </c>
    </row>
    <row r="1038" spans="1:2" x14ac:dyDescent="0.25">
      <c r="A1038" s="5">
        <v>313</v>
      </c>
      <c r="B1038" s="5">
        <v>3</v>
      </c>
    </row>
    <row r="1039" spans="1:2" x14ac:dyDescent="0.25">
      <c r="A1039" s="5">
        <v>80</v>
      </c>
      <c r="B1039" s="5">
        <v>9</v>
      </c>
    </row>
    <row r="1040" spans="1:2" x14ac:dyDescent="0.25">
      <c r="A1040" s="5">
        <v>48</v>
      </c>
      <c r="B1040" s="5">
        <v>8</v>
      </c>
    </row>
    <row r="1041" spans="1:2" x14ac:dyDescent="0.25">
      <c r="A1041" s="5">
        <v>87</v>
      </c>
      <c r="B1041" s="5">
        <v>2</v>
      </c>
    </row>
    <row r="1042" spans="1:2" x14ac:dyDescent="0.25">
      <c r="A1042" s="5">
        <v>47</v>
      </c>
      <c r="B1042" s="5">
        <v>5</v>
      </c>
    </row>
    <row r="1043" spans="1:2" x14ac:dyDescent="0.25">
      <c r="A1043" s="5">
        <v>140</v>
      </c>
      <c r="B1043" s="5">
        <v>2</v>
      </c>
    </row>
    <row r="1044" spans="1:2" x14ac:dyDescent="0.25">
      <c r="A1044" s="5">
        <v>47</v>
      </c>
      <c r="B1044" s="5">
        <v>2</v>
      </c>
    </row>
    <row r="1045" spans="1:2" x14ac:dyDescent="0.25">
      <c r="A1045" s="5">
        <v>79</v>
      </c>
      <c r="B1045" s="5">
        <v>2</v>
      </c>
    </row>
    <row r="1046" spans="1:2" x14ac:dyDescent="0.25">
      <c r="A1046" s="5">
        <v>78</v>
      </c>
      <c r="B1046" s="5">
        <v>7</v>
      </c>
    </row>
    <row r="1047" spans="1:2" x14ac:dyDescent="0.25">
      <c r="A1047" s="5">
        <v>47</v>
      </c>
      <c r="B1047" s="5">
        <v>2</v>
      </c>
    </row>
    <row r="1048" spans="1:2" x14ac:dyDescent="0.25">
      <c r="A1048" s="5">
        <v>185</v>
      </c>
      <c r="B1048" s="5">
        <v>4</v>
      </c>
    </row>
    <row r="1049" spans="1:2" x14ac:dyDescent="0.25">
      <c r="A1049" s="5">
        <v>77</v>
      </c>
      <c r="B1049" s="5">
        <v>2</v>
      </c>
    </row>
    <row r="1050" spans="1:2" x14ac:dyDescent="0.25">
      <c r="A1050" s="5">
        <v>259</v>
      </c>
      <c r="B1050" s="5">
        <v>5</v>
      </c>
    </row>
    <row r="1051" spans="1:2" x14ac:dyDescent="0.25">
      <c r="A1051" s="5">
        <v>75</v>
      </c>
      <c r="B1051" s="5">
        <v>7</v>
      </c>
    </row>
    <row r="1052" spans="1:2" x14ac:dyDescent="0.25">
      <c r="A1052" s="5">
        <v>75</v>
      </c>
      <c r="B1052" s="5">
        <v>3</v>
      </c>
    </row>
    <row r="1053" spans="1:2" x14ac:dyDescent="0.25">
      <c r="A1053" s="5">
        <v>46</v>
      </c>
      <c r="B1053" s="5">
        <v>4</v>
      </c>
    </row>
    <row r="1054" spans="1:2" x14ac:dyDescent="0.25">
      <c r="A1054" s="5">
        <v>46</v>
      </c>
      <c r="B1054" s="5">
        <v>3</v>
      </c>
    </row>
    <row r="1055" spans="1:2" x14ac:dyDescent="0.25">
      <c r="A1055" s="5">
        <v>200</v>
      </c>
      <c r="B1055" s="5">
        <v>5</v>
      </c>
    </row>
    <row r="1056" spans="1:2" x14ac:dyDescent="0.25">
      <c r="A1056" s="5">
        <v>46</v>
      </c>
      <c r="B1056" s="5">
        <v>1</v>
      </c>
    </row>
    <row r="1057" spans="1:2" x14ac:dyDescent="0.25">
      <c r="A1057" s="5">
        <v>126</v>
      </c>
      <c r="B1057" s="5">
        <v>4</v>
      </c>
    </row>
    <row r="1058" spans="1:2" x14ac:dyDescent="0.25">
      <c r="A1058" s="5">
        <v>74</v>
      </c>
      <c r="B1058" s="5">
        <v>3</v>
      </c>
    </row>
    <row r="1059" spans="1:2" x14ac:dyDescent="0.25">
      <c r="A1059" s="5">
        <v>45</v>
      </c>
      <c r="B1059" s="5">
        <v>4</v>
      </c>
    </row>
    <row r="1060" spans="1:2" x14ac:dyDescent="0.25">
      <c r="A1060" s="5">
        <v>74</v>
      </c>
      <c r="B1060" s="5">
        <v>3</v>
      </c>
    </row>
    <row r="1061" spans="1:2" x14ac:dyDescent="0.25">
      <c r="A1061" s="5">
        <v>129</v>
      </c>
      <c r="B1061" s="5">
        <v>2</v>
      </c>
    </row>
    <row r="1062" spans="1:2" x14ac:dyDescent="0.25">
      <c r="A1062" s="5">
        <v>122</v>
      </c>
      <c r="B1062" s="5">
        <v>7</v>
      </c>
    </row>
    <row r="1063" spans="1:2" x14ac:dyDescent="0.25">
      <c r="A1063" s="5">
        <v>74</v>
      </c>
      <c r="B1063" s="5">
        <v>3</v>
      </c>
    </row>
    <row r="1064" spans="1:2" x14ac:dyDescent="0.25">
      <c r="A1064" s="5">
        <v>278</v>
      </c>
      <c r="B1064" s="5">
        <v>5</v>
      </c>
    </row>
    <row r="1065" spans="1:2" x14ac:dyDescent="0.25">
      <c r="A1065" s="5">
        <v>282</v>
      </c>
      <c r="B1065" s="5">
        <v>4</v>
      </c>
    </row>
    <row r="1066" spans="1:2" x14ac:dyDescent="0.25">
      <c r="A1066" s="5">
        <v>45</v>
      </c>
      <c r="B1066" s="5">
        <v>2</v>
      </c>
    </row>
    <row r="1067" spans="1:2" x14ac:dyDescent="0.25">
      <c r="A1067" s="5">
        <v>45</v>
      </c>
      <c r="B1067" s="5">
        <v>3</v>
      </c>
    </row>
    <row r="1068" spans="1:2" x14ac:dyDescent="0.25">
      <c r="A1068" s="5">
        <v>45</v>
      </c>
      <c r="B1068" s="5">
        <v>3</v>
      </c>
    </row>
    <row r="1069" spans="1:2" x14ac:dyDescent="0.25">
      <c r="A1069" s="5">
        <v>73</v>
      </c>
      <c r="B1069" s="5">
        <v>3</v>
      </c>
    </row>
    <row r="1070" spans="1:2" x14ac:dyDescent="0.25">
      <c r="A1070" s="5">
        <v>45</v>
      </c>
      <c r="B1070" s="5">
        <v>4</v>
      </c>
    </row>
    <row r="1071" spans="1:2" x14ac:dyDescent="0.25">
      <c r="A1071" s="5">
        <v>72</v>
      </c>
      <c r="B1071" s="5">
        <v>3</v>
      </c>
    </row>
    <row r="1072" spans="1:2" x14ac:dyDescent="0.25">
      <c r="A1072" s="5">
        <v>71</v>
      </c>
      <c r="B1072" s="5">
        <v>5</v>
      </c>
    </row>
    <row r="1073" spans="1:2" x14ac:dyDescent="0.25">
      <c r="A1073" s="5">
        <v>45</v>
      </c>
      <c r="B1073" s="5">
        <v>4</v>
      </c>
    </row>
    <row r="1074" spans="1:2" x14ac:dyDescent="0.25">
      <c r="A1074" s="5">
        <v>286</v>
      </c>
      <c r="B1074" s="5">
        <v>6</v>
      </c>
    </row>
    <row r="1075" spans="1:2" x14ac:dyDescent="0.25">
      <c r="A1075" s="5">
        <v>294</v>
      </c>
      <c r="B1075" s="5">
        <v>2</v>
      </c>
    </row>
    <row r="1076" spans="1:2" x14ac:dyDescent="0.25">
      <c r="A1076" s="5">
        <v>223</v>
      </c>
      <c r="B1076" s="5">
        <v>3</v>
      </c>
    </row>
    <row r="1077" spans="1:2" x14ac:dyDescent="0.25">
      <c r="A1077" s="5">
        <v>20</v>
      </c>
      <c r="B1077" s="5">
        <v>1</v>
      </c>
    </row>
    <row r="1078" spans="1:2" x14ac:dyDescent="0.25">
      <c r="A1078" s="5">
        <v>302</v>
      </c>
      <c r="B1078" s="5">
        <v>6</v>
      </c>
    </row>
    <row r="1079" spans="1:2" x14ac:dyDescent="0.25">
      <c r="A1079" s="5">
        <v>113</v>
      </c>
      <c r="B1079" s="5">
        <v>2</v>
      </c>
    </row>
    <row r="1080" spans="1:2" x14ac:dyDescent="0.25">
      <c r="A1080" s="5">
        <v>44</v>
      </c>
      <c r="B1080" s="5">
        <v>3</v>
      </c>
    </row>
    <row r="1081" spans="1:2" x14ac:dyDescent="0.25">
      <c r="A1081" s="5">
        <v>305</v>
      </c>
      <c r="B1081" s="5">
        <v>5</v>
      </c>
    </row>
    <row r="1082" spans="1:2" x14ac:dyDescent="0.25">
      <c r="A1082" s="5">
        <v>306</v>
      </c>
      <c r="B1082" s="5">
        <v>3</v>
      </c>
    </row>
    <row r="1083" spans="1:2" x14ac:dyDescent="0.25">
      <c r="A1083" s="5">
        <v>70</v>
      </c>
      <c r="B1083" s="5">
        <v>5</v>
      </c>
    </row>
    <row r="1084" spans="1:2" x14ac:dyDescent="0.25">
      <c r="A1084" s="5">
        <v>44</v>
      </c>
      <c r="B1084" s="5">
        <v>4</v>
      </c>
    </row>
    <row r="1085" spans="1:2" x14ac:dyDescent="0.25">
      <c r="A1085" s="5">
        <v>44</v>
      </c>
      <c r="B1085" s="5">
        <v>3</v>
      </c>
    </row>
    <row r="1086" spans="1:2" x14ac:dyDescent="0.25">
      <c r="A1086" s="5">
        <v>319</v>
      </c>
      <c r="B1086" s="5">
        <v>5</v>
      </c>
    </row>
    <row r="1087" spans="1:2" x14ac:dyDescent="0.25">
      <c r="A1087" s="5">
        <v>287</v>
      </c>
      <c r="B1087" s="5">
        <v>12</v>
      </c>
    </row>
    <row r="1088" spans="1:2" x14ac:dyDescent="0.25">
      <c r="A1088" s="5">
        <v>44</v>
      </c>
      <c r="B1088" s="5">
        <v>3</v>
      </c>
    </row>
    <row r="1089" spans="1:2" x14ac:dyDescent="0.25">
      <c r="A1089" s="5">
        <v>288</v>
      </c>
      <c r="B1089" s="5">
        <v>4</v>
      </c>
    </row>
    <row r="1090" spans="1:2" x14ac:dyDescent="0.25">
      <c r="A1090" s="5">
        <v>49</v>
      </c>
      <c r="B1090" s="5">
        <v>2</v>
      </c>
    </row>
    <row r="1091" spans="1:2" x14ac:dyDescent="0.25">
      <c r="A1091" s="5">
        <v>43</v>
      </c>
      <c r="B1091" s="5">
        <v>4</v>
      </c>
    </row>
    <row r="1092" spans="1:2" x14ac:dyDescent="0.25">
      <c r="A1092" s="5">
        <v>43</v>
      </c>
      <c r="B1092" s="5">
        <v>3</v>
      </c>
    </row>
    <row r="1093" spans="1:2" x14ac:dyDescent="0.25">
      <c r="A1093" s="5">
        <v>68</v>
      </c>
      <c r="B1093" s="5">
        <v>3</v>
      </c>
    </row>
    <row r="1094" spans="1:2" x14ac:dyDescent="0.25">
      <c r="A1094" s="5">
        <v>320</v>
      </c>
      <c r="B1094" s="5">
        <v>1</v>
      </c>
    </row>
    <row r="1095" spans="1:2" x14ac:dyDescent="0.25">
      <c r="A1095" s="5">
        <v>67</v>
      </c>
      <c r="B1095" s="5">
        <v>4</v>
      </c>
    </row>
    <row r="1096" spans="1:2" x14ac:dyDescent="0.25">
      <c r="A1096" s="5">
        <v>66</v>
      </c>
      <c r="B1096" s="5">
        <v>5</v>
      </c>
    </row>
    <row r="1097" spans="1:2" x14ac:dyDescent="0.25">
      <c r="A1097" s="5">
        <v>321</v>
      </c>
      <c r="B1097" s="5">
        <v>3</v>
      </c>
    </row>
    <row r="1098" spans="1:2" x14ac:dyDescent="0.25">
      <c r="A1098" s="5">
        <v>43</v>
      </c>
      <c r="B1098" s="5">
        <v>2</v>
      </c>
    </row>
    <row r="1099" spans="1:2" x14ac:dyDescent="0.25">
      <c r="A1099" s="5">
        <v>114</v>
      </c>
      <c r="B1099" s="5">
        <v>5</v>
      </c>
    </row>
    <row r="1100" spans="1:2" x14ac:dyDescent="0.25">
      <c r="A1100" s="5">
        <v>43</v>
      </c>
      <c r="B1100" s="5">
        <v>1</v>
      </c>
    </row>
    <row r="1101" spans="1:2" x14ac:dyDescent="0.25">
      <c r="A1101" s="5">
        <v>43</v>
      </c>
      <c r="B1101" s="5">
        <v>3</v>
      </c>
    </row>
    <row r="1102" spans="1:2" x14ac:dyDescent="0.25">
      <c r="A1102" s="5">
        <v>637</v>
      </c>
      <c r="B1102" s="5">
        <v>5</v>
      </c>
    </row>
    <row r="1103" spans="1:2" x14ac:dyDescent="0.25">
      <c r="A1103" s="5">
        <v>300</v>
      </c>
      <c r="B1103" s="5">
        <v>2</v>
      </c>
    </row>
    <row r="1104" spans="1:2" x14ac:dyDescent="0.25">
      <c r="A1104" s="5">
        <v>341</v>
      </c>
      <c r="B1104" s="5">
        <v>7</v>
      </c>
    </row>
    <row r="1105" spans="1:2" x14ac:dyDescent="0.25">
      <c r="A1105" s="5">
        <v>102</v>
      </c>
      <c r="B1105" s="5">
        <v>3</v>
      </c>
    </row>
    <row r="1106" spans="1:2" x14ac:dyDescent="0.25">
      <c r="A1106" s="5">
        <v>328</v>
      </c>
      <c r="B1106" s="5">
        <v>3</v>
      </c>
    </row>
    <row r="1107" spans="1:2" x14ac:dyDescent="0.25">
      <c r="A1107" s="5">
        <v>341</v>
      </c>
      <c r="B1107" s="5">
        <v>7</v>
      </c>
    </row>
    <row r="1108" spans="1:2" x14ac:dyDescent="0.25">
      <c r="A1108" s="5">
        <v>62</v>
      </c>
      <c r="B1108" s="5">
        <v>7</v>
      </c>
    </row>
    <row r="1109" spans="1:2" x14ac:dyDescent="0.25">
      <c r="A1109" s="5">
        <v>42</v>
      </c>
      <c r="B1109" s="5">
        <v>3</v>
      </c>
    </row>
    <row r="1110" spans="1:2" x14ac:dyDescent="0.25">
      <c r="A1110" s="5">
        <v>62</v>
      </c>
      <c r="B1110" s="5">
        <v>5</v>
      </c>
    </row>
    <row r="1111" spans="1:2" x14ac:dyDescent="0.25">
      <c r="A1111" s="5">
        <v>42</v>
      </c>
      <c r="B1111" s="5">
        <v>2</v>
      </c>
    </row>
    <row r="1112" spans="1:2" x14ac:dyDescent="0.25">
      <c r="A1112" s="5">
        <v>42</v>
      </c>
      <c r="B1112" s="5">
        <v>1</v>
      </c>
    </row>
    <row r="1113" spans="1:2" x14ac:dyDescent="0.25">
      <c r="A1113" s="5">
        <v>313</v>
      </c>
      <c r="B1113" s="5">
        <v>5</v>
      </c>
    </row>
    <row r="1114" spans="1:2" x14ac:dyDescent="0.25">
      <c r="A1114" s="5">
        <v>109</v>
      </c>
      <c r="B1114" s="5">
        <v>2</v>
      </c>
    </row>
    <row r="1115" spans="1:2" x14ac:dyDescent="0.25">
      <c r="A1115" s="5">
        <v>226</v>
      </c>
      <c r="B1115" s="5">
        <v>3</v>
      </c>
    </row>
    <row r="1116" spans="1:2" x14ac:dyDescent="0.25">
      <c r="A1116" s="5">
        <v>62</v>
      </c>
      <c r="B1116" s="5">
        <v>1</v>
      </c>
    </row>
    <row r="1117" spans="1:2" x14ac:dyDescent="0.25">
      <c r="A1117" s="5">
        <v>61</v>
      </c>
      <c r="B1117" s="5">
        <v>4</v>
      </c>
    </row>
    <row r="1118" spans="1:2" x14ac:dyDescent="0.25">
      <c r="A1118" s="5">
        <v>222</v>
      </c>
      <c r="B1118" s="5">
        <v>5</v>
      </c>
    </row>
    <row r="1119" spans="1:2" x14ac:dyDescent="0.25">
      <c r="A1119" s="5">
        <v>342</v>
      </c>
      <c r="B1119" s="5">
        <v>7</v>
      </c>
    </row>
    <row r="1120" spans="1:2" x14ac:dyDescent="0.25">
      <c r="A1120" s="5">
        <v>344</v>
      </c>
      <c r="B1120" s="5">
        <v>3</v>
      </c>
    </row>
    <row r="1121" spans="1:2" x14ac:dyDescent="0.25">
      <c r="A1121" s="5">
        <v>345</v>
      </c>
      <c r="B1121" s="5">
        <v>7</v>
      </c>
    </row>
    <row r="1122" spans="1:2" x14ac:dyDescent="0.25">
      <c r="A1122" s="5">
        <v>46</v>
      </c>
      <c r="B1122" s="5">
        <v>2</v>
      </c>
    </row>
    <row r="1123" spans="1:2" x14ac:dyDescent="0.25">
      <c r="A1123" s="5">
        <v>255</v>
      </c>
      <c r="B1123" s="5">
        <v>5</v>
      </c>
    </row>
    <row r="1124" spans="1:2" x14ac:dyDescent="0.25">
      <c r="A1124" s="5">
        <v>360</v>
      </c>
      <c r="B1124" s="5">
        <v>3</v>
      </c>
    </row>
    <row r="1125" spans="1:2" x14ac:dyDescent="0.25">
      <c r="A1125" s="5">
        <v>372</v>
      </c>
      <c r="B1125" s="5">
        <v>3</v>
      </c>
    </row>
    <row r="1126" spans="1:2" x14ac:dyDescent="0.25">
      <c r="A1126" s="5">
        <v>61</v>
      </c>
      <c r="B1126" s="5">
        <v>2</v>
      </c>
    </row>
    <row r="1127" spans="1:2" x14ac:dyDescent="0.25">
      <c r="A1127" s="5">
        <v>42</v>
      </c>
      <c r="B1127" s="5">
        <v>5</v>
      </c>
    </row>
    <row r="1128" spans="1:2" x14ac:dyDescent="0.25">
      <c r="A1128" s="5">
        <v>42</v>
      </c>
      <c r="B1128" s="5">
        <v>2</v>
      </c>
    </row>
    <row r="1129" spans="1:2" x14ac:dyDescent="0.25">
      <c r="A1129" s="5">
        <v>61</v>
      </c>
      <c r="B1129" s="5">
        <v>4</v>
      </c>
    </row>
    <row r="1130" spans="1:2" x14ac:dyDescent="0.25">
      <c r="A1130" s="5">
        <v>41</v>
      </c>
      <c r="B1130" s="5">
        <v>6</v>
      </c>
    </row>
    <row r="1131" spans="1:2" x14ac:dyDescent="0.25">
      <c r="A1131" s="5">
        <v>40</v>
      </c>
      <c r="B1131" s="5">
        <v>3</v>
      </c>
    </row>
    <row r="1132" spans="1:2" x14ac:dyDescent="0.25">
      <c r="A1132" s="5">
        <v>59</v>
      </c>
      <c r="B1132" s="5">
        <v>2</v>
      </c>
    </row>
    <row r="1133" spans="1:2" x14ac:dyDescent="0.25">
      <c r="A1133" s="5">
        <v>57</v>
      </c>
      <c r="B1133" s="5">
        <v>2</v>
      </c>
    </row>
    <row r="1134" spans="1:2" x14ac:dyDescent="0.25">
      <c r="A1134" s="5">
        <v>17</v>
      </c>
      <c r="B1134" s="5">
        <v>1</v>
      </c>
    </row>
    <row r="1135" spans="1:2" x14ac:dyDescent="0.25">
      <c r="A1135" s="5">
        <v>40</v>
      </c>
      <c r="B1135" s="5">
        <v>2</v>
      </c>
    </row>
    <row r="1136" spans="1:2" x14ac:dyDescent="0.25">
      <c r="A1136" s="5">
        <v>349</v>
      </c>
      <c r="B1136" s="5">
        <v>2</v>
      </c>
    </row>
    <row r="1137" spans="1:2" x14ac:dyDescent="0.25">
      <c r="A1137" s="5">
        <v>335</v>
      </c>
      <c r="B1137" s="5">
        <v>7</v>
      </c>
    </row>
    <row r="1138" spans="1:2" x14ac:dyDescent="0.25">
      <c r="A1138" s="5">
        <v>40</v>
      </c>
      <c r="B1138" s="5">
        <v>3</v>
      </c>
    </row>
    <row r="1139" spans="1:2" x14ac:dyDescent="0.25">
      <c r="A1139" s="5">
        <v>40</v>
      </c>
      <c r="B1139" s="5">
        <v>2</v>
      </c>
    </row>
    <row r="1140" spans="1:2" x14ac:dyDescent="0.25">
      <c r="A1140" s="5">
        <v>40</v>
      </c>
      <c r="B1140" s="5">
        <v>3</v>
      </c>
    </row>
    <row r="1141" spans="1:2" x14ac:dyDescent="0.25">
      <c r="A1141" s="5">
        <v>352</v>
      </c>
      <c r="B1141" s="5">
        <v>8</v>
      </c>
    </row>
    <row r="1142" spans="1:2" x14ac:dyDescent="0.25">
      <c r="A1142" s="5">
        <v>55</v>
      </c>
      <c r="B1142" s="5">
        <v>4</v>
      </c>
    </row>
    <row r="1143" spans="1:2" x14ac:dyDescent="0.25">
      <c r="A1143" s="5">
        <v>352</v>
      </c>
      <c r="B1143" s="5">
        <v>5</v>
      </c>
    </row>
    <row r="1144" spans="1:2" x14ac:dyDescent="0.25">
      <c r="A1144" s="5">
        <v>53</v>
      </c>
      <c r="B1144" s="5">
        <v>4</v>
      </c>
    </row>
    <row r="1145" spans="1:2" x14ac:dyDescent="0.25">
      <c r="A1145" s="5">
        <v>51</v>
      </c>
      <c r="B1145" s="5">
        <v>2</v>
      </c>
    </row>
    <row r="1146" spans="1:2" x14ac:dyDescent="0.25">
      <c r="A1146" s="5">
        <v>40</v>
      </c>
      <c r="B1146" s="5">
        <v>3</v>
      </c>
    </row>
    <row r="1147" spans="1:2" x14ac:dyDescent="0.25">
      <c r="A1147" s="5">
        <v>39</v>
      </c>
      <c r="B1147" s="5">
        <v>5</v>
      </c>
    </row>
    <row r="1148" spans="1:2" x14ac:dyDescent="0.25">
      <c r="A1148" s="5">
        <v>355</v>
      </c>
      <c r="B1148" s="5">
        <v>2</v>
      </c>
    </row>
    <row r="1149" spans="1:2" x14ac:dyDescent="0.25">
      <c r="A1149" s="5">
        <v>357</v>
      </c>
      <c r="B1149" s="5">
        <v>2</v>
      </c>
    </row>
    <row r="1150" spans="1:2" x14ac:dyDescent="0.25">
      <c r="A1150" s="5">
        <v>38</v>
      </c>
      <c r="B1150" s="5">
        <v>1</v>
      </c>
    </row>
    <row r="1151" spans="1:2" x14ac:dyDescent="0.25">
      <c r="A1151" s="5">
        <v>38</v>
      </c>
      <c r="B1151" s="5">
        <v>2</v>
      </c>
    </row>
    <row r="1152" spans="1:2" x14ac:dyDescent="0.25">
      <c r="A1152" s="5">
        <v>141</v>
      </c>
      <c r="B1152" s="5">
        <v>4</v>
      </c>
    </row>
    <row r="1153" spans="1:2" x14ac:dyDescent="0.25">
      <c r="A1153" s="5">
        <v>36</v>
      </c>
      <c r="B1153" s="5">
        <v>9</v>
      </c>
    </row>
    <row r="1154" spans="1:2" x14ac:dyDescent="0.25">
      <c r="A1154" s="5">
        <v>351</v>
      </c>
      <c r="B1154" s="5">
        <v>5</v>
      </c>
    </row>
    <row r="1155" spans="1:2" x14ac:dyDescent="0.25">
      <c r="A1155" s="5">
        <v>369</v>
      </c>
      <c r="B1155" s="5">
        <v>3</v>
      </c>
    </row>
    <row r="1156" spans="1:2" x14ac:dyDescent="0.25">
      <c r="A1156" s="5">
        <v>53</v>
      </c>
      <c r="B1156" s="5">
        <v>6</v>
      </c>
    </row>
    <row r="1157" spans="1:2" x14ac:dyDescent="0.25">
      <c r="A1157" s="5">
        <v>371</v>
      </c>
      <c r="B1157" s="5">
        <v>1</v>
      </c>
    </row>
    <row r="1158" spans="1:2" x14ac:dyDescent="0.25">
      <c r="A1158" s="5">
        <v>499</v>
      </c>
      <c r="B1158" s="5">
        <v>4</v>
      </c>
    </row>
    <row r="1159" spans="1:2" x14ac:dyDescent="0.25">
      <c r="A1159" s="5">
        <v>223</v>
      </c>
      <c r="B1159" s="5">
        <v>7</v>
      </c>
    </row>
    <row r="1160" spans="1:2" x14ac:dyDescent="0.25">
      <c r="A1160" s="5">
        <v>50</v>
      </c>
      <c r="B1160" s="5">
        <v>6</v>
      </c>
    </row>
    <row r="1161" spans="1:2" x14ac:dyDescent="0.25">
      <c r="A1161" s="5">
        <v>391</v>
      </c>
      <c r="B1161" s="5">
        <v>6</v>
      </c>
    </row>
    <row r="1162" spans="1:2" x14ac:dyDescent="0.25">
      <c r="A1162" s="5">
        <v>416</v>
      </c>
      <c r="B1162" s="5">
        <v>3</v>
      </c>
    </row>
    <row r="1163" spans="1:2" x14ac:dyDescent="0.25">
      <c r="A1163" s="5">
        <v>424</v>
      </c>
      <c r="B1163" s="5">
        <v>9</v>
      </c>
    </row>
    <row r="1164" spans="1:2" x14ac:dyDescent="0.25">
      <c r="A1164" s="5">
        <v>362</v>
      </c>
      <c r="B1164" s="5">
        <v>1</v>
      </c>
    </row>
    <row r="1165" spans="1:2" x14ac:dyDescent="0.25">
      <c r="A1165" s="5">
        <v>36</v>
      </c>
      <c r="B1165" s="5">
        <v>1</v>
      </c>
    </row>
    <row r="1166" spans="1:2" x14ac:dyDescent="0.25">
      <c r="A1166" s="5">
        <v>34</v>
      </c>
      <c r="B1166" s="5">
        <v>3</v>
      </c>
    </row>
    <row r="1167" spans="1:2" x14ac:dyDescent="0.25">
      <c r="A1167" s="5">
        <v>367</v>
      </c>
      <c r="B1167" s="5">
        <v>3</v>
      </c>
    </row>
    <row r="1168" spans="1:2" x14ac:dyDescent="0.25">
      <c r="A1168" s="5">
        <v>425</v>
      </c>
      <c r="B1168" s="5">
        <v>7</v>
      </c>
    </row>
    <row r="1169" spans="1:2" x14ac:dyDescent="0.25">
      <c r="A1169" s="5">
        <v>433</v>
      </c>
      <c r="B1169" s="5">
        <v>3</v>
      </c>
    </row>
    <row r="1170" spans="1:2" x14ac:dyDescent="0.25">
      <c r="A1170" s="5">
        <v>460</v>
      </c>
      <c r="B1170" s="5">
        <v>3</v>
      </c>
    </row>
    <row r="1171" spans="1:2" x14ac:dyDescent="0.25">
      <c r="A1171" s="5">
        <v>62</v>
      </c>
      <c r="B1171" s="5">
        <v>5</v>
      </c>
    </row>
    <row r="1172" spans="1:2" x14ac:dyDescent="0.25">
      <c r="A1172" s="5">
        <v>50</v>
      </c>
      <c r="B1172" s="5">
        <v>1</v>
      </c>
    </row>
    <row r="1173" spans="1:2" x14ac:dyDescent="0.25">
      <c r="A1173" s="5">
        <v>460</v>
      </c>
      <c r="B1173" s="5">
        <v>3</v>
      </c>
    </row>
    <row r="1174" spans="1:2" x14ac:dyDescent="0.25">
      <c r="A1174" s="5">
        <v>34</v>
      </c>
      <c r="B1174" s="5">
        <v>3</v>
      </c>
    </row>
    <row r="1175" spans="1:2" x14ac:dyDescent="0.25">
      <c r="A1175" s="5">
        <v>227</v>
      </c>
      <c r="B1175" s="5">
        <v>2</v>
      </c>
    </row>
    <row r="1176" spans="1:2" x14ac:dyDescent="0.25">
      <c r="A1176" s="5">
        <v>469</v>
      </c>
      <c r="B1176" s="5">
        <v>4</v>
      </c>
    </row>
    <row r="1177" spans="1:2" x14ac:dyDescent="0.25">
      <c r="A1177" s="5">
        <v>103</v>
      </c>
      <c r="B1177" s="5">
        <v>2</v>
      </c>
    </row>
    <row r="1178" spans="1:2" x14ac:dyDescent="0.25">
      <c r="A1178" s="5">
        <v>34</v>
      </c>
      <c r="B1178" s="5">
        <v>5</v>
      </c>
    </row>
    <row r="1179" spans="1:2" x14ac:dyDescent="0.25">
      <c r="A1179" s="5">
        <v>137</v>
      </c>
      <c r="B1179" s="5">
        <v>3</v>
      </c>
    </row>
    <row r="1180" spans="1:2" x14ac:dyDescent="0.25">
      <c r="A1180" s="5">
        <v>34</v>
      </c>
      <c r="B1180" s="5">
        <v>2</v>
      </c>
    </row>
    <row r="1181" spans="1:2" x14ac:dyDescent="0.25">
      <c r="A1181" s="5">
        <v>474</v>
      </c>
      <c r="B1181" s="5">
        <v>4</v>
      </c>
    </row>
    <row r="1182" spans="1:2" x14ac:dyDescent="0.25">
      <c r="A1182" s="5">
        <v>50</v>
      </c>
      <c r="B1182" s="5">
        <v>2</v>
      </c>
    </row>
    <row r="1183" spans="1:2" x14ac:dyDescent="0.25">
      <c r="A1183" s="5">
        <v>69</v>
      </c>
      <c r="B1183" s="5">
        <v>4</v>
      </c>
    </row>
    <row r="1184" spans="1:2" x14ac:dyDescent="0.25">
      <c r="A1184" s="5">
        <v>389</v>
      </c>
      <c r="B1184" s="5">
        <v>3</v>
      </c>
    </row>
    <row r="1185" spans="1:2" x14ac:dyDescent="0.25">
      <c r="A1185" s="5">
        <v>77</v>
      </c>
      <c r="B1185" s="5">
        <v>8</v>
      </c>
    </row>
    <row r="1186" spans="1:2" x14ac:dyDescent="0.25">
      <c r="A1186" s="5">
        <v>51</v>
      </c>
      <c r="B1186" s="5">
        <v>3</v>
      </c>
    </row>
    <row r="1187" spans="1:2" x14ac:dyDescent="0.25">
      <c r="A1187" s="5">
        <v>394</v>
      </c>
      <c r="B1187" s="5">
        <v>2</v>
      </c>
    </row>
    <row r="1188" spans="1:2" x14ac:dyDescent="0.25">
      <c r="A1188" s="5">
        <v>48</v>
      </c>
      <c r="B1188" s="5">
        <v>2</v>
      </c>
    </row>
    <row r="1189" spans="1:2" x14ac:dyDescent="0.25">
      <c r="A1189" s="5">
        <v>34</v>
      </c>
      <c r="B1189" s="5">
        <v>5</v>
      </c>
    </row>
    <row r="1190" spans="1:2" x14ac:dyDescent="0.25">
      <c r="A1190" s="5">
        <v>484</v>
      </c>
      <c r="B1190" s="5">
        <v>3</v>
      </c>
    </row>
    <row r="1191" spans="1:2" x14ac:dyDescent="0.25">
      <c r="A1191" s="5">
        <v>47</v>
      </c>
      <c r="B1191" s="5">
        <v>4</v>
      </c>
    </row>
    <row r="1192" spans="1:2" x14ac:dyDescent="0.25">
      <c r="A1192" s="5">
        <v>45</v>
      </c>
      <c r="B1192" s="5">
        <v>4</v>
      </c>
    </row>
    <row r="1193" spans="1:2" x14ac:dyDescent="0.25">
      <c r="A1193" s="5">
        <v>128</v>
      </c>
      <c r="B1193" s="5">
        <v>1</v>
      </c>
    </row>
    <row r="1194" spans="1:2" x14ac:dyDescent="0.25">
      <c r="A1194" s="5">
        <v>669</v>
      </c>
      <c r="B1194" s="5">
        <v>5</v>
      </c>
    </row>
    <row r="1195" spans="1:2" x14ac:dyDescent="0.25">
      <c r="A1195" s="5">
        <v>34</v>
      </c>
      <c r="B1195" s="5">
        <v>2</v>
      </c>
    </row>
    <row r="1196" spans="1:2" x14ac:dyDescent="0.25">
      <c r="A1196" s="5">
        <v>44</v>
      </c>
      <c r="B1196" s="5">
        <v>3</v>
      </c>
    </row>
    <row r="1197" spans="1:2" x14ac:dyDescent="0.25">
      <c r="A1197" s="5">
        <v>33</v>
      </c>
      <c r="B1197" s="5">
        <v>2</v>
      </c>
    </row>
    <row r="1198" spans="1:2" x14ac:dyDescent="0.25">
      <c r="A1198" s="5">
        <v>33</v>
      </c>
      <c r="B1198" s="5">
        <v>3</v>
      </c>
    </row>
    <row r="1199" spans="1:2" x14ac:dyDescent="0.25">
      <c r="A1199" s="5">
        <v>487</v>
      </c>
      <c r="B1199" s="5">
        <v>3</v>
      </c>
    </row>
    <row r="1200" spans="1:2" x14ac:dyDescent="0.25">
      <c r="A1200" s="5">
        <v>497</v>
      </c>
      <c r="B1200" s="5">
        <v>3</v>
      </c>
    </row>
    <row r="1201" spans="1:2" x14ac:dyDescent="0.25">
      <c r="A1201" s="5">
        <v>508</v>
      </c>
      <c r="B1201" s="5">
        <v>2</v>
      </c>
    </row>
    <row r="1202" spans="1:2" x14ac:dyDescent="0.25">
      <c r="A1202" s="5">
        <v>524</v>
      </c>
      <c r="B1202" s="5">
        <v>2</v>
      </c>
    </row>
    <row r="1203" spans="1:2" x14ac:dyDescent="0.25">
      <c r="A1203" s="5">
        <v>425</v>
      </c>
      <c r="B1203" s="5">
        <v>5</v>
      </c>
    </row>
    <row r="1204" spans="1:2" x14ac:dyDescent="0.25">
      <c r="A1204" s="5">
        <v>168</v>
      </c>
      <c r="B1204" s="5">
        <v>3</v>
      </c>
    </row>
    <row r="1205" spans="1:2" x14ac:dyDescent="0.25">
      <c r="A1205" s="5">
        <v>141</v>
      </c>
      <c r="B1205" s="5">
        <v>7</v>
      </c>
    </row>
    <row r="1206" spans="1:2" x14ac:dyDescent="0.25">
      <c r="A1206" s="5">
        <v>429</v>
      </c>
      <c r="B1206" s="5">
        <v>3</v>
      </c>
    </row>
    <row r="1207" spans="1:2" x14ac:dyDescent="0.25">
      <c r="A1207" s="5">
        <v>44</v>
      </c>
      <c r="B1207" s="5">
        <v>3</v>
      </c>
    </row>
    <row r="1208" spans="1:2" x14ac:dyDescent="0.25">
      <c r="A1208" s="5">
        <v>149</v>
      </c>
      <c r="B1208" s="5">
        <v>3</v>
      </c>
    </row>
    <row r="1209" spans="1:2" x14ac:dyDescent="0.25">
      <c r="A1209" s="5">
        <v>44</v>
      </c>
      <c r="B1209" s="5">
        <v>3</v>
      </c>
    </row>
    <row r="1210" spans="1:2" x14ac:dyDescent="0.25">
      <c r="A1210" s="5">
        <v>33</v>
      </c>
      <c r="B1210" s="5">
        <v>3</v>
      </c>
    </row>
    <row r="1211" spans="1:2" x14ac:dyDescent="0.25">
      <c r="A1211" s="5">
        <v>33</v>
      </c>
      <c r="B1211" s="5">
        <v>2</v>
      </c>
    </row>
    <row r="1212" spans="1:2" x14ac:dyDescent="0.25">
      <c r="A1212" s="5">
        <v>442</v>
      </c>
      <c r="B1212" s="5">
        <v>2</v>
      </c>
    </row>
    <row r="1213" spans="1:2" x14ac:dyDescent="0.25">
      <c r="A1213" s="5">
        <v>41</v>
      </c>
      <c r="B1213" s="5">
        <v>5</v>
      </c>
    </row>
    <row r="1214" spans="1:2" x14ac:dyDescent="0.25">
      <c r="A1214" s="5">
        <v>33</v>
      </c>
      <c r="B1214" s="5">
        <v>5</v>
      </c>
    </row>
    <row r="1215" spans="1:2" x14ac:dyDescent="0.25">
      <c r="A1215" s="5">
        <v>32</v>
      </c>
      <c r="B1215" s="5">
        <v>8</v>
      </c>
    </row>
    <row r="1216" spans="1:2" x14ac:dyDescent="0.25">
      <c r="A1216" s="5">
        <v>32</v>
      </c>
      <c r="B1216" s="5">
        <v>3</v>
      </c>
    </row>
    <row r="1217" spans="1:2" x14ac:dyDescent="0.25">
      <c r="A1217" s="5">
        <v>179</v>
      </c>
      <c r="B1217" s="5">
        <v>1</v>
      </c>
    </row>
    <row r="1218" spans="1:2" x14ac:dyDescent="0.25">
      <c r="A1218" s="5">
        <v>31</v>
      </c>
      <c r="B1218" s="5">
        <v>1</v>
      </c>
    </row>
    <row r="1219" spans="1:2" x14ac:dyDescent="0.25">
      <c r="A1219" s="5">
        <v>140</v>
      </c>
      <c r="B1219" s="5">
        <v>5</v>
      </c>
    </row>
    <row r="1220" spans="1:2" x14ac:dyDescent="0.25">
      <c r="A1220" s="5">
        <v>529</v>
      </c>
      <c r="B1220" s="5">
        <v>3</v>
      </c>
    </row>
    <row r="1221" spans="1:2" x14ac:dyDescent="0.25">
      <c r="A1221" s="5">
        <v>534</v>
      </c>
      <c r="B1221" s="5">
        <v>3</v>
      </c>
    </row>
    <row r="1222" spans="1:2" x14ac:dyDescent="0.25">
      <c r="A1222" s="5">
        <v>41</v>
      </c>
      <c r="B1222" s="5">
        <v>1</v>
      </c>
    </row>
    <row r="1223" spans="1:2" x14ac:dyDescent="0.25">
      <c r="A1223" s="5">
        <v>379</v>
      </c>
      <c r="B1223" s="5">
        <v>2</v>
      </c>
    </row>
    <row r="1224" spans="1:2" x14ac:dyDescent="0.25">
      <c r="A1224" s="5">
        <v>81</v>
      </c>
      <c r="B1224" s="5">
        <v>3</v>
      </c>
    </row>
    <row r="1225" spans="1:2" x14ac:dyDescent="0.25">
      <c r="A1225" s="5">
        <v>40</v>
      </c>
      <c r="B1225" s="5">
        <v>5</v>
      </c>
    </row>
    <row r="1226" spans="1:2" x14ac:dyDescent="0.25">
      <c r="A1226" s="5">
        <v>40</v>
      </c>
      <c r="B1226" s="5">
        <v>1</v>
      </c>
    </row>
    <row r="1227" spans="1:2" x14ac:dyDescent="0.25">
      <c r="A1227" s="5">
        <v>534</v>
      </c>
      <c r="B1227" s="5">
        <v>3</v>
      </c>
    </row>
    <row r="1228" spans="1:2" x14ac:dyDescent="0.25">
      <c r="A1228" s="5">
        <v>31</v>
      </c>
      <c r="B1228" s="5">
        <v>2</v>
      </c>
    </row>
    <row r="1229" spans="1:2" x14ac:dyDescent="0.25">
      <c r="A1229" s="5">
        <v>473</v>
      </c>
      <c r="B1229" s="5">
        <v>9</v>
      </c>
    </row>
    <row r="1230" spans="1:2" x14ac:dyDescent="0.25">
      <c r="A1230" s="5">
        <v>31</v>
      </c>
      <c r="B1230" s="5">
        <v>3</v>
      </c>
    </row>
    <row r="1231" spans="1:2" x14ac:dyDescent="0.25">
      <c r="A1231" s="5">
        <v>31</v>
      </c>
      <c r="B1231" s="5">
        <v>4</v>
      </c>
    </row>
    <row r="1232" spans="1:2" x14ac:dyDescent="0.25">
      <c r="A1232" s="5">
        <v>91</v>
      </c>
      <c r="B1232" s="5">
        <v>6</v>
      </c>
    </row>
    <row r="1233" spans="1:2" x14ac:dyDescent="0.25">
      <c r="A1233" s="5">
        <v>30</v>
      </c>
      <c r="B1233" s="5">
        <v>2</v>
      </c>
    </row>
    <row r="1234" spans="1:2" x14ac:dyDescent="0.25">
      <c r="A1234" s="5">
        <v>30</v>
      </c>
      <c r="B1234" s="5">
        <v>1</v>
      </c>
    </row>
    <row r="1235" spans="1:2" x14ac:dyDescent="0.25">
      <c r="A1235" s="5">
        <v>40</v>
      </c>
      <c r="B1235" s="5">
        <v>3</v>
      </c>
    </row>
    <row r="1236" spans="1:2" x14ac:dyDescent="0.25">
      <c r="A1236" s="5">
        <v>534</v>
      </c>
      <c r="B1236" s="5">
        <v>2</v>
      </c>
    </row>
    <row r="1237" spans="1:2" x14ac:dyDescent="0.25">
      <c r="A1237" s="5">
        <v>539</v>
      </c>
      <c r="B1237" s="5">
        <v>7</v>
      </c>
    </row>
    <row r="1238" spans="1:2" x14ac:dyDescent="0.25">
      <c r="A1238" s="5">
        <v>490</v>
      </c>
      <c r="B1238" s="5">
        <v>8</v>
      </c>
    </row>
    <row r="1239" spans="1:2" x14ac:dyDescent="0.25">
      <c r="A1239" s="5">
        <v>163</v>
      </c>
      <c r="B1239" s="5">
        <v>2</v>
      </c>
    </row>
    <row r="1240" spans="1:2" x14ac:dyDescent="0.25">
      <c r="A1240" s="5">
        <v>184</v>
      </c>
      <c r="B1240" s="5">
        <v>6</v>
      </c>
    </row>
    <row r="1241" spans="1:2" x14ac:dyDescent="0.25">
      <c r="A1241" s="5">
        <v>494</v>
      </c>
      <c r="B1241" s="5">
        <v>4</v>
      </c>
    </row>
    <row r="1242" spans="1:2" x14ac:dyDescent="0.25">
      <c r="A1242" s="5">
        <v>30</v>
      </c>
      <c r="B1242" s="5">
        <v>5</v>
      </c>
    </row>
    <row r="1243" spans="1:2" x14ac:dyDescent="0.25">
      <c r="A1243" s="5">
        <v>30</v>
      </c>
      <c r="B1243" s="5">
        <v>1</v>
      </c>
    </row>
    <row r="1244" spans="1:2" x14ac:dyDescent="0.25">
      <c r="A1244" s="5">
        <v>39</v>
      </c>
      <c r="B1244" s="5">
        <v>2</v>
      </c>
    </row>
    <row r="1245" spans="1:2" x14ac:dyDescent="0.25">
      <c r="A1245" s="5">
        <v>1700</v>
      </c>
      <c r="B1245" s="5">
        <v>3</v>
      </c>
    </row>
    <row r="1246" spans="1:2" x14ac:dyDescent="0.25">
      <c r="A1246" s="5">
        <v>332</v>
      </c>
      <c r="B1246" s="5">
        <v>6</v>
      </c>
    </row>
    <row r="1247" spans="1:2" x14ac:dyDescent="0.25">
      <c r="A1247" s="5">
        <v>436</v>
      </c>
      <c r="B1247" s="5">
        <v>9</v>
      </c>
    </row>
    <row r="1248" spans="1:2" x14ac:dyDescent="0.25">
      <c r="A1248" s="5">
        <v>30</v>
      </c>
      <c r="B1248" s="5">
        <v>2</v>
      </c>
    </row>
    <row r="1249" spans="1:2" x14ac:dyDescent="0.25">
      <c r="A1249" s="5">
        <v>30</v>
      </c>
      <c r="B1249" s="5">
        <v>2</v>
      </c>
    </row>
    <row r="1250" spans="1:2" x14ac:dyDescent="0.25">
      <c r="A1250" s="5">
        <v>38</v>
      </c>
      <c r="B1250" s="5">
        <v>3</v>
      </c>
    </row>
    <row r="1251" spans="1:2" x14ac:dyDescent="0.25">
      <c r="A1251" s="5">
        <v>511</v>
      </c>
      <c r="B1251" s="5">
        <v>3</v>
      </c>
    </row>
    <row r="1252" spans="1:2" x14ac:dyDescent="0.25">
      <c r="A1252" s="5">
        <v>37</v>
      </c>
      <c r="B1252" s="5">
        <v>3</v>
      </c>
    </row>
    <row r="1253" spans="1:2" x14ac:dyDescent="0.25">
      <c r="A1253" s="5">
        <v>513</v>
      </c>
      <c r="B1253" s="5">
        <v>2</v>
      </c>
    </row>
    <row r="1254" spans="1:2" x14ac:dyDescent="0.25">
      <c r="A1254" s="5">
        <v>516</v>
      </c>
      <c r="B1254" s="5">
        <v>4</v>
      </c>
    </row>
    <row r="1255" spans="1:2" x14ac:dyDescent="0.25">
      <c r="A1255" s="5">
        <v>559</v>
      </c>
      <c r="B1255" s="5">
        <v>2</v>
      </c>
    </row>
    <row r="1256" spans="1:2" x14ac:dyDescent="0.25">
      <c r="A1256" s="5">
        <v>29</v>
      </c>
      <c r="B1256" s="5">
        <v>3</v>
      </c>
    </row>
    <row r="1257" spans="1:2" x14ac:dyDescent="0.25">
      <c r="A1257" s="5">
        <v>148</v>
      </c>
      <c r="B1257" s="5">
        <v>5</v>
      </c>
    </row>
    <row r="1258" spans="1:2" x14ac:dyDescent="0.25">
      <c r="A1258" s="5">
        <v>559</v>
      </c>
      <c r="B1258" s="5">
        <v>2</v>
      </c>
    </row>
    <row r="1259" spans="1:2" x14ac:dyDescent="0.25">
      <c r="A1259" s="5">
        <v>527</v>
      </c>
      <c r="B1259" s="5">
        <v>3</v>
      </c>
    </row>
    <row r="1260" spans="1:2" x14ac:dyDescent="0.25">
      <c r="A1260" s="5">
        <v>560</v>
      </c>
      <c r="B1260" s="5">
        <v>3</v>
      </c>
    </row>
    <row r="1261" spans="1:2" x14ac:dyDescent="0.25">
      <c r="A1261" s="5">
        <v>571</v>
      </c>
      <c r="B1261" s="5">
        <v>12</v>
      </c>
    </row>
    <row r="1262" spans="1:2" x14ac:dyDescent="0.25">
      <c r="A1262" s="5">
        <v>29</v>
      </c>
      <c r="B1262" s="5">
        <v>3</v>
      </c>
    </row>
    <row r="1263" spans="1:2" x14ac:dyDescent="0.25">
      <c r="A1263" s="5">
        <v>29</v>
      </c>
      <c r="B1263" s="5">
        <v>2</v>
      </c>
    </row>
    <row r="1264" spans="1:2" x14ac:dyDescent="0.25">
      <c r="A1264" s="5">
        <v>29</v>
      </c>
      <c r="B1264" s="5">
        <v>3</v>
      </c>
    </row>
    <row r="1265" spans="1:2" x14ac:dyDescent="0.25">
      <c r="A1265" s="5">
        <v>35</v>
      </c>
      <c r="B1265" s="5">
        <v>2</v>
      </c>
    </row>
    <row r="1266" spans="1:2" x14ac:dyDescent="0.25">
      <c r="A1266" s="5">
        <v>579</v>
      </c>
      <c r="B1266" s="5">
        <v>3</v>
      </c>
    </row>
    <row r="1267" spans="1:2" x14ac:dyDescent="0.25">
      <c r="A1267" s="5">
        <v>29</v>
      </c>
      <c r="B1267" s="5">
        <v>4</v>
      </c>
    </row>
    <row r="1268" spans="1:2" x14ac:dyDescent="0.25">
      <c r="A1268" s="5">
        <v>593</v>
      </c>
      <c r="B1268" s="5">
        <v>4</v>
      </c>
    </row>
    <row r="1269" spans="1:2" x14ac:dyDescent="0.25">
      <c r="A1269" s="5">
        <v>217</v>
      </c>
      <c r="B1269" s="5">
        <v>2</v>
      </c>
    </row>
    <row r="1270" spans="1:2" x14ac:dyDescent="0.25">
      <c r="A1270" s="5">
        <v>353</v>
      </c>
      <c r="B1270" s="5">
        <v>8</v>
      </c>
    </row>
    <row r="1271" spans="1:2" x14ac:dyDescent="0.25">
      <c r="A1271" s="5">
        <v>382</v>
      </c>
      <c r="B1271" s="5">
        <v>2</v>
      </c>
    </row>
    <row r="1272" spans="1:2" x14ac:dyDescent="0.25">
      <c r="A1272" s="5">
        <v>597</v>
      </c>
      <c r="B1272" s="5">
        <v>4</v>
      </c>
    </row>
    <row r="1273" spans="1:2" x14ac:dyDescent="0.25">
      <c r="A1273" s="5">
        <v>212</v>
      </c>
      <c r="B1273" s="5">
        <v>7</v>
      </c>
    </row>
    <row r="1274" spans="1:2" x14ac:dyDescent="0.25">
      <c r="A1274" s="5">
        <v>689</v>
      </c>
      <c r="B1274" s="5">
        <v>5</v>
      </c>
    </row>
    <row r="1275" spans="1:2" x14ac:dyDescent="0.25">
      <c r="A1275" s="5">
        <v>28</v>
      </c>
      <c r="B1275" s="5">
        <v>3</v>
      </c>
    </row>
    <row r="1276" spans="1:2" x14ac:dyDescent="0.25">
      <c r="A1276" s="5">
        <v>34</v>
      </c>
      <c r="B1276" s="5">
        <v>3</v>
      </c>
    </row>
    <row r="1277" spans="1:2" x14ac:dyDescent="0.25">
      <c r="A1277" s="5">
        <v>600</v>
      </c>
      <c r="B1277" s="5">
        <v>5</v>
      </c>
    </row>
    <row r="1278" spans="1:2" x14ac:dyDescent="0.25">
      <c r="A1278" s="5">
        <v>637</v>
      </c>
      <c r="B1278" s="5">
        <v>5</v>
      </c>
    </row>
    <row r="1279" spans="1:2" x14ac:dyDescent="0.25">
      <c r="A1279" s="5">
        <v>616</v>
      </c>
      <c r="B1279" s="5">
        <v>7</v>
      </c>
    </row>
    <row r="1280" spans="1:2" x14ac:dyDescent="0.25">
      <c r="A1280" s="5">
        <v>624</v>
      </c>
      <c r="B1280" s="5">
        <v>2</v>
      </c>
    </row>
    <row r="1281" spans="1:2" x14ac:dyDescent="0.25">
      <c r="A1281" s="5">
        <v>28</v>
      </c>
      <c r="B1281" s="5">
        <v>1</v>
      </c>
    </row>
    <row r="1282" spans="1:2" x14ac:dyDescent="0.25">
      <c r="A1282" s="5">
        <v>584</v>
      </c>
      <c r="B1282" s="5">
        <v>7</v>
      </c>
    </row>
    <row r="1283" spans="1:2" x14ac:dyDescent="0.25">
      <c r="A1283" s="5">
        <v>28</v>
      </c>
      <c r="B1283" s="5">
        <v>4</v>
      </c>
    </row>
    <row r="1284" spans="1:2" x14ac:dyDescent="0.25">
      <c r="A1284" s="5">
        <v>33</v>
      </c>
      <c r="B1284" s="5">
        <v>1</v>
      </c>
    </row>
    <row r="1285" spans="1:2" x14ac:dyDescent="0.25">
      <c r="A1285" s="5">
        <v>27</v>
      </c>
      <c r="B1285" s="5">
        <v>2</v>
      </c>
    </row>
    <row r="1286" spans="1:2" x14ac:dyDescent="0.25">
      <c r="A1286" s="5">
        <v>27</v>
      </c>
      <c r="B1286" s="5">
        <v>2</v>
      </c>
    </row>
    <row r="1287" spans="1:2" x14ac:dyDescent="0.25">
      <c r="A1287" s="5">
        <v>27</v>
      </c>
      <c r="B1287" s="5">
        <v>3</v>
      </c>
    </row>
    <row r="1288" spans="1:2" x14ac:dyDescent="0.25">
      <c r="A1288" s="5">
        <v>635</v>
      </c>
      <c r="B1288" s="5">
        <v>5</v>
      </c>
    </row>
    <row r="1289" spans="1:2" x14ac:dyDescent="0.25">
      <c r="A1289" s="5">
        <v>598</v>
      </c>
      <c r="B1289" s="5">
        <v>4</v>
      </c>
    </row>
    <row r="1290" spans="1:2" x14ac:dyDescent="0.25">
      <c r="A1290" s="5">
        <v>636</v>
      </c>
      <c r="B1290" s="5">
        <v>2</v>
      </c>
    </row>
    <row r="1291" spans="1:2" x14ac:dyDescent="0.25">
      <c r="A1291" s="5">
        <v>27</v>
      </c>
      <c r="B1291" s="5">
        <v>2</v>
      </c>
    </row>
    <row r="1292" spans="1:2" x14ac:dyDescent="0.25">
      <c r="A1292" s="5">
        <v>27</v>
      </c>
      <c r="B1292" s="5">
        <v>4</v>
      </c>
    </row>
    <row r="1293" spans="1:2" x14ac:dyDescent="0.25">
      <c r="A1293" s="5">
        <v>637</v>
      </c>
      <c r="B1293" s="5">
        <v>8</v>
      </c>
    </row>
    <row r="1294" spans="1:2" x14ac:dyDescent="0.25">
      <c r="A1294" s="5">
        <v>290</v>
      </c>
      <c r="B1294" s="5">
        <v>9</v>
      </c>
    </row>
    <row r="1295" spans="1:2" x14ac:dyDescent="0.25">
      <c r="A1295" s="5">
        <v>27</v>
      </c>
      <c r="B1295" s="5">
        <v>2</v>
      </c>
    </row>
    <row r="1296" spans="1:2" x14ac:dyDescent="0.25">
      <c r="A1296" s="5">
        <v>632</v>
      </c>
      <c r="B1296" s="5">
        <v>4</v>
      </c>
    </row>
    <row r="1297" spans="1:2" x14ac:dyDescent="0.25">
      <c r="A1297" s="5">
        <v>643</v>
      </c>
      <c r="B1297" s="5">
        <v>2</v>
      </c>
    </row>
    <row r="1298" spans="1:2" x14ac:dyDescent="0.25">
      <c r="A1298" s="5">
        <v>652</v>
      </c>
      <c r="B1298" s="5">
        <v>6</v>
      </c>
    </row>
    <row r="1299" spans="1:2" x14ac:dyDescent="0.25">
      <c r="A1299" s="5">
        <v>33</v>
      </c>
      <c r="B1299" s="5">
        <v>1</v>
      </c>
    </row>
    <row r="1300" spans="1:2" x14ac:dyDescent="0.25">
      <c r="A1300" s="5">
        <v>26</v>
      </c>
      <c r="B1300" s="5">
        <v>2</v>
      </c>
    </row>
    <row r="1301" spans="1:2" x14ac:dyDescent="0.25">
      <c r="A1301" s="5">
        <v>633</v>
      </c>
      <c r="B1301" s="5">
        <v>11</v>
      </c>
    </row>
    <row r="1302" spans="1:2" x14ac:dyDescent="0.25">
      <c r="A1302" s="5">
        <v>26</v>
      </c>
      <c r="B1302" s="5">
        <v>2</v>
      </c>
    </row>
    <row r="1303" spans="1:2" x14ac:dyDescent="0.25">
      <c r="A1303" s="5">
        <v>191</v>
      </c>
      <c r="B1303" s="5">
        <v>4</v>
      </c>
    </row>
    <row r="1304" spans="1:2" x14ac:dyDescent="0.25">
      <c r="A1304" s="5">
        <v>887</v>
      </c>
      <c r="B1304" s="5">
        <v>3</v>
      </c>
    </row>
    <row r="1305" spans="1:2" x14ac:dyDescent="0.25">
      <c r="A1305" s="5">
        <v>637</v>
      </c>
      <c r="B1305" s="5">
        <v>2</v>
      </c>
    </row>
    <row r="1306" spans="1:2" x14ac:dyDescent="0.25">
      <c r="A1306" s="5">
        <v>670</v>
      </c>
      <c r="B1306" s="5">
        <v>5</v>
      </c>
    </row>
    <row r="1307" spans="1:2" x14ac:dyDescent="0.25">
      <c r="A1307" s="5">
        <v>26</v>
      </c>
      <c r="B1307" s="5">
        <v>4</v>
      </c>
    </row>
    <row r="1308" spans="1:2" x14ac:dyDescent="0.25">
      <c r="A1308" s="5">
        <v>676</v>
      </c>
      <c r="B1308" s="5">
        <v>5</v>
      </c>
    </row>
    <row r="1309" spans="1:2" x14ac:dyDescent="0.25">
      <c r="A1309" s="5">
        <v>26</v>
      </c>
      <c r="B1309" s="5">
        <v>3</v>
      </c>
    </row>
    <row r="1310" spans="1:2" x14ac:dyDescent="0.25">
      <c r="A1310" s="5">
        <v>26</v>
      </c>
      <c r="B1310" s="5">
        <v>1</v>
      </c>
    </row>
    <row r="1311" spans="1:2" x14ac:dyDescent="0.25">
      <c r="A1311" s="5">
        <v>25</v>
      </c>
      <c r="B1311" s="5">
        <v>2</v>
      </c>
    </row>
    <row r="1312" spans="1:2" x14ac:dyDescent="0.25">
      <c r="A1312" s="5">
        <v>24</v>
      </c>
      <c r="B1312" s="5">
        <v>1</v>
      </c>
    </row>
    <row r="1313" spans="1:2" x14ac:dyDescent="0.25">
      <c r="A1313" s="5">
        <v>32</v>
      </c>
      <c r="B1313" s="5">
        <v>1</v>
      </c>
    </row>
    <row r="1314" spans="1:2" x14ac:dyDescent="0.25">
      <c r="A1314" s="5">
        <v>31</v>
      </c>
      <c r="B1314" s="5">
        <v>2</v>
      </c>
    </row>
    <row r="1315" spans="1:2" x14ac:dyDescent="0.25">
      <c r="A1315" s="5">
        <v>651</v>
      </c>
      <c r="B1315" s="5">
        <v>5</v>
      </c>
    </row>
    <row r="1316" spans="1:2" x14ac:dyDescent="0.25">
      <c r="A1316" s="5">
        <v>326</v>
      </c>
      <c r="B1316" s="5">
        <v>3</v>
      </c>
    </row>
    <row r="1317" spans="1:2" x14ac:dyDescent="0.25">
      <c r="A1317" s="5">
        <v>30</v>
      </c>
      <c r="B1317" s="5">
        <v>2</v>
      </c>
    </row>
    <row r="1318" spans="1:2" x14ac:dyDescent="0.25">
      <c r="A1318" s="5">
        <v>30</v>
      </c>
      <c r="B1318" s="5">
        <v>2</v>
      </c>
    </row>
    <row r="1319" spans="1:2" x14ac:dyDescent="0.25">
      <c r="A1319" s="5">
        <v>662</v>
      </c>
      <c r="B1319" s="5">
        <v>2</v>
      </c>
    </row>
    <row r="1320" spans="1:2" x14ac:dyDescent="0.25">
      <c r="A1320" s="5">
        <v>30</v>
      </c>
      <c r="B1320" s="5">
        <v>2</v>
      </c>
    </row>
    <row r="1321" spans="1:2" x14ac:dyDescent="0.25">
      <c r="A1321" s="5">
        <v>29</v>
      </c>
      <c r="B1321" s="5">
        <v>3</v>
      </c>
    </row>
    <row r="1322" spans="1:2" x14ac:dyDescent="0.25">
      <c r="A1322" s="5">
        <v>28</v>
      </c>
      <c r="B1322" s="5">
        <v>1</v>
      </c>
    </row>
    <row r="1323" spans="1:2" x14ac:dyDescent="0.25">
      <c r="A1323" s="5">
        <v>28</v>
      </c>
      <c r="B1323" s="5">
        <v>2</v>
      </c>
    </row>
    <row r="1324" spans="1:2" x14ac:dyDescent="0.25">
      <c r="A1324" s="5">
        <v>24</v>
      </c>
      <c r="B1324" s="5">
        <v>4</v>
      </c>
    </row>
    <row r="1325" spans="1:2" x14ac:dyDescent="0.25">
      <c r="A1325" s="5">
        <v>28</v>
      </c>
      <c r="B1325" s="5">
        <v>2</v>
      </c>
    </row>
    <row r="1326" spans="1:2" x14ac:dyDescent="0.25">
      <c r="A1326" s="5">
        <v>27</v>
      </c>
      <c r="B1326" s="5">
        <v>1</v>
      </c>
    </row>
    <row r="1327" spans="1:2" x14ac:dyDescent="0.25">
      <c r="A1327" s="5">
        <v>27</v>
      </c>
      <c r="B1327" s="5">
        <v>1</v>
      </c>
    </row>
    <row r="1328" spans="1:2" x14ac:dyDescent="0.25">
      <c r="A1328" s="5">
        <v>24</v>
      </c>
      <c r="B1328" s="5">
        <v>3</v>
      </c>
    </row>
    <row r="1329" spans="1:2" x14ac:dyDescent="0.25">
      <c r="A1329" s="5">
        <v>23</v>
      </c>
      <c r="B1329" s="5">
        <v>4</v>
      </c>
    </row>
    <row r="1330" spans="1:2" x14ac:dyDescent="0.25">
      <c r="A1330" s="5">
        <v>322</v>
      </c>
      <c r="B1330" s="5">
        <v>5</v>
      </c>
    </row>
    <row r="1331" spans="1:2" x14ac:dyDescent="0.25">
      <c r="A1331" s="5">
        <v>688</v>
      </c>
      <c r="B1331" s="5">
        <v>6</v>
      </c>
    </row>
    <row r="1332" spans="1:2" x14ac:dyDescent="0.25">
      <c r="A1332" s="5">
        <v>23</v>
      </c>
      <c r="B1332" s="5">
        <v>1</v>
      </c>
    </row>
    <row r="1333" spans="1:2" x14ac:dyDescent="0.25">
      <c r="A1333" s="5">
        <v>26</v>
      </c>
      <c r="B1333" s="5">
        <v>3</v>
      </c>
    </row>
    <row r="1334" spans="1:2" x14ac:dyDescent="0.25">
      <c r="A1334" s="5">
        <v>68</v>
      </c>
      <c r="B1334" s="5">
        <v>2</v>
      </c>
    </row>
    <row r="1335" spans="1:2" x14ac:dyDescent="0.25">
      <c r="A1335" s="5">
        <v>462</v>
      </c>
      <c r="B1335" s="5">
        <v>4</v>
      </c>
    </row>
    <row r="1336" spans="1:2" x14ac:dyDescent="0.25">
      <c r="A1336" s="5">
        <v>941</v>
      </c>
      <c r="B1336" s="5">
        <v>3</v>
      </c>
    </row>
    <row r="1337" spans="1:2" x14ac:dyDescent="0.25">
      <c r="A1337" s="5">
        <v>23</v>
      </c>
      <c r="B1337" s="5">
        <v>2</v>
      </c>
    </row>
    <row r="1338" spans="1:2" x14ac:dyDescent="0.25">
      <c r="A1338" s="5">
        <v>720</v>
      </c>
      <c r="B1338" s="5">
        <v>2</v>
      </c>
    </row>
    <row r="1339" spans="1:2" x14ac:dyDescent="0.25">
      <c r="A1339" s="5">
        <v>724</v>
      </c>
      <c r="B1339" s="5">
        <v>4</v>
      </c>
    </row>
    <row r="1340" spans="1:2" x14ac:dyDescent="0.25">
      <c r="A1340" s="5">
        <v>724</v>
      </c>
      <c r="B1340" s="5">
        <v>2</v>
      </c>
    </row>
    <row r="1341" spans="1:2" x14ac:dyDescent="0.25">
      <c r="A1341" s="5">
        <v>26</v>
      </c>
      <c r="B1341" s="5">
        <v>4</v>
      </c>
    </row>
    <row r="1342" spans="1:2" x14ac:dyDescent="0.25">
      <c r="A1342" s="5">
        <v>22</v>
      </c>
      <c r="B1342" s="5">
        <v>3</v>
      </c>
    </row>
    <row r="1343" spans="1:2" x14ac:dyDescent="0.25">
      <c r="A1343" s="5">
        <v>711</v>
      </c>
      <c r="B1343" s="5">
        <v>4</v>
      </c>
    </row>
    <row r="1344" spans="1:2" x14ac:dyDescent="0.25">
      <c r="A1344" s="5">
        <v>107</v>
      </c>
      <c r="B1344" s="5">
        <v>5</v>
      </c>
    </row>
    <row r="1345" spans="1:2" x14ac:dyDescent="0.25">
      <c r="A1345" s="5">
        <v>765</v>
      </c>
      <c r="B1345" s="5">
        <v>2</v>
      </c>
    </row>
    <row r="1346" spans="1:2" x14ac:dyDescent="0.25">
      <c r="A1346" s="5">
        <v>22</v>
      </c>
      <c r="B1346" s="5">
        <v>2</v>
      </c>
    </row>
    <row r="1347" spans="1:2" x14ac:dyDescent="0.25">
      <c r="A1347" s="5">
        <v>26</v>
      </c>
      <c r="B1347" s="5">
        <v>2</v>
      </c>
    </row>
    <row r="1348" spans="1:2" x14ac:dyDescent="0.25">
      <c r="A1348" s="5">
        <v>22</v>
      </c>
      <c r="B1348" s="5">
        <v>3</v>
      </c>
    </row>
    <row r="1349" spans="1:2" x14ac:dyDescent="0.25">
      <c r="A1349" s="5">
        <v>743</v>
      </c>
      <c r="B1349" s="5">
        <v>5</v>
      </c>
    </row>
    <row r="1350" spans="1:2" x14ac:dyDescent="0.25">
      <c r="A1350" s="5">
        <v>22</v>
      </c>
      <c r="B1350" s="5">
        <v>4</v>
      </c>
    </row>
    <row r="1351" spans="1:2" x14ac:dyDescent="0.25">
      <c r="A1351" s="5">
        <v>781</v>
      </c>
      <c r="B1351" s="5">
        <v>6</v>
      </c>
    </row>
    <row r="1352" spans="1:2" x14ac:dyDescent="0.25">
      <c r="A1352" s="5">
        <v>25</v>
      </c>
      <c r="B1352" s="5">
        <v>5</v>
      </c>
    </row>
    <row r="1353" spans="1:2" x14ac:dyDescent="0.25">
      <c r="A1353" s="5">
        <v>25</v>
      </c>
      <c r="B1353" s="5">
        <v>2</v>
      </c>
    </row>
    <row r="1354" spans="1:2" x14ac:dyDescent="0.25">
      <c r="A1354" s="5">
        <v>119</v>
      </c>
      <c r="B1354" s="5">
        <v>5</v>
      </c>
    </row>
    <row r="1355" spans="1:2" x14ac:dyDescent="0.25">
      <c r="A1355" s="5">
        <v>785</v>
      </c>
      <c r="B1355" s="5">
        <v>2</v>
      </c>
    </row>
    <row r="1356" spans="1:2" x14ac:dyDescent="0.25">
      <c r="A1356" s="5">
        <v>183</v>
      </c>
      <c r="B1356" s="5">
        <v>5</v>
      </c>
    </row>
    <row r="1357" spans="1:2" x14ac:dyDescent="0.25">
      <c r="A1357" s="5">
        <v>22</v>
      </c>
      <c r="B1357" s="5">
        <v>1</v>
      </c>
    </row>
    <row r="1358" spans="1:2" x14ac:dyDescent="0.25">
      <c r="A1358" s="5">
        <v>642</v>
      </c>
      <c r="B1358" s="5">
        <v>5</v>
      </c>
    </row>
    <row r="1359" spans="1:2" x14ac:dyDescent="0.25">
      <c r="A1359" s="5">
        <v>767</v>
      </c>
      <c r="B1359" s="5">
        <v>5</v>
      </c>
    </row>
    <row r="1360" spans="1:2" x14ac:dyDescent="0.25">
      <c r="A1360" s="5">
        <v>770</v>
      </c>
      <c r="B1360" s="5">
        <v>3</v>
      </c>
    </row>
    <row r="1361" spans="1:2" x14ac:dyDescent="0.25">
      <c r="A1361" s="5">
        <v>21</v>
      </c>
      <c r="B1361" s="5">
        <v>3</v>
      </c>
    </row>
    <row r="1362" spans="1:2" x14ac:dyDescent="0.25">
      <c r="A1362" s="5">
        <v>21</v>
      </c>
      <c r="B1362" s="5">
        <v>3</v>
      </c>
    </row>
    <row r="1363" spans="1:2" x14ac:dyDescent="0.25">
      <c r="A1363" s="5">
        <v>492</v>
      </c>
      <c r="B1363" s="5">
        <v>2</v>
      </c>
    </row>
    <row r="1364" spans="1:2" x14ac:dyDescent="0.25">
      <c r="A1364" s="5">
        <v>816</v>
      </c>
      <c r="B1364" s="5">
        <v>3</v>
      </c>
    </row>
    <row r="1365" spans="1:2" x14ac:dyDescent="0.25">
      <c r="A1365" s="5">
        <v>25</v>
      </c>
      <c r="B1365" s="5">
        <v>3</v>
      </c>
    </row>
    <row r="1366" spans="1:2" x14ac:dyDescent="0.25">
      <c r="A1366" s="5">
        <v>802</v>
      </c>
      <c r="B1366" s="5">
        <v>7</v>
      </c>
    </row>
    <row r="1367" spans="1:2" x14ac:dyDescent="0.25">
      <c r="A1367" s="5">
        <v>811</v>
      </c>
      <c r="B1367" s="5">
        <v>7</v>
      </c>
    </row>
    <row r="1368" spans="1:2" x14ac:dyDescent="0.25">
      <c r="A1368" s="5">
        <v>835</v>
      </c>
      <c r="B1368" s="5">
        <v>5</v>
      </c>
    </row>
    <row r="1369" spans="1:2" x14ac:dyDescent="0.25">
      <c r="A1369" s="5">
        <v>21</v>
      </c>
      <c r="B1369" s="5">
        <v>1</v>
      </c>
    </row>
    <row r="1370" spans="1:2" x14ac:dyDescent="0.25">
      <c r="A1370" s="5">
        <v>450</v>
      </c>
      <c r="B1370" s="5">
        <v>4</v>
      </c>
    </row>
    <row r="1371" spans="1:2" x14ac:dyDescent="0.25">
      <c r="A1371" s="5">
        <v>24</v>
      </c>
      <c r="B1371" s="5">
        <v>4</v>
      </c>
    </row>
    <row r="1372" spans="1:2" x14ac:dyDescent="0.25">
      <c r="A1372" s="5">
        <v>832</v>
      </c>
      <c r="B1372" s="5">
        <v>3</v>
      </c>
    </row>
    <row r="1373" spans="1:2" x14ac:dyDescent="0.25">
      <c r="A1373" s="5">
        <v>833</v>
      </c>
      <c r="B1373" s="5">
        <v>3</v>
      </c>
    </row>
    <row r="1374" spans="1:2" x14ac:dyDescent="0.25">
      <c r="A1374" s="5">
        <v>20</v>
      </c>
      <c r="B1374" s="5">
        <v>1</v>
      </c>
    </row>
    <row r="1375" spans="1:2" x14ac:dyDescent="0.25">
      <c r="A1375" s="5">
        <v>23</v>
      </c>
      <c r="B1375" s="5">
        <v>7</v>
      </c>
    </row>
    <row r="1376" spans="1:2" x14ac:dyDescent="0.25">
      <c r="A1376" s="5">
        <v>550</v>
      </c>
      <c r="B1376" s="5">
        <v>5</v>
      </c>
    </row>
    <row r="1377" spans="1:2" x14ac:dyDescent="0.25">
      <c r="A1377" s="5">
        <v>148</v>
      </c>
      <c r="B1377" s="5">
        <v>2</v>
      </c>
    </row>
    <row r="1378" spans="1:2" x14ac:dyDescent="0.25">
      <c r="A1378" s="5">
        <v>846</v>
      </c>
      <c r="B1378" s="5">
        <v>2</v>
      </c>
    </row>
    <row r="1379" spans="1:2" x14ac:dyDescent="0.25">
      <c r="A1379" s="5">
        <v>856</v>
      </c>
      <c r="B1379" s="5">
        <v>6</v>
      </c>
    </row>
    <row r="1380" spans="1:2" x14ac:dyDescent="0.25">
      <c r="A1380" s="5">
        <v>871</v>
      </c>
      <c r="B1380" s="5">
        <v>2</v>
      </c>
    </row>
    <row r="1381" spans="1:2" x14ac:dyDescent="0.25">
      <c r="A1381" s="5">
        <v>19</v>
      </c>
      <c r="B1381" s="5">
        <v>4</v>
      </c>
    </row>
    <row r="1382" spans="1:2" x14ac:dyDescent="0.25">
      <c r="A1382" s="5">
        <v>610</v>
      </c>
      <c r="B1382" s="5">
        <v>2</v>
      </c>
    </row>
    <row r="1383" spans="1:2" x14ac:dyDescent="0.25">
      <c r="A1383" s="5">
        <v>880</v>
      </c>
      <c r="B1383" s="5">
        <v>8</v>
      </c>
    </row>
    <row r="1384" spans="1:2" x14ac:dyDescent="0.25">
      <c r="A1384" s="5">
        <v>22</v>
      </c>
      <c r="B1384" s="5">
        <v>4</v>
      </c>
    </row>
    <row r="1385" spans="1:2" x14ac:dyDescent="0.25">
      <c r="A1385" s="5">
        <v>22</v>
      </c>
      <c r="B1385" s="5">
        <v>2</v>
      </c>
    </row>
    <row r="1386" spans="1:2" x14ac:dyDescent="0.25">
      <c r="A1386" s="5">
        <v>21</v>
      </c>
      <c r="B1386" s="5">
        <v>3</v>
      </c>
    </row>
    <row r="1387" spans="1:2" x14ac:dyDescent="0.25">
      <c r="A1387" s="5">
        <v>18</v>
      </c>
      <c r="B1387" s="5">
        <v>3</v>
      </c>
    </row>
    <row r="1388" spans="1:2" x14ac:dyDescent="0.25">
      <c r="A1388" s="5">
        <v>911</v>
      </c>
      <c r="B1388" s="5">
        <v>7</v>
      </c>
    </row>
    <row r="1389" spans="1:2" x14ac:dyDescent="0.25">
      <c r="A1389" s="5">
        <v>18</v>
      </c>
      <c r="B1389" s="5">
        <v>3</v>
      </c>
    </row>
    <row r="1390" spans="1:2" x14ac:dyDescent="0.25">
      <c r="A1390" s="5">
        <v>911</v>
      </c>
      <c r="B1390" s="5">
        <v>5</v>
      </c>
    </row>
    <row r="1391" spans="1:2" x14ac:dyDescent="0.25">
      <c r="A1391" s="5">
        <v>143</v>
      </c>
      <c r="B1391" s="5">
        <v>2</v>
      </c>
    </row>
    <row r="1392" spans="1:2" x14ac:dyDescent="0.25">
      <c r="A1392" s="5">
        <v>918</v>
      </c>
      <c r="B1392" s="5">
        <v>9</v>
      </c>
    </row>
    <row r="1393" spans="1:2" x14ac:dyDescent="0.25">
      <c r="A1393" s="5">
        <v>925</v>
      </c>
      <c r="B1393" s="5">
        <v>5</v>
      </c>
    </row>
    <row r="1394" spans="1:2" x14ac:dyDescent="0.25">
      <c r="A1394" s="5">
        <v>17</v>
      </c>
      <c r="B1394" s="5">
        <v>2</v>
      </c>
    </row>
    <row r="1395" spans="1:2" x14ac:dyDescent="0.25">
      <c r="A1395" s="5">
        <v>465</v>
      </c>
      <c r="B1395" s="5">
        <v>9</v>
      </c>
    </row>
    <row r="1396" spans="1:2" x14ac:dyDescent="0.25">
      <c r="A1396" s="5">
        <v>17</v>
      </c>
      <c r="B1396" s="5">
        <v>3</v>
      </c>
    </row>
    <row r="1397" spans="1:2" x14ac:dyDescent="0.25">
      <c r="A1397" s="5">
        <v>935</v>
      </c>
      <c r="B1397" s="5">
        <v>4</v>
      </c>
    </row>
    <row r="1398" spans="1:2" x14ac:dyDescent="0.25">
      <c r="A1398" s="5">
        <v>16</v>
      </c>
      <c r="B1398" s="5">
        <v>2</v>
      </c>
    </row>
    <row r="1399" spans="1:2" x14ac:dyDescent="0.25">
      <c r="A1399" s="5">
        <v>954</v>
      </c>
      <c r="B1399" s="5">
        <v>3</v>
      </c>
    </row>
    <row r="1400" spans="1:2" x14ac:dyDescent="0.25">
      <c r="A1400" s="5">
        <v>915</v>
      </c>
      <c r="B1400" s="5">
        <v>3</v>
      </c>
    </row>
    <row r="1401" spans="1:2" x14ac:dyDescent="0.25">
      <c r="A1401" s="5">
        <v>955</v>
      </c>
      <c r="B1401" s="5">
        <v>3</v>
      </c>
    </row>
    <row r="1402" spans="1:2" x14ac:dyDescent="0.25">
      <c r="A1402" s="5">
        <v>976</v>
      </c>
      <c r="B1402" s="5">
        <v>4</v>
      </c>
    </row>
    <row r="1403" spans="1:2" x14ac:dyDescent="0.25">
      <c r="A1403" s="5">
        <v>1069</v>
      </c>
      <c r="B1403" s="5">
        <v>6</v>
      </c>
    </row>
    <row r="1404" spans="1:2" x14ac:dyDescent="0.25">
      <c r="A1404" s="5">
        <v>19</v>
      </c>
      <c r="B1404" s="5">
        <v>3</v>
      </c>
    </row>
    <row r="1405" spans="1:2" x14ac:dyDescent="0.25">
      <c r="A1405" s="5">
        <v>16</v>
      </c>
      <c r="B1405" s="5">
        <v>3</v>
      </c>
    </row>
    <row r="1406" spans="1:2" x14ac:dyDescent="0.25">
      <c r="A1406" s="5">
        <v>1030</v>
      </c>
      <c r="B1406" s="5">
        <v>8</v>
      </c>
    </row>
    <row r="1407" spans="1:2" x14ac:dyDescent="0.25">
      <c r="A1407" s="5">
        <v>620</v>
      </c>
      <c r="B1407" s="5">
        <v>6</v>
      </c>
    </row>
    <row r="1408" spans="1:2" x14ac:dyDescent="0.25">
      <c r="A1408" s="5">
        <v>16</v>
      </c>
      <c r="B1408" s="5">
        <v>2</v>
      </c>
    </row>
    <row r="1409" spans="1:2" x14ac:dyDescent="0.25">
      <c r="A1409" s="5">
        <v>19</v>
      </c>
      <c r="B1409" s="5">
        <v>2</v>
      </c>
    </row>
    <row r="1410" spans="1:2" x14ac:dyDescent="0.25">
      <c r="A1410" s="5">
        <v>249</v>
      </c>
      <c r="B1410" s="5">
        <v>4</v>
      </c>
    </row>
    <row r="1411" spans="1:2" x14ac:dyDescent="0.25">
      <c r="A1411" s="5">
        <v>16</v>
      </c>
      <c r="B1411" s="5">
        <v>1</v>
      </c>
    </row>
    <row r="1412" spans="1:2" x14ac:dyDescent="0.25">
      <c r="A1412" s="5">
        <v>1361</v>
      </c>
      <c r="B1412" s="5">
        <v>9</v>
      </c>
    </row>
    <row r="1413" spans="1:2" x14ac:dyDescent="0.25">
      <c r="A1413" s="5">
        <v>15</v>
      </c>
      <c r="B1413" s="5">
        <v>1</v>
      </c>
    </row>
    <row r="1414" spans="1:2" x14ac:dyDescent="0.25">
      <c r="A1414" s="5">
        <v>1076</v>
      </c>
      <c r="B1414" s="5">
        <v>4</v>
      </c>
    </row>
    <row r="1415" spans="1:2" x14ac:dyDescent="0.25">
      <c r="A1415" s="5">
        <v>18</v>
      </c>
      <c r="B1415" s="5">
        <v>3</v>
      </c>
    </row>
    <row r="1416" spans="1:2" x14ac:dyDescent="0.25">
      <c r="A1416" s="5">
        <v>1101</v>
      </c>
      <c r="B1416" s="5">
        <v>3</v>
      </c>
    </row>
    <row r="1417" spans="1:2" x14ac:dyDescent="0.25">
      <c r="A1417" s="5">
        <v>15</v>
      </c>
      <c r="B1417" s="5">
        <v>1</v>
      </c>
    </row>
    <row r="1418" spans="1:2" x14ac:dyDescent="0.25">
      <c r="A1418" s="5">
        <v>1104</v>
      </c>
      <c r="B1418" s="5">
        <v>4</v>
      </c>
    </row>
    <row r="1419" spans="1:2" x14ac:dyDescent="0.25">
      <c r="A1419" s="5">
        <v>14</v>
      </c>
      <c r="B1419" s="5">
        <v>1</v>
      </c>
    </row>
    <row r="1420" spans="1:2" x14ac:dyDescent="0.25">
      <c r="A1420" s="5">
        <v>14</v>
      </c>
      <c r="B1420" s="5">
        <v>1</v>
      </c>
    </row>
    <row r="1421" spans="1:2" x14ac:dyDescent="0.25">
      <c r="A1421" s="5">
        <v>14</v>
      </c>
      <c r="B1421" s="5">
        <v>2</v>
      </c>
    </row>
    <row r="1422" spans="1:2" x14ac:dyDescent="0.25">
      <c r="A1422" s="5">
        <v>14</v>
      </c>
      <c r="B1422" s="5">
        <v>4</v>
      </c>
    </row>
    <row r="1423" spans="1:2" x14ac:dyDescent="0.25">
      <c r="A1423" s="5">
        <v>13</v>
      </c>
      <c r="B1423" s="5">
        <v>1</v>
      </c>
    </row>
    <row r="1424" spans="1:2" x14ac:dyDescent="0.25">
      <c r="A1424" s="5">
        <v>13</v>
      </c>
      <c r="B1424" s="5">
        <v>3</v>
      </c>
    </row>
    <row r="1425" spans="1:2" x14ac:dyDescent="0.25">
      <c r="A1425" s="5">
        <v>1275</v>
      </c>
      <c r="B1425" s="5">
        <v>7</v>
      </c>
    </row>
    <row r="1426" spans="1:2" x14ac:dyDescent="0.25">
      <c r="A1426" s="5">
        <v>17</v>
      </c>
      <c r="B1426" s="5">
        <v>2</v>
      </c>
    </row>
    <row r="1427" spans="1:2" x14ac:dyDescent="0.25">
      <c r="A1427" s="5">
        <v>13</v>
      </c>
      <c r="B1427" s="5">
        <v>2</v>
      </c>
    </row>
    <row r="1428" spans="1:2" x14ac:dyDescent="0.25">
      <c r="A1428" s="5">
        <v>1270</v>
      </c>
      <c r="B1428" s="5">
        <v>11</v>
      </c>
    </row>
    <row r="1429" spans="1:2" x14ac:dyDescent="0.25">
      <c r="A1429" s="5">
        <v>13</v>
      </c>
      <c r="B1429" s="5">
        <v>1</v>
      </c>
    </row>
    <row r="1430" spans="1:2" x14ac:dyDescent="0.25">
      <c r="A1430" s="5">
        <v>13</v>
      </c>
      <c r="B1430" s="5">
        <v>1</v>
      </c>
    </row>
    <row r="1431" spans="1:2" x14ac:dyDescent="0.25">
      <c r="A1431" s="5">
        <v>17</v>
      </c>
      <c r="B1431" s="5">
        <v>1</v>
      </c>
    </row>
    <row r="1432" spans="1:2" x14ac:dyDescent="0.25">
      <c r="A1432" s="5">
        <v>13</v>
      </c>
      <c r="B1432" s="5">
        <v>2</v>
      </c>
    </row>
    <row r="1433" spans="1:2" x14ac:dyDescent="0.25">
      <c r="A1433" s="5">
        <v>13</v>
      </c>
      <c r="B1433" s="5">
        <v>2</v>
      </c>
    </row>
    <row r="1434" spans="1:2" x14ac:dyDescent="0.25">
      <c r="A1434" s="5">
        <v>1263</v>
      </c>
      <c r="B1434" s="5">
        <v>5</v>
      </c>
    </row>
    <row r="1435" spans="1:2" x14ac:dyDescent="0.25">
      <c r="A1435" s="5">
        <v>1629</v>
      </c>
      <c r="B1435" s="5">
        <v>3</v>
      </c>
    </row>
    <row r="1436" spans="1:2" x14ac:dyDescent="0.25">
      <c r="A1436" s="5">
        <v>17</v>
      </c>
      <c r="B1436" s="5">
        <v>3</v>
      </c>
    </row>
    <row r="1437" spans="1:2" x14ac:dyDescent="0.25">
      <c r="A1437" s="5">
        <v>17</v>
      </c>
      <c r="B1437" s="5">
        <v>2</v>
      </c>
    </row>
    <row r="1438" spans="1:2" x14ac:dyDescent="0.25">
      <c r="A1438" s="5">
        <v>1250</v>
      </c>
      <c r="B1438" s="5">
        <v>2</v>
      </c>
    </row>
    <row r="1439" spans="1:2" x14ac:dyDescent="0.25">
      <c r="A1439" s="5">
        <v>17</v>
      </c>
      <c r="B1439" s="5">
        <v>3</v>
      </c>
    </row>
    <row r="1440" spans="1:2" x14ac:dyDescent="0.25">
      <c r="A1440" s="5">
        <v>977</v>
      </c>
      <c r="B1440" s="5">
        <v>7</v>
      </c>
    </row>
    <row r="1441" spans="1:2" x14ac:dyDescent="0.25">
      <c r="A1441" s="5">
        <v>1246</v>
      </c>
      <c r="B1441" s="5">
        <v>3</v>
      </c>
    </row>
    <row r="1442" spans="1:2" x14ac:dyDescent="0.25">
      <c r="A1442" s="5">
        <v>12</v>
      </c>
      <c r="B1442" s="5">
        <v>2</v>
      </c>
    </row>
    <row r="1443" spans="1:2" x14ac:dyDescent="0.25">
      <c r="A1443" s="5">
        <v>11</v>
      </c>
      <c r="B1443" s="5">
        <v>2</v>
      </c>
    </row>
    <row r="1444" spans="1:2" x14ac:dyDescent="0.25">
      <c r="A1444" s="5">
        <v>1327</v>
      </c>
      <c r="B1444" s="5">
        <v>8</v>
      </c>
    </row>
    <row r="1445" spans="1:2" x14ac:dyDescent="0.25">
      <c r="A1445" s="5">
        <v>1319</v>
      </c>
      <c r="B1445" s="5">
        <v>5</v>
      </c>
    </row>
    <row r="1446" spans="1:2" x14ac:dyDescent="0.25">
      <c r="A1446" s="5">
        <v>1402</v>
      </c>
      <c r="B1446" s="5">
        <v>11</v>
      </c>
    </row>
    <row r="1447" spans="1:2" x14ac:dyDescent="0.25">
      <c r="A1447" s="5">
        <v>1514</v>
      </c>
      <c r="B1447" s="5">
        <v>4</v>
      </c>
    </row>
    <row r="1448" spans="1:2" x14ac:dyDescent="0.25">
      <c r="A1448" s="5">
        <v>1351</v>
      </c>
      <c r="B1448" s="5">
        <v>6</v>
      </c>
    </row>
    <row r="1449" spans="1:2" x14ac:dyDescent="0.25">
      <c r="A1449" s="5">
        <v>1355</v>
      </c>
      <c r="B1449" s="5">
        <v>5</v>
      </c>
    </row>
    <row r="1450" spans="1:2" x14ac:dyDescent="0.25">
      <c r="A1450" s="5">
        <v>10</v>
      </c>
      <c r="B1450" s="5">
        <v>2</v>
      </c>
    </row>
    <row r="1451" spans="1:2" x14ac:dyDescent="0.25">
      <c r="A1451" s="5">
        <v>10</v>
      </c>
      <c r="B1451" s="5">
        <v>2</v>
      </c>
    </row>
    <row r="1452" spans="1:2" x14ac:dyDescent="0.25">
      <c r="A1452" s="5">
        <v>1582</v>
      </c>
      <c r="B1452" s="5">
        <v>6</v>
      </c>
    </row>
    <row r="1453" spans="1:2" x14ac:dyDescent="0.25">
      <c r="A1453" s="5">
        <v>1218</v>
      </c>
      <c r="B1453" s="5">
        <v>9</v>
      </c>
    </row>
    <row r="1454" spans="1:2" x14ac:dyDescent="0.25">
      <c r="A1454" s="5">
        <v>321</v>
      </c>
      <c r="B1454" s="5">
        <v>5</v>
      </c>
    </row>
    <row r="1455" spans="1:2" x14ac:dyDescent="0.25">
      <c r="A1455" s="5">
        <v>736</v>
      </c>
      <c r="B1455" s="5">
        <v>5</v>
      </c>
    </row>
    <row r="1456" spans="1:2" x14ac:dyDescent="0.25">
      <c r="A1456" s="5">
        <v>1218</v>
      </c>
      <c r="B1456" s="5">
        <v>8</v>
      </c>
    </row>
    <row r="1457" spans="1:2" x14ac:dyDescent="0.25">
      <c r="A1457" s="5">
        <v>1027</v>
      </c>
      <c r="B1457" s="5">
        <v>8</v>
      </c>
    </row>
    <row r="1458" spans="1:2" x14ac:dyDescent="0.25">
      <c r="A1458" s="5">
        <v>10</v>
      </c>
      <c r="B1458" s="5">
        <v>1</v>
      </c>
    </row>
    <row r="1459" spans="1:2" x14ac:dyDescent="0.25">
      <c r="A1459" s="5">
        <v>2366</v>
      </c>
      <c r="B1459" s="5">
        <v>5</v>
      </c>
    </row>
    <row r="1460" spans="1:2" x14ac:dyDescent="0.25">
      <c r="A1460" s="5">
        <v>9</v>
      </c>
      <c r="B1460" s="5">
        <v>2</v>
      </c>
    </row>
    <row r="1461" spans="1:2" x14ac:dyDescent="0.25">
      <c r="A1461" s="5">
        <v>16</v>
      </c>
      <c r="B1461" s="5">
        <v>2</v>
      </c>
    </row>
    <row r="1462" spans="1:2" x14ac:dyDescent="0.25">
      <c r="A1462" s="5">
        <v>9</v>
      </c>
      <c r="B1462" s="5">
        <v>1</v>
      </c>
    </row>
    <row r="1463" spans="1:2" x14ac:dyDescent="0.25">
      <c r="A1463" s="5">
        <v>1560</v>
      </c>
      <c r="B1463" s="5">
        <v>3</v>
      </c>
    </row>
    <row r="1464" spans="1:2" x14ac:dyDescent="0.25">
      <c r="A1464" s="5">
        <v>1137</v>
      </c>
      <c r="B1464" s="5">
        <v>2</v>
      </c>
    </row>
    <row r="1465" spans="1:2" x14ac:dyDescent="0.25">
      <c r="A1465" s="5">
        <v>9</v>
      </c>
      <c r="B1465" s="5">
        <v>2</v>
      </c>
    </row>
    <row r="1466" spans="1:2" x14ac:dyDescent="0.25">
      <c r="A1466" s="5">
        <v>15</v>
      </c>
      <c r="B1466" s="5">
        <v>1</v>
      </c>
    </row>
    <row r="1467" spans="1:2" x14ac:dyDescent="0.25">
      <c r="A1467" s="5">
        <v>14</v>
      </c>
      <c r="B1467" s="5">
        <v>1</v>
      </c>
    </row>
    <row r="1468" spans="1:2" x14ac:dyDescent="0.25">
      <c r="A1468" s="5">
        <v>14</v>
      </c>
      <c r="B1468" s="5">
        <v>2</v>
      </c>
    </row>
    <row r="1469" spans="1:2" x14ac:dyDescent="0.25">
      <c r="A1469" s="5">
        <v>8</v>
      </c>
      <c r="B1469" s="5">
        <v>2</v>
      </c>
    </row>
    <row r="1470" spans="1:2" x14ac:dyDescent="0.25">
      <c r="A1470" s="5">
        <v>1389</v>
      </c>
      <c r="B1470" s="5">
        <v>7</v>
      </c>
    </row>
    <row r="1471" spans="1:2" x14ac:dyDescent="0.25">
      <c r="A1471" s="5">
        <v>8</v>
      </c>
      <c r="B1471" s="5">
        <v>2</v>
      </c>
    </row>
    <row r="1472" spans="1:2" x14ac:dyDescent="0.25">
      <c r="A1472" s="5">
        <v>8</v>
      </c>
      <c r="B1472" s="5">
        <v>1</v>
      </c>
    </row>
    <row r="1473" spans="1:2" x14ac:dyDescent="0.25">
      <c r="A1473" s="5">
        <v>13</v>
      </c>
      <c r="B1473" s="5">
        <v>1</v>
      </c>
    </row>
    <row r="1474" spans="1:2" x14ac:dyDescent="0.25">
      <c r="A1474" s="5">
        <v>8</v>
      </c>
      <c r="B1474" s="5">
        <v>1</v>
      </c>
    </row>
    <row r="1475" spans="1:2" x14ac:dyDescent="0.25">
      <c r="A1475" s="5">
        <v>12</v>
      </c>
      <c r="B1475" s="5">
        <v>2</v>
      </c>
    </row>
    <row r="1476" spans="1:2" x14ac:dyDescent="0.25">
      <c r="A1476" s="5">
        <v>1716</v>
      </c>
      <c r="B1476" s="5">
        <v>7</v>
      </c>
    </row>
    <row r="1477" spans="1:2" x14ac:dyDescent="0.25">
      <c r="A1477" s="5">
        <v>1117</v>
      </c>
      <c r="B1477" s="5">
        <v>10</v>
      </c>
    </row>
    <row r="1478" spans="1:2" x14ac:dyDescent="0.25">
      <c r="A1478" s="5">
        <v>9</v>
      </c>
      <c r="B1478" s="5">
        <v>2</v>
      </c>
    </row>
    <row r="1479" spans="1:2" x14ac:dyDescent="0.25">
      <c r="A1479" s="5">
        <v>332</v>
      </c>
      <c r="B1479" s="5">
        <v>3</v>
      </c>
    </row>
    <row r="1480" spans="1:2" x14ac:dyDescent="0.25">
      <c r="A1480" s="5">
        <v>7</v>
      </c>
      <c r="B1480" s="5">
        <v>3</v>
      </c>
    </row>
    <row r="1481" spans="1:2" x14ac:dyDescent="0.25">
      <c r="A1481" s="5">
        <v>8</v>
      </c>
      <c r="B1481" s="5">
        <v>3</v>
      </c>
    </row>
    <row r="1482" spans="1:2" x14ac:dyDescent="0.25">
      <c r="A1482" s="5">
        <v>2061</v>
      </c>
      <c r="B1482" s="5">
        <v>5</v>
      </c>
    </row>
    <row r="1483" spans="1:2" x14ac:dyDescent="0.25">
      <c r="A1483" s="5">
        <v>1103</v>
      </c>
      <c r="B1483" s="5">
        <v>3</v>
      </c>
    </row>
    <row r="1484" spans="1:2" x14ac:dyDescent="0.25">
      <c r="A1484" s="5">
        <v>2103</v>
      </c>
      <c r="B1484" s="5">
        <v>8</v>
      </c>
    </row>
    <row r="1485" spans="1:2" x14ac:dyDescent="0.25">
      <c r="A1485" s="5">
        <v>2115</v>
      </c>
      <c r="B1485" s="5">
        <v>5</v>
      </c>
    </row>
    <row r="1486" spans="1:2" x14ac:dyDescent="0.25">
      <c r="A1486" s="5">
        <v>850</v>
      </c>
      <c r="B1486" s="5">
        <v>5</v>
      </c>
    </row>
    <row r="1487" spans="1:2" x14ac:dyDescent="0.25">
      <c r="A1487" s="5">
        <v>1063</v>
      </c>
      <c r="B1487" s="5">
        <v>7</v>
      </c>
    </row>
    <row r="1488" spans="1:2" x14ac:dyDescent="0.25">
      <c r="A1488" s="5">
        <v>1063</v>
      </c>
      <c r="B1488" s="5">
        <v>4</v>
      </c>
    </row>
    <row r="1489" spans="1:2" x14ac:dyDescent="0.25">
      <c r="A1489" s="5">
        <v>2292</v>
      </c>
      <c r="B1489" s="5">
        <v>7</v>
      </c>
    </row>
    <row r="1490" spans="1:2" x14ac:dyDescent="0.25">
      <c r="A1490" s="5">
        <v>7</v>
      </c>
      <c r="B1490" s="5">
        <v>2</v>
      </c>
    </row>
    <row r="1491" spans="1:2" x14ac:dyDescent="0.25">
      <c r="A1491" s="5">
        <v>2452</v>
      </c>
      <c r="B1491" s="5">
        <v>7</v>
      </c>
    </row>
    <row r="1492" spans="1:2" x14ac:dyDescent="0.25">
      <c r="A1492" s="5">
        <v>2457</v>
      </c>
      <c r="B1492" s="5">
        <v>11</v>
      </c>
    </row>
    <row r="1493" spans="1:2" x14ac:dyDescent="0.25">
      <c r="A1493" s="5">
        <v>4</v>
      </c>
      <c r="B1493" s="5">
        <v>1</v>
      </c>
    </row>
    <row r="1494" spans="1:2" x14ac:dyDescent="0.25">
      <c r="A1494" s="5">
        <v>2830</v>
      </c>
      <c r="B1494" s="5">
        <v>13</v>
      </c>
    </row>
    <row r="1495" spans="1:2" x14ac:dyDescent="0.25">
      <c r="A1495" s="5">
        <v>7</v>
      </c>
      <c r="B1495" s="5">
        <v>1</v>
      </c>
    </row>
    <row r="1496" spans="1:2" x14ac:dyDescent="0.25">
      <c r="A1496" s="5">
        <v>7</v>
      </c>
      <c r="B1496" s="5">
        <v>2</v>
      </c>
    </row>
    <row r="1497" spans="1:2" x14ac:dyDescent="0.25">
      <c r="A1497" s="5">
        <v>7</v>
      </c>
      <c r="B1497" s="5">
        <v>2</v>
      </c>
    </row>
    <row r="1498" spans="1:2" x14ac:dyDescent="0.25">
      <c r="A1498" s="5">
        <v>3151</v>
      </c>
      <c r="B1498" s="5">
        <v>7</v>
      </c>
    </row>
    <row r="1499" spans="1:2" x14ac:dyDescent="0.25">
      <c r="A1499" s="5">
        <v>4141</v>
      </c>
      <c r="B1499" s="5">
        <v>13</v>
      </c>
    </row>
    <row r="1500" spans="1:2" x14ac:dyDescent="0.25">
      <c r="A1500" s="5">
        <v>7</v>
      </c>
      <c r="B1500" s="5">
        <v>1</v>
      </c>
    </row>
    <row r="1501" spans="1:2" x14ac:dyDescent="0.25">
      <c r="A1501" s="5">
        <v>4363</v>
      </c>
      <c r="B1501" s="5">
        <v>5</v>
      </c>
    </row>
  </sheetData>
  <mergeCells count="2">
    <mergeCell ref="D2:F2"/>
    <mergeCell ref="D4:G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C1AC-F140-4760-88AF-06E46BF7BF09}">
  <dimension ref="B2:C8"/>
  <sheetViews>
    <sheetView tabSelected="1" workbookViewId="0">
      <selection activeCell="B11" sqref="B11"/>
    </sheetView>
  </sheetViews>
  <sheetFormatPr defaultRowHeight="15" x14ac:dyDescent="0.25"/>
  <cols>
    <col min="2" max="2" width="16.5703125" bestFit="1" customWidth="1"/>
    <col min="3" max="3" width="18.42578125" bestFit="1" customWidth="1"/>
  </cols>
  <sheetData>
    <row r="2" spans="2:3" x14ac:dyDescent="0.25">
      <c r="B2" s="10" t="s">
        <v>888</v>
      </c>
      <c r="C2" t="s">
        <v>947</v>
      </c>
    </row>
    <row r="3" spans="2:3" x14ac:dyDescent="0.25">
      <c r="B3" s="11" t="s">
        <v>894</v>
      </c>
      <c r="C3" s="12">
        <v>649.00833333333333</v>
      </c>
    </row>
    <row r="4" spans="2:3" x14ac:dyDescent="0.25">
      <c r="B4" s="11" t="s">
        <v>897</v>
      </c>
      <c r="C4" s="12">
        <v>533.32515337423308</v>
      </c>
    </row>
    <row r="5" spans="2:3" x14ac:dyDescent="0.25">
      <c r="B5" s="11" t="s">
        <v>911</v>
      </c>
      <c r="C5" s="12">
        <v>243.24752475247524</v>
      </c>
    </row>
    <row r="6" spans="2:3" x14ac:dyDescent="0.25">
      <c r="B6" s="11" t="s">
        <v>891</v>
      </c>
      <c r="C6" s="12">
        <v>226.87280701754386</v>
      </c>
    </row>
    <row r="7" spans="2:3" x14ac:dyDescent="0.25">
      <c r="B7" s="11" t="s">
        <v>902</v>
      </c>
      <c r="C7" s="12">
        <v>207.37462235649548</v>
      </c>
    </row>
    <row r="8" spans="2:3" x14ac:dyDescent="0.25">
      <c r="B8" s="11" t="s">
        <v>924</v>
      </c>
      <c r="C8" s="12">
        <v>291.84733333333332</v>
      </c>
    </row>
  </sheetData>
  <conditionalFormatting pivot="1" sqref="C3:C7">
    <cfRule type="top10" dxfId="0" priority="1" rank="1"/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Orders Dataset</vt:lpstr>
      <vt:lpstr>Details Dataset</vt:lpstr>
      <vt:lpstr>Task-1</vt:lpstr>
      <vt:lpstr>Task-2</vt:lpstr>
      <vt:lpstr>Task-3</vt:lpstr>
      <vt:lpstr>Task-4</vt:lpstr>
      <vt:lpstr>Task-5</vt:lpstr>
      <vt:lpstr>Task-6</vt:lpstr>
      <vt:lpstr>Task-7</vt:lpstr>
      <vt:lpstr>Task-8</vt:lpstr>
      <vt:lpstr>Task-9</vt:lpstr>
      <vt:lpstr>Task-10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subhadip gorai</dc:creator>
  <cp:lastModifiedBy>subhadip gorai</cp:lastModifiedBy>
  <dcterms:created xsi:type="dcterms:W3CDTF">2026-08-11T16:02:10Z</dcterms:created>
  <dcterms:modified xsi:type="dcterms:W3CDTF">2026-08-12T15:24:43Z</dcterms:modified>
</cp:coreProperties>
</file>