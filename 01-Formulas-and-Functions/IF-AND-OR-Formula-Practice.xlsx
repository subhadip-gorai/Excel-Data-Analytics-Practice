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l\Desktop\"/>
    </mc:Choice>
  </mc:AlternateContent>
  <bookViews>
    <workbookView xWindow="0" yWindow="0" windowWidth="20460" windowHeight="7680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G4" i="3"/>
  <c r="G5" i="3"/>
  <c r="G6" i="3"/>
  <c r="G7" i="3"/>
  <c r="G8" i="3"/>
  <c r="G9" i="3"/>
  <c r="G3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2" i="2"/>
  <c r="E4" i="3"/>
  <c r="E5" i="3"/>
  <c r="E6" i="3"/>
  <c r="E7" i="3"/>
  <c r="E8" i="3"/>
  <c r="E9" i="3"/>
  <c r="E3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L5" i="1" l="1"/>
  <c r="L6" i="1"/>
  <c r="L7" i="1"/>
  <c r="L8" i="1"/>
  <c r="L9" i="1"/>
  <c r="L10" i="1"/>
  <c r="L11" i="1"/>
  <c r="L12" i="1"/>
  <c r="L13" i="1"/>
  <c r="L14" i="1"/>
  <c r="L15" i="1"/>
  <c r="L1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3" i="1"/>
  <c r="J15" i="1"/>
  <c r="J16" i="1"/>
  <c r="J4" i="1"/>
  <c r="J5" i="1"/>
  <c r="J6" i="1"/>
  <c r="J7" i="1"/>
  <c r="J8" i="1"/>
  <c r="J9" i="1"/>
  <c r="J10" i="1"/>
  <c r="J11" i="1"/>
  <c r="J12" i="1"/>
  <c r="J13" i="1"/>
  <c r="J14" i="1"/>
  <c r="J3" i="1"/>
</calcChain>
</file>

<file path=xl/sharedStrings.xml><?xml version="1.0" encoding="utf-8"?>
<sst xmlns="http://schemas.openxmlformats.org/spreadsheetml/2006/main" count="122" uniqueCount="46">
  <si>
    <t>Employee Name</t>
  </si>
  <si>
    <t>Department</t>
  </si>
  <si>
    <t>Monthly Sales</t>
  </si>
  <si>
    <t>Order Date</t>
  </si>
  <si>
    <t>Delivery Date</t>
  </si>
  <si>
    <t>Status</t>
  </si>
  <si>
    <t>Quantity Sold</t>
  </si>
  <si>
    <t>Unit Price</t>
  </si>
  <si>
    <t>Allison Hill</t>
  </si>
  <si>
    <t>IT</t>
  </si>
  <si>
    <t>Completed</t>
  </si>
  <si>
    <t>Noah Rhodes</t>
  </si>
  <si>
    <t>HR</t>
  </si>
  <si>
    <t>Pending</t>
  </si>
  <si>
    <t>Angie Henderson</t>
  </si>
  <si>
    <t>Sales</t>
  </si>
  <si>
    <t>Daniel Wagner</t>
  </si>
  <si>
    <t>Cristian Santos</t>
  </si>
  <si>
    <t>Connie Lawrence</t>
  </si>
  <si>
    <t>Abigail Shaffer</t>
  </si>
  <si>
    <t>Gina Moore</t>
  </si>
  <si>
    <t>Gabrielle Davis</t>
  </si>
  <si>
    <t>Ryan Munoz</t>
  </si>
  <si>
    <t>Finance</t>
  </si>
  <si>
    <t>Monica Herrera</t>
  </si>
  <si>
    <t>Jamie Arnold</t>
  </si>
  <si>
    <t>Lisa Hensley</t>
  </si>
  <si>
    <t>Michele Williams</t>
  </si>
  <si>
    <t>Result</t>
  </si>
  <si>
    <t>Faild Stu</t>
  </si>
  <si>
    <t>add Marks 5 (failed S)</t>
  </si>
  <si>
    <t>Gender</t>
  </si>
  <si>
    <t>M</t>
  </si>
  <si>
    <t>F</t>
  </si>
  <si>
    <t>Add Mr / Mis in Names</t>
  </si>
  <si>
    <t>Students Name</t>
  </si>
  <si>
    <t>Phy</t>
  </si>
  <si>
    <t>Che</t>
  </si>
  <si>
    <t>Mat</t>
  </si>
  <si>
    <t>AND &amp; IF</t>
  </si>
  <si>
    <t>Bonus</t>
  </si>
  <si>
    <t>Marks</t>
  </si>
  <si>
    <t>A</t>
  </si>
  <si>
    <t>Result(%)</t>
  </si>
  <si>
    <t>OR &amp; IF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</si>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</sst>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L1" sqref="L1"/>
    </sheetView>
  </sheetViews>
  <sheetFormatPr defaultRowHeight="15" x14ac:dyDescent="0.25"/>
  <cols>
    <col min="1" max="1" width="17" customWidth="1"/>
    <col min="2" max="2" width="15.42578125" customWidth="1"/>
    <col min="3" max="3" width="16.5703125" customWidth="1"/>
    <col min="4" max="4" width="14.85546875" customWidth="1"/>
    <col min="5" max="5" width="14.42578125" customWidth="1"/>
    <col min="6" max="6" width="11.7109375" customWidth="1"/>
    <col min="7" max="7" width="13.7109375" customWidth="1"/>
    <col min="8" max="8" width="10.7109375" customWidth="1"/>
    <col min="11" max="11" width="16.140625" customWidth="1"/>
    <col min="12" max="12" width="19.7109375" customWidth="1"/>
  </cols>
  <sheetData>
    <row r="1" spans="1:12" x14ac:dyDescent="0.25">
      <c r="H1" s="4" t="s">
        <v>41</v>
      </c>
      <c r="J1" s="4" t="s">
        <v>45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1" t="s">
        <v>28</v>
      </c>
      <c r="K2" s="1" t="s">
        <v>29</v>
      </c>
      <c r="L2" s="1" t="s">
        <v>30</v>
      </c>
    </row>
    <row r="3" spans="1:12" x14ac:dyDescent="0.25">
      <c r="A3" t="s">
        <v>8</v>
      </c>
      <c r="B3" t="s">
        <v>9</v>
      </c>
      <c r="C3">
        <v>17934</v>
      </c>
      <c r="D3" s="2">
        <v>45619</v>
      </c>
      <c r="E3" s="2">
        <v>45623</v>
      </c>
      <c r="F3" t="s">
        <v>10</v>
      </c>
      <c r="G3">
        <v>33</v>
      </c>
      <c r="H3">
        <v>30</v>
      </c>
      <c r="J3" t="str">
        <f>IF(H3&gt;=35,"Pass","fail")</f>
        <v>fail</v>
      </c>
      <c r="K3" t="str">
        <f>IF(H3&lt;=35,A3,"")</f>
        <v>Allison Hill</v>
      </c>
      <c r="L3">
        <f>IF(H3&lt;35,H3+5,H3)</f>
        <v>35</v>
      </c>
    </row>
    <row r="4" spans="1:12" x14ac:dyDescent="0.25">
      <c r="A4" t="s">
        <v>11</v>
      </c>
      <c r="B4" t="s">
        <v>12</v>
      </c>
      <c r="C4">
        <v>19247</v>
      </c>
      <c r="D4" s="2">
        <v>45618</v>
      </c>
      <c r="E4" s="2">
        <v>45624</v>
      </c>
      <c r="F4" t="s">
        <v>13</v>
      </c>
      <c r="G4">
        <v>0</v>
      </c>
      <c r="H4">
        <v>42</v>
      </c>
      <c r="J4" t="str">
        <f t="shared" ref="J4:J16" si="0">IF(H4&gt;=35,"Pass","fail")</f>
        <v>Pass</v>
      </c>
      <c r="K4" t="str">
        <f t="shared" ref="K4:K16" si="1">IF(H4&lt;=35,A4,"")</f>
        <v/>
      </c>
      <c r="L4">
        <f>IF(H4&lt;35,H4+5,H4)</f>
        <v>42</v>
      </c>
    </row>
    <row r="5" spans="1:12" x14ac:dyDescent="0.25">
      <c r="A5" t="s">
        <v>14</v>
      </c>
      <c r="B5" t="s">
        <v>15</v>
      </c>
      <c r="C5">
        <v>10755</v>
      </c>
      <c r="D5" s="2">
        <v>45615</v>
      </c>
      <c r="E5" s="2">
        <v>45616</v>
      </c>
      <c r="F5" t="s">
        <v>10</v>
      </c>
      <c r="G5">
        <v>0</v>
      </c>
      <c r="H5">
        <v>20</v>
      </c>
      <c r="J5" t="str">
        <f t="shared" si="0"/>
        <v>fail</v>
      </c>
      <c r="K5" t="str">
        <f t="shared" si="1"/>
        <v>Angie Henderson</v>
      </c>
      <c r="L5">
        <f t="shared" ref="L5:L16" si="2">IF(H5&lt;35,H5+5,H5)</f>
        <v>25</v>
      </c>
    </row>
    <row r="6" spans="1:12" x14ac:dyDescent="0.25">
      <c r="A6" t="s">
        <v>16</v>
      </c>
      <c r="B6" t="s">
        <v>9</v>
      </c>
      <c r="C6">
        <v>14383</v>
      </c>
      <c r="D6" s="2">
        <v>45621</v>
      </c>
      <c r="E6" s="2">
        <v>45628</v>
      </c>
      <c r="F6" t="s">
        <v>13</v>
      </c>
      <c r="G6">
        <v>0</v>
      </c>
      <c r="H6">
        <v>65</v>
      </c>
      <c r="J6" t="str">
        <f t="shared" si="0"/>
        <v>Pass</v>
      </c>
      <c r="K6" t="str">
        <f t="shared" si="1"/>
        <v/>
      </c>
      <c r="L6">
        <f t="shared" si="2"/>
        <v>65</v>
      </c>
    </row>
    <row r="7" spans="1:12" x14ac:dyDescent="0.25">
      <c r="A7" t="s">
        <v>17</v>
      </c>
      <c r="B7" t="s">
        <v>9</v>
      </c>
      <c r="C7">
        <v>16820</v>
      </c>
      <c r="D7" s="2">
        <v>45622</v>
      </c>
      <c r="E7" s="2">
        <v>45630</v>
      </c>
      <c r="F7" t="s">
        <v>10</v>
      </c>
      <c r="G7">
        <v>0</v>
      </c>
      <c r="H7">
        <v>33</v>
      </c>
      <c r="J7" t="str">
        <f t="shared" si="0"/>
        <v>fail</v>
      </c>
      <c r="K7" t="str">
        <f t="shared" si="1"/>
        <v>Cristian Santos</v>
      </c>
      <c r="L7">
        <f t="shared" si="2"/>
        <v>38</v>
      </c>
    </row>
    <row r="8" spans="1:12" x14ac:dyDescent="0.25">
      <c r="A8" t="s">
        <v>18</v>
      </c>
      <c r="B8" t="s">
        <v>12</v>
      </c>
      <c r="C8">
        <v>9574</v>
      </c>
      <c r="D8" s="2">
        <v>45626</v>
      </c>
      <c r="E8" s="2">
        <v>45633</v>
      </c>
      <c r="F8" t="s">
        <v>13</v>
      </c>
      <c r="G8">
        <v>0</v>
      </c>
      <c r="H8">
        <v>55</v>
      </c>
      <c r="J8" t="str">
        <f t="shared" si="0"/>
        <v>Pass</v>
      </c>
      <c r="K8" t="str">
        <f t="shared" si="1"/>
        <v/>
      </c>
      <c r="L8">
        <f t="shared" si="2"/>
        <v>55</v>
      </c>
    </row>
    <row r="9" spans="1:12" x14ac:dyDescent="0.25">
      <c r="A9" t="s">
        <v>19</v>
      </c>
      <c r="B9" t="s">
        <v>15</v>
      </c>
      <c r="C9">
        <v>8374</v>
      </c>
      <c r="D9" s="2">
        <v>45625</v>
      </c>
      <c r="E9" s="2">
        <v>45630</v>
      </c>
      <c r="F9" t="s">
        <v>13</v>
      </c>
      <c r="G9">
        <v>45</v>
      </c>
      <c r="H9">
        <v>73</v>
      </c>
      <c r="J9" t="str">
        <f t="shared" si="0"/>
        <v>Pass</v>
      </c>
      <c r="K9" t="str">
        <f t="shared" si="1"/>
        <v/>
      </c>
      <c r="L9">
        <f t="shared" si="2"/>
        <v>73</v>
      </c>
    </row>
    <row r="10" spans="1:12" x14ac:dyDescent="0.25">
      <c r="A10" t="s">
        <v>20</v>
      </c>
      <c r="B10" t="s">
        <v>15</v>
      </c>
      <c r="C10">
        <v>3678</v>
      </c>
      <c r="D10" s="2">
        <v>45618</v>
      </c>
      <c r="E10" s="2">
        <v>45619</v>
      </c>
      <c r="F10" t="s">
        <v>10</v>
      </c>
      <c r="G10">
        <v>33</v>
      </c>
      <c r="H10">
        <v>76</v>
      </c>
      <c r="J10" t="str">
        <f t="shared" si="0"/>
        <v>Pass</v>
      </c>
      <c r="K10" t="str">
        <f t="shared" si="1"/>
        <v/>
      </c>
      <c r="L10">
        <f t="shared" si="2"/>
        <v>76</v>
      </c>
    </row>
    <row r="11" spans="1:12" x14ac:dyDescent="0.25">
      <c r="A11" t="s">
        <v>21</v>
      </c>
      <c r="B11" t="s">
        <v>9</v>
      </c>
      <c r="C11">
        <v>3059</v>
      </c>
      <c r="D11" s="2">
        <v>45622</v>
      </c>
      <c r="E11" s="2">
        <v>45629</v>
      </c>
      <c r="F11" t="s">
        <v>13</v>
      </c>
      <c r="G11">
        <v>15</v>
      </c>
      <c r="H11">
        <v>20</v>
      </c>
      <c r="J11" t="str">
        <f t="shared" si="0"/>
        <v>fail</v>
      </c>
      <c r="K11" t="str">
        <f t="shared" si="1"/>
        <v>Gabrielle Davis</v>
      </c>
      <c r="L11">
        <f t="shared" si="2"/>
        <v>25</v>
      </c>
    </row>
    <row r="12" spans="1:12" x14ac:dyDescent="0.25">
      <c r="A12" t="s">
        <v>22</v>
      </c>
      <c r="B12" t="s">
        <v>23</v>
      </c>
      <c r="C12">
        <v>18198</v>
      </c>
      <c r="D12" s="2">
        <v>45622</v>
      </c>
      <c r="E12" s="2">
        <v>45629</v>
      </c>
      <c r="F12" t="s">
        <v>10</v>
      </c>
      <c r="G12">
        <v>75</v>
      </c>
      <c r="H12">
        <v>82</v>
      </c>
      <c r="J12" t="str">
        <f t="shared" si="0"/>
        <v>Pass</v>
      </c>
      <c r="K12" t="str">
        <f t="shared" si="1"/>
        <v/>
      </c>
      <c r="L12">
        <f t="shared" si="2"/>
        <v>82</v>
      </c>
    </row>
    <row r="13" spans="1:12" x14ac:dyDescent="0.25">
      <c r="A13" t="s">
        <v>24</v>
      </c>
      <c r="B13" t="s">
        <v>9</v>
      </c>
      <c r="C13">
        <v>11914</v>
      </c>
      <c r="D13" s="2">
        <v>45618</v>
      </c>
      <c r="E13" s="2">
        <v>45627</v>
      </c>
      <c r="F13" t="s">
        <v>10</v>
      </c>
      <c r="G13">
        <v>93</v>
      </c>
      <c r="H13">
        <v>73</v>
      </c>
      <c r="J13" t="str">
        <f t="shared" si="0"/>
        <v>Pass</v>
      </c>
      <c r="K13" t="str">
        <f t="shared" si="1"/>
        <v/>
      </c>
      <c r="L13">
        <f t="shared" si="2"/>
        <v>73</v>
      </c>
    </row>
    <row r="14" spans="1:12" x14ac:dyDescent="0.25">
      <c r="A14" t="s">
        <v>25</v>
      </c>
      <c r="B14" t="s">
        <v>9</v>
      </c>
      <c r="C14">
        <v>12817</v>
      </c>
      <c r="D14" s="2">
        <v>45613</v>
      </c>
      <c r="E14" s="2">
        <v>45616</v>
      </c>
      <c r="F14" t="s">
        <v>10</v>
      </c>
      <c r="G14">
        <v>84</v>
      </c>
      <c r="H14">
        <v>74</v>
      </c>
      <c r="J14" t="str">
        <f t="shared" si="0"/>
        <v>Pass</v>
      </c>
      <c r="K14" t="str">
        <f t="shared" si="1"/>
        <v/>
      </c>
      <c r="L14">
        <f t="shared" si="2"/>
        <v>74</v>
      </c>
    </row>
    <row r="15" spans="1:12" x14ac:dyDescent="0.25">
      <c r="A15" t="s">
        <v>26</v>
      </c>
      <c r="B15" t="s">
        <v>9</v>
      </c>
      <c r="C15">
        <v>12921</v>
      </c>
      <c r="D15" s="2">
        <v>45616</v>
      </c>
      <c r="E15" s="2">
        <v>45625</v>
      </c>
      <c r="F15" t="s">
        <v>10</v>
      </c>
      <c r="G15">
        <v>13</v>
      </c>
      <c r="H15">
        <v>59</v>
      </c>
      <c r="J15" t="str">
        <f>IF(H15&gt;=35,"Pass","fail")</f>
        <v>Pass</v>
      </c>
      <c r="K15" t="str">
        <f t="shared" si="1"/>
        <v/>
      </c>
      <c r="L15">
        <f t="shared" si="2"/>
        <v>59</v>
      </c>
    </row>
    <row r="16" spans="1:12" x14ac:dyDescent="0.25">
      <c r="A16" t="s">
        <v>27</v>
      </c>
      <c r="B16" t="s">
        <v>9</v>
      </c>
      <c r="C16">
        <v>11789</v>
      </c>
      <c r="D16" s="2">
        <v>45606</v>
      </c>
      <c r="E16" s="2">
        <v>45607</v>
      </c>
      <c r="F16" t="s">
        <v>13</v>
      </c>
      <c r="G16">
        <v>88</v>
      </c>
      <c r="H16">
        <v>34</v>
      </c>
      <c r="J16" t="str">
        <f t="shared" si="0"/>
        <v>fail</v>
      </c>
      <c r="K16" t="str">
        <f t="shared" si="1"/>
        <v>Michele Williams</v>
      </c>
      <c r="L16">
        <f t="shared" si="2"/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D7" sqref="D7"/>
    </sheetView>
  </sheetViews>
  <sheetFormatPr defaultRowHeight="15" x14ac:dyDescent="0.25"/>
  <cols>
    <col min="1" max="2" width="15.85546875" customWidth="1"/>
    <col min="3" max="4" width="12.85546875" customWidth="1"/>
    <col min="5" max="5" width="10.85546875" customWidth="1"/>
    <col min="6" max="6" width="20.7109375" customWidth="1"/>
  </cols>
  <sheetData>
    <row r="1" spans="1:7" x14ac:dyDescent="0.25">
      <c r="A1" s="1" t="s">
        <v>0</v>
      </c>
      <c r="B1" s="1" t="s">
        <v>31</v>
      </c>
      <c r="C1" s="1" t="s">
        <v>1</v>
      </c>
      <c r="D1" s="1" t="s">
        <v>2</v>
      </c>
      <c r="E1" s="1" t="s">
        <v>7</v>
      </c>
      <c r="F1" s="1" t="s">
        <v>34</v>
      </c>
      <c r="G1" s="1" t="s">
        <v>40</v>
      </c>
    </row>
    <row r="2" spans="1:7" x14ac:dyDescent="0.25">
      <c r="A2" t="s">
        <v>8</v>
      </c>
      <c r="B2" t="s">
        <v>32</v>
      </c>
      <c r="C2" t="s">
        <v>9</v>
      </c>
      <c r="D2">
        <v>20934</v>
      </c>
      <c r="E2">
        <v>30</v>
      </c>
      <c r="F2" t="str">
        <f>IF(B2="M","Mr. "&amp;A2,"Mis "&amp;A2)</f>
        <v>Mr. Allison Hill</v>
      </c>
      <c r="G2" t="str">
        <f>IF(AND(C2="it",D2&gt;20000),"Yes","No")</f>
        <v>Yes</v>
      </c>
    </row>
    <row r="3" spans="1:7" x14ac:dyDescent="0.25">
      <c r="A3" t="s">
        <v>11</v>
      </c>
      <c r="B3" t="s">
        <v>32</v>
      </c>
      <c r="C3" t="s">
        <v>12</v>
      </c>
      <c r="D3">
        <v>19247</v>
      </c>
      <c r="E3">
        <v>42</v>
      </c>
      <c r="F3" t="str">
        <f t="shared" ref="F3:F15" si="0">IF(B3="M","Mr. "&amp;A3,"Mis "&amp;A3)</f>
        <v>Mr. Noah Rhodes</v>
      </c>
      <c r="G3" t="str">
        <f t="shared" ref="G3:G15" si="1">IF(AND(C3="it",D3&gt;20000),"Yes","No")</f>
        <v>No</v>
      </c>
    </row>
    <row r="4" spans="1:7" x14ac:dyDescent="0.25">
      <c r="A4" t="s">
        <v>14</v>
      </c>
      <c r="B4" t="s">
        <v>32</v>
      </c>
      <c r="C4" t="s">
        <v>15</v>
      </c>
      <c r="D4">
        <v>10755</v>
      </c>
      <c r="E4">
        <v>20</v>
      </c>
      <c r="F4" t="str">
        <f t="shared" si="0"/>
        <v>Mr. Angie Henderson</v>
      </c>
      <c r="G4" t="str">
        <f t="shared" si="1"/>
        <v>No</v>
      </c>
    </row>
    <row r="5" spans="1:7" x14ac:dyDescent="0.25">
      <c r="A5" t="s">
        <v>16</v>
      </c>
      <c r="B5" t="s">
        <v>33</v>
      </c>
      <c r="C5" t="s">
        <v>9</v>
      </c>
      <c r="D5">
        <v>14383</v>
      </c>
      <c r="E5">
        <v>65</v>
      </c>
      <c r="F5" t="str">
        <f t="shared" si="0"/>
        <v>Mis Daniel Wagner</v>
      </c>
      <c r="G5" t="str">
        <f t="shared" si="1"/>
        <v>No</v>
      </c>
    </row>
    <row r="6" spans="1:7" x14ac:dyDescent="0.25">
      <c r="A6" t="s">
        <v>17</v>
      </c>
      <c r="B6" t="s">
        <v>32</v>
      </c>
      <c r="C6" t="s">
        <v>9</v>
      </c>
      <c r="D6">
        <v>27089</v>
      </c>
      <c r="E6">
        <v>33</v>
      </c>
      <c r="F6" t="str">
        <f t="shared" si="0"/>
        <v>Mr. Cristian Santos</v>
      </c>
      <c r="G6" t="str">
        <f t="shared" si="1"/>
        <v>Yes</v>
      </c>
    </row>
    <row r="7" spans="1:7" x14ac:dyDescent="0.25">
      <c r="A7" t="s">
        <v>18</v>
      </c>
      <c r="B7" t="s">
        <v>32</v>
      </c>
      <c r="C7" t="s">
        <v>12</v>
      </c>
      <c r="D7">
        <v>9574</v>
      </c>
      <c r="E7">
        <v>55</v>
      </c>
      <c r="F7" t="str">
        <f t="shared" si="0"/>
        <v>Mr. Connie Lawrence</v>
      </c>
      <c r="G7" t="str">
        <f t="shared" si="1"/>
        <v>No</v>
      </c>
    </row>
    <row r="8" spans="1:7" x14ac:dyDescent="0.25">
      <c r="A8" t="s">
        <v>19</v>
      </c>
      <c r="B8" t="s">
        <v>33</v>
      </c>
      <c r="C8" t="s">
        <v>15</v>
      </c>
      <c r="D8">
        <v>8374</v>
      </c>
      <c r="E8">
        <v>73</v>
      </c>
      <c r="F8" t="str">
        <f t="shared" si="0"/>
        <v>Mis Abigail Shaffer</v>
      </c>
      <c r="G8" t="str">
        <f t="shared" si="1"/>
        <v>No</v>
      </c>
    </row>
    <row r="9" spans="1:7" x14ac:dyDescent="0.25">
      <c r="A9" t="s">
        <v>20</v>
      </c>
      <c r="B9" t="s">
        <v>33</v>
      </c>
      <c r="C9" t="s">
        <v>15</v>
      </c>
      <c r="D9">
        <v>3678</v>
      </c>
      <c r="E9">
        <v>76</v>
      </c>
      <c r="F9" t="str">
        <f t="shared" si="0"/>
        <v>Mis Gina Moore</v>
      </c>
      <c r="G9" t="str">
        <f t="shared" si="1"/>
        <v>No</v>
      </c>
    </row>
    <row r="10" spans="1:7" x14ac:dyDescent="0.25">
      <c r="A10" t="s">
        <v>21</v>
      </c>
      <c r="B10" t="s">
        <v>32</v>
      </c>
      <c r="C10" t="s">
        <v>9</v>
      </c>
      <c r="D10">
        <v>30000</v>
      </c>
      <c r="E10">
        <v>20</v>
      </c>
      <c r="F10" t="str">
        <f t="shared" si="0"/>
        <v>Mr. Gabrielle Davis</v>
      </c>
      <c r="G10" t="str">
        <f t="shared" si="1"/>
        <v>Yes</v>
      </c>
    </row>
    <row r="11" spans="1:7" x14ac:dyDescent="0.25">
      <c r="A11" t="s">
        <v>22</v>
      </c>
      <c r="B11" t="s">
        <v>33</v>
      </c>
      <c r="C11" t="s">
        <v>23</v>
      </c>
      <c r="D11">
        <v>18198</v>
      </c>
      <c r="E11">
        <v>82</v>
      </c>
      <c r="F11" t="str">
        <f t="shared" si="0"/>
        <v>Mis Ryan Munoz</v>
      </c>
      <c r="G11" t="str">
        <f t="shared" si="1"/>
        <v>No</v>
      </c>
    </row>
    <row r="12" spans="1:7" x14ac:dyDescent="0.25">
      <c r="A12" t="s">
        <v>24</v>
      </c>
      <c r="B12" t="s">
        <v>33</v>
      </c>
      <c r="C12" t="s">
        <v>9</v>
      </c>
      <c r="D12">
        <v>11914</v>
      </c>
      <c r="E12">
        <v>73</v>
      </c>
      <c r="F12" t="str">
        <f t="shared" si="0"/>
        <v>Mis Monica Herrera</v>
      </c>
      <c r="G12" t="str">
        <f t="shared" si="1"/>
        <v>No</v>
      </c>
    </row>
    <row r="13" spans="1:7" x14ac:dyDescent="0.25">
      <c r="A13" t="s">
        <v>25</v>
      </c>
      <c r="B13" t="s">
        <v>32</v>
      </c>
      <c r="C13" t="s">
        <v>9</v>
      </c>
      <c r="D13">
        <v>21009</v>
      </c>
      <c r="E13">
        <v>74</v>
      </c>
      <c r="F13" t="str">
        <f t="shared" si="0"/>
        <v>Mr. Jamie Arnold</v>
      </c>
      <c r="G13" t="str">
        <f t="shared" si="1"/>
        <v>Yes</v>
      </c>
    </row>
    <row r="14" spans="1:7" x14ac:dyDescent="0.25">
      <c r="A14" t="s">
        <v>26</v>
      </c>
      <c r="B14" t="s">
        <v>33</v>
      </c>
      <c r="C14" t="s">
        <v>9</v>
      </c>
      <c r="D14">
        <v>12921</v>
      </c>
      <c r="E14">
        <v>59</v>
      </c>
      <c r="F14" t="str">
        <f t="shared" si="0"/>
        <v>Mis Lisa Hensley</v>
      </c>
      <c r="G14" t="str">
        <f t="shared" si="1"/>
        <v>No</v>
      </c>
    </row>
    <row r="15" spans="1:7" x14ac:dyDescent="0.25">
      <c r="A15" t="s">
        <v>27</v>
      </c>
      <c r="B15" t="s">
        <v>32</v>
      </c>
      <c r="C15" t="s">
        <v>9</v>
      </c>
      <c r="D15">
        <v>11789</v>
      </c>
      <c r="E15">
        <v>34</v>
      </c>
      <c r="F15" t="str">
        <f t="shared" si="0"/>
        <v>Mr. Michele Williams</v>
      </c>
      <c r="G15" t="str">
        <f t="shared" si="1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H2" sqref="H2"/>
    </sheetView>
  </sheetViews>
  <sheetFormatPr defaultRowHeight="15" x14ac:dyDescent="0.25"/>
  <cols>
    <col min="1" max="1" width="16.28515625" customWidth="1"/>
  </cols>
  <sheetData>
    <row r="1" spans="1:7" x14ac:dyDescent="0.25">
      <c r="A1" s="4" t="s">
        <v>39</v>
      </c>
      <c r="F1" s="4" t="s">
        <v>44</v>
      </c>
    </row>
    <row r="2" spans="1:7" x14ac:dyDescent="0.25">
      <c r="A2" s="1" t="s">
        <v>35</v>
      </c>
      <c r="B2" s="3" t="s">
        <v>36</v>
      </c>
      <c r="C2" s="3" t="s">
        <v>37</v>
      </c>
      <c r="D2" s="3" t="s">
        <v>38</v>
      </c>
      <c r="E2" s="3" t="s">
        <v>28</v>
      </c>
      <c r="F2" s="3" t="s">
        <v>41</v>
      </c>
      <c r="G2" s="3" t="s">
        <v>43</v>
      </c>
    </row>
    <row r="3" spans="1:7" x14ac:dyDescent="0.25">
      <c r="A3" t="s">
        <v>8</v>
      </c>
      <c r="B3">
        <v>66</v>
      </c>
      <c r="C3">
        <v>96</v>
      </c>
      <c r="D3">
        <v>65</v>
      </c>
      <c r="E3" t="str">
        <f>IF(AND(B3&gt;=35,C3&gt;=35,D3&gt;=35),"Pass","Fail")</f>
        <v>Pass</v>
      </c>
      <c r="F3" s="5">
        <v>0.32</v>
      </c>
      <c r="G3" t="str">
        <f>IF(OR(F3&lt;35%,F3="A"),"Fail","Pass")</f>
        <v>Fail</v>
      </c>
    </row>
    <row r="4" spans="1:7" x14ac:dyDescent="0.25">
      <c r="A4" t="s">
        <v>11</v>
      </c>
      <c r="B4">
        <v>57</v>
      </c>
      <c r="C4">
        <v>55</v>
      </c>
      <c r="D4">
        <v>85</v>
      </c>
      <c r="E4" t="str">
        <f t="shared" ref="E4:E9" si="0">IF(AND(B4&gt;=35,C4&gt;=35,D4&gt;=35),"Pass","Fail")</f>
        <v>Pass</v>
      </c>
      <c r="F4" s="5">
        <v>0.76</v>
      </c>
      <c r="G4" t="str">
        <f t="shared" ref="G4:G9" si="1">IF(OR(F4&lt;35%,F4="A"),"Fail","Pass")</f>
        <v>Pass</v>
      </c>
    </row>
    <row r="5" spans="1:7" x14ac:dyDescent="0.25">
      <c r="A5" t="s">
        <v>14</v>
      </c>
      <c r="B5">
        <v>23</v>
      </c>
      <c r="C5">
        <v>35</v>
      </c>
      <c r="D5">
        <v>96</v>
      </c>
      <c r="E5" t="str">
        <f t="shared" si="0"/>
        <v>Fail</v>
      </c>
      <c r="F5" s="5">
        <v>0.56000000000000005</v>
      </c>
      <c r="G5" t="str">
        <f t="shared" si="1"/>
        <v>Pass</v>
      </c>
    </row>
    <row r="6" spans="1:7" x14ac:dyDescent="0.25">
      <c r="A6" t="s">
        <v>16</v>
      </c>
      <c r="B6">
        <v>95</v>
      </c>
      <c r="C6">
        <v>23</v>
      </c>
      <c r="D6">
        <v>26</v>
      </c>
      <c r="E6" t="str">
        <f t="shared" si="0"/>
        <v>Fail</v>
      </c>
      <c r="F6" t="s">
        <v>42</v>
      </c>
      <c r="G6" t="str">
        <f t="shared" si="1"/>
        <v>Fail</v>
      </c>
    </row>
    <row r="7" spans="1:7" x14ac:dyDescent="0.25">
      <c r="A7" t="s">
        <v>17</v>
      </c>
      <c r="B7">
        <v>13</v>
      </c>
      <c r="C7">
        <v>65</v>
      </c>
      <c r="D7">
        <v>32</v>
      </c>
      <c r="E7" t="str">
        <f t="shared" si="0"/>
        <v>Fail</v>
      </c>
      <c r="F7" s="5">
        <v>0.77</v>
      </c>
      <c r="G7" t="str">
        <f t="shared" si="1"/>
        <v>Pass</v>
      </c>
    </row>
    <row r="8" spans="1:7" x14ac:dyDescent="0.25">
      <c r="A8" t="s">
        <v>18</v>
      </c>
      <c r="B8">
        <v>35</v>
      </c>
      <c r="C8">
        <v>56</v>
      </c>
      <c r="D8">
        <v>48</v>
      </c>
      <c r="E8" t="str">
        <f t="shared" si="0"/>
        <v>Pass</v>
      </c>
      <c r="F8" t="s">
        <v>42</v>
      </c>
      <c r="G8" t="str">
        <f t="shared" si="1"/>
        <v>Fail</v>
      </c>
    </row>
    <row r="9" spans="1:7" x14ac:dyDescent="0.25">
      <c r="A9" t="s">
        <v>19</v>
      </c>
      <c r="B9">
        <v>62</v>
      </c>
      <c r="C9">
        <v>48</v>
      </c>
      <c r="D9">
        <v>25</v>
      </c>
      <c r="E9" t="str">
        <f t="shared" si="0"/>
        <v>Fail</v>
      </c>
      <c r="F9" s="5">
        <v>0.98</v>
      </c>
      <c r="G9" t="str">
        <f t="shared" si="1"/>
        <v>Pass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</dc:creator>
  <cp:lastModifiedBy>All</cp:lastModifiedBy>
  <dcterms:created xsi:type="dcterms:W3CDTF">2026-06-20T12:53:04Z</dcterms:created>
  <dcterms:modified xsi:type="dcterms:W3CDTF">2026-07-03T14:47:44Z</dcterms:modified>
</cp:coreProperties>
</file>