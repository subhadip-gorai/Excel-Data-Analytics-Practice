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l\Desktop\Coding ninja\Excel\Practice\"/>
    </mc:Choice>
  </mc:AlternateContent>
  <xr:revisionPtr revIDLastSave="0" documentId="13_ncr:1_{518C07A4-1001-431F-9758-277D488E8B08}" xr6:coauthVersionLast="47" xr6:coauthVersionMax="47" xr10:uidLastSave="{00000000-0000-0000-0000-000000000000}"/>
  <bookViews>
    <workbookView xWindow="-120" yWindow="-120" windowWidth="20730" windowHeight="11160" activeTab="3" xr2:uid="{EB6BA442-4C09-414F-BBE1-C12D321EA72D}"/>
  </bookViews>
  <sheets>
    <sheet name="INDEX FUNCTION" sheetId="1" r:id="rId1"/>
    <sheet name="MATCH" sheetId="2" r:id="rId2"/>
    <sheet name="INDEX &amp; MATCH Simple" sheetId="3" r:id="rId3"/>
    <sheet name="INDEX &amp; MATCH Advanc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" i="2" l="1"/>
  <c r="E5" i="4"/>
  <c r="D5" i="4"/>
  <c r="D4" i="4"/>
  <c r="D3" i="4"/>
  <c r="F12" i="3"/>
  <c r="F8" i="3"/>
  <c r="F7" i="3"/>
  <c r="B2" i="3"/>
  <c r="F3" i="3"/>
  <c r="B11" i="1"/>
  <c r="B10" i="1"/>
</calcChain>
</file>

<file path=xl/sharedStrings.xml><?xml version="1.0" encoding="utf-8"?>
<sst xmlns="http://schemas.openxmlformats.org/spreadsheetml/2006/main" count="71" uniqueCount="50">
  <si>
    <t>Mon</t>
  </si>
  <si>
    <t>Wed</t>
  </si>
  <si>
    <t>Fri</t>
  </si>
  <si>
    <t>Sat</t>
  </si>
  <si>
    <t>Sun</t>
  </si>
  <si>
    <t>a</t>
  </si>
  <si>
    <t>b</t>
  </si>
  <si>
    <t>c</t>
  </si>
  <si>
    <t>d</t>
  </si>
  <si>
    <t>e</t>
  </si>
  <si>
    <t>f</t>
  </si>
  <si>
    <t>Jan</t>
  </si>
  <si>
    <t>Feb</t>
  </si>
  <si>
    <t>March</t>
  </si>
  <si>
    <t>April</t>
  </si>
  <si>
    <t>may</t>
  </si>
  <si>
    <t>june</t>
  </si>
  <si>
    <t>july</t>
  </si>
  <si>
    <t>Aug</t>
  </si>
  <si>
    <t>Sep</t>
  </si>
  <si>
    <t>Oct</t>
  </si>
  <si>
    <t>Nov</t>
  </si>
  <si>
    <t>Dec</t>
  </si>
  <si>
    <t>Index Function</t>
  </si>
  <si>
    <t>Match Function</t>
  </si>
  <si>
    <t>Fortune Cookie Row:</t>
  </si>
  <si>
    <t>Fortune</t>
  </si>
  <si>
    <t>#</t>
  </si>
  <si>
    <t>Cookie Type</t>
  </si>
  <si>
    <t>Birthday Cake</t>
  </si>
  <si>
    <t>Butterscotch</t>
  </si>
  <si>
    <t>Chocolate Chip</t>
  </si>
  <si>
    <t>Snickerdoodle</t>
  </si>
  <si>
    <t>Sugar</t>
  </si>
  <si>
    <t>Revenue by Cookie</t>
  </si>
  <si>
    <t>Revenue</t>
  </si>
  <si>
    <t>Fortune Revenue using VLOOKUP</t>
  </si>
  <si>
    <t>Fortune Revenue =</t>
  </si>
  <si>
    <t>No of Row using MATCH=</t>
  </si>
  <si>
    <t>Fortune Revenue using INDEX =</t>
  </si>
  <si>
    <t>Fortune Revenue using MATCH &amp; INDEX</t>
  </si>
  <si>
    <t>MATCH &amp; INDEX Combine Metthod</t>
  </si>
  <si>
    <t>Revenue by Cookie Type &amp; Market</t>
  </si>
  <si>
    <t>India</t>
  </si>
  <si>
    <t>Revenue:</t>
  </si>
  <si>
    <t>Malaysia</t>
  </si>
  <si>
    <t>Philippines</t>
  </si>
  <si>
    <t>United Kingdom</t>
  </si>
  <si>
    <t>United States</t>
  </si>
  <si>
    <t>Result 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</si>
</sst>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applyFill="1" applyBorder="1"/>
    <xf numFmtId="0" fontId="0" fillId="0" borderId="0" xfId="0"/>
    <xf numFmtId="0" fontId="0" fillId="0" borderId="0" xfId="0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0" xfId="0"/>
    <xf numFmtId="0" fontId="0" fillId="0" borderId="0" xfId="0" applyAlignment="1">
      <alignment horizontal="right"/>
    </xf>
    <xf numFmtId="0" fontId="3" fillId="0" borderId="0" xfId="0" applyFont="1"/>
    <xf numFmtId="0" fontId="5" fillId="0" borderId="0" xfId="0" applyFont="1" applyAlignment="1">
      <alignment horizontal="center"/>
    </xf>
    <xf numFmtId="0" fontId="2" fillId="2" borderId="1" xfId="0" applyFont="1" applyFill="1" applyBorder="1"/>
    <xf numFmtId="0" fontId="2" fillId="2" borderId="2" xfId="0" applyFont="1" applyFill="1" applyBorder="1"/>
    <xf numFmtId="0" fontId="0" fillId="3" borderId="1" xfId="0" applyFill="1" applyBorder="1"/>
    <xf numFmtId="0" fontId="0" fillId="0" borderId="1" xfId="0" applyBorder="1"/>
    <xf numFmtId="0" fontId="0" fillId="0" borderId="0" xfId="0" applyAlignment="1">
      <alignment horizontal="right"/>
    </xf>
    <xf numFmtId="164" fontId="0" fillId="3" borderId="2" xfId="1" applyFont="1" applyFill="1" applyBorder="1"/>
    <xf numFmtId="164" fontId="0" fillId="0" borderId="2" xfId="1" applyFont="1" applyBorder="1"/>
    <xf numFmtId="165" fontId="0" fillId="0" borderId="0" xfId="1" applyNumberFormat="1" applyFont="1"/>
    <xf numFmtId="0" fontId="0" fillId="0" borderId="0" xfId="0"/>
    <xf numFmtId="0" fontId="0" fillId="0" borderId="0" xfId="0" applyAlignment="1">
      <alignment horizontal="right"/>
    </xf>
    <xf numFmtId="165" fontId="0" fillId="0" borderId="0" xfId="1" applyNumberFormat="1" applyFont="1"/>
    <xf numFmtId="164" fontId="0" fillId="0" borderId="0" xfId="1" applyFont="1" applyAlignment="1">
      <alignment horizontal="right"/>
    </xf>
    <xf numFmtId="165" fontId="0" fillId="4" borderId="0" xfId="1" applyNumberFormat="1" applyFont="1" applyFill="1"/>
    <xf numFmtId="165" fontId="0" fillId="0" borderId="0" xfId="1" applyNumberFormat="1" applyFont="1" applyFill="1"/>
    <xf numFmtId="0" fontId="0" fillId="5" borderId="0" xfId="0" applyFill="1"/>
    <xf numFmtId="0" fontId="0" fillId="0" borderId="0" xfId="0" applyBorder="1"/>
    <xf numFmtId="0" fontId="0" fillId="6" borderId="0" xfId="0" applyFill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6" borderId="5" xfId="0" applyFill="1" applyBorder="1"/>
    <xf numFmtId="0" fontId="3" fillId="7" borderId="2" xfId="0" applyFont="1" applyFill="1" applyBorder="1" applyAlignment="1">
      <alignment horizontal="right"/>
    </xf>
    <xf numFmtId="0" fontId="0" fillId="8" borderId="0" xfId="0" applyFont="1" applyFill="1"/>
    <xf numFmtId="0" fontId="0" fillId="8" borderId="0" xfId="0" applyFill="1"/>
    <xf numFmtId="0" fontId="0" fillId="7" borderId="1" xfId="0" applyFill="1" applyBorder="1"/>
    <xf numFmtId="164" fontId="0" fillId="7" borderId="2" xfId="1" applyFont="1" applyFill="1" applyBorder="1"/>
    <xf numFmtId="0" fontId="3" fillId="7" borderId="1" xfId="0" applyFont="1" applyFill="1" applyBorder="1"/>
    <xf numFmtId="165" fontId="0" fillId="6" borderId="0" xfId="1" applyNumberFormat="1" applyFont="1" applyFill="1"/>
    <xf numFmtId="165" fontId="0" fillId="8" borderId="0" xfId="1" applyNumberFormat="1" applyFont="1" applyFill="1"/>
  </cellXfs>
  <cellStyles count="2">
    <cellStyle name="Currency 2" xfId="1" xr:uid="{D1E4286D-7ED6-4C86-8856-9EC2D0627FE5}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C8844C-9DDC-41E0-A48A-3F6F2D72180F}" name="Table1" displayName="Table1" ref="A7:F13" totalsRowShown="0" dataDxfId="5" dataCellStyle="Currency 2">
  <autoFilter ref="A7:F13" xr:uid="{86C8844C-9DDC-41E0-A48A-3F6F2D72180F}"/>
  <tableColumns count="6">
    <tableColumn id="1" xr3:uid="{400AC0AC-3B3F-42D4-ACFA-4A6B7C154296}" name="Cookie Type"/>
    <tableColumn id="2" xr3:uid="{1EF35F94-673C-49B1-8EB3-C7DED74F5720}" name="India" dataDxfId="4" dataCellStyle="Currency 2"/>
    <tableColumn id="3" xr3:uid="{3E6DE0A5-38F0-4B3A-92D9-7FA4C8DF304A}" name="Malaysia" dataDxfId="3" dataCellStyle="Currency 2"/>
    <tableColumn id="4" xr3:uid="{0A3A91CB-7AE3-4BCA-9C8B-4625A7115FC0}" name="Philippines" dataDxfId="2" dataCellStyle="Currency 2"/>
    <tableColumn id="5" xr3:uid="{3CB580E6-25AB-4E75-BB54-D4AF9E0D0CC1}" name="United Kingdom" dataDxfId="1" dataCellStyle="Currency 2"/>
    <tableColumn id="6" xr3:uid="{7B0FE415-8A82-40BF-B3D6-8F7542BCCB38}" name="United States" dataDxfId="0" dataCellStyle="Currency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BFA77-A214-4CFD-86E6-6CA6595C6F71}">
  <dimension ref="A1:G11"/>
  <sheetViews>
    <sheetView workbookViewId="0">
      <selection activeCell="B10" sqref="B10"/>
    </sheetView>
  </sheetViews>
  <sheetFormatPr defaultRowHeight="15" x14ac:dyDescent="0.25"/>
  <sheetData>
    <row r="1" spans="1:7" ht="18.75" x14ac:dyDescent="0.3">
      <c r="B1" s="27" t="s">
        <v>23</v>
      </c>
      <c r="C1" s="27"/>
      <c r="D1" s="27"/>
      <c r="E1" s="27"/>
      <c r="F1" s="27"/>
      <c r="G1" s="27"/>
    </row>
    <row r="2" spans="1:7" x14ac:dyDescent="0.25">
      <c r="A2" s="2"/>
      <c r="B2" s="4">
        <v>1</v>
      </c>
      <c r="C2" s="4">
        <v>2</v>
      </c>
      <c r="D2" s="4">
        <v>3</v>
      </c>
      <c r="E2" s="4">
        <v>4</v>
      </c>
      <c r="F2" s="4">
        <v>5</v>
      </c>
      <c r="G2" s="4">
        <v>6</v>
      </c>
    </row>
    <row r="3" spans="1:7" x14ac:dyDescent="0.25">
      <c r="A3" s="5">
        <v>1</v>
      </c>
      <c r="B3" s="2" t="s">
        <v>5</v>
      </c>
      <c r="C3" s="2" t="s">
        <v>6</v>
      </c>
      <c r="D3" s="2" t="s">
        <v>7</v>
      </c>
      <c r="E3" s="1" t="s">
        <v>8</v>
      </c>
      <c r="F3" s="1" t="s">
        <v>9</v>
      </c>
      <c r="G3" s="1" t="s">
        <v>10</v>
      </c>
    </row>
    <row r="4" spans="1:7" x14ac:dyDescent="0.25">
      <c r="A4" s="5">
        <v>2</v>
      </c>
      <c r="B4" s="2" t="s">
        <v>1</v>
      </c>
      <c r="C4" s="2" t="s">
        <v>11</v>
      </c>
      <c r="D4" s="2" t="s">
        <v>12</v>
      </c>
      <c r="E4" s="1" t="s">
        <v>13</v>
      </c>
      <c r="F4" s="1" t="s">
        <v>14</v>
      </c>
      <c r="G4" s="1" t="s">
        <v>15</v>
      </c>
    </row>
    <row r="5" spans="1:7" x14ac:dyDescent="0.25">
      <c r="A5" s="5">
        <v>3</v>
      </c>
      <c r="B5" s="2" t="s">
        <v>2</v>
      </c>
      <c r="C5" s="2" t="s">
        <v>16</v>
      </c>
      <c r="D5" s="3" t="s">
        <v>17</v>
      </c>
      <c r="E5" s="1" t="s">
        <v>18</v>
      </c>
      <c r="F5" s="1" t="s">
        <v>19</v>
      </c>
      <c r="G5" s="1" t="s">
        <v>20</v>
      </c>
    </row>
    <row r="6" spans="1:7" x14ac:dyDescent="0.25">
      <c r="A6" s="5">
        <v>4</v>
      </c>
      <c r="B6" s="1" t="s">
        <v>3</v>
      </c>
      <c r="C6" s="2" t="s">
        <v>21</v>
      </c>
      <c r="D6" s="2" t="s">
        <v>22</v>
      </c>
      <c r="E6">
        <v>1</v>
      </c>
      <c r="F6">
        <v>5</v>
      </c>
      <c r="G6">
        <v>6</v>
      </c>
    </row>
    <row r="7" spans="1:7" x14ac:dyDescent="0.25">
      <c r="A7" s="5">
        <v>5</v>
      </c>
      <c r="B7" s="1" t="s">
        <v>4</v>
      </c>
      <c r="C7" s="2">
        <v>9</v>
      </c>
      <c r="D7" s="2">
        <v>6</v>
      </c>
      <c r="E7">
        <v>7</v>
      </c>
      <c r="F7">
        <v>5</v>
      </c>
      <c r="G7">
        <v>4</v>
      </c>
    </row>
    <row r="8" spans="1:7" x14ac:dyDescent="0.25">
      <c r="A8" s="5">
        <v>6</v>
      </c>
      <c r="B8" s="1" t="s">
        <v>0</v>
      </c>
      <c r="C8" s="2">
        <v>5</v>
      </c>
      <c r="D8" s="2">
        <v>7</v>
      </c>
      <c r="E8" s="1">
        <v>6</v>
      </c>
      <c r="F8" s="1">
        <v>1</v>
      </c>
      <c r="G8" s="1">
        <v>2</v>
      </c>
    </row>
    <row r="9" spans="1:7" x14ac:dyDescent="0.25">
      <c r="D9" s="25"/>
    </row>
    <row r="10" spans="1:7" x14ac:dyDescent="0.25">
      <c r="A10" t="s">
        <v>49</v>
      </c>
      <c r="B10" s="32">
        <f>INDEX(B3:G8,4,4)</f>
        <v>1</v>
      </c>
    </row>
    <row r="11" spans="1:7" x14ac:dyDescent="0.25">
      <c r="A11" t="s">
        <v>49</v>
      </c>
      <c r="B11" s="32" t="str">
        <f>INDEX(B3:G8,3,5)</f>
        <v>Sep</v>
      </c>
    </row>
  </sheetData>
  <mergeCells count="1">
    <mergeCell ref="B1:G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454F4-1AEE-400D-8F11-DE43B8219D6C}">
  <dimension ref="A1:B12"/>
  <sheetViews>
    <sheetView workbookViewId="0">
      <selection activeCell="B4" sqref="B4"/>
    </sheetView>
  </sheetViews>
  <sheetFormatPr defaultRowHeight="15" x14ac:dyDescent="0.25"/>
  <cols>
    <col min="1" max="1" width="12" customWidth="1"/>
    <col min="2" max="2" width="14.140625" customWidth="1"/>
  </cols>
  <sheetData>
    <row r="1" spans="1:2" ht="23.25" x14ac:dyDescent="0.35">
      <c r="A1" s="28" t="s">
        <v>24</v>
      </c>
      <c r="B1" s="28"/>
    </row>
    <row r="2" spans="1:2" ht="23.25" x14ac:dyDescent="0.35">
      <c r="A2" s="9"/>
      <c r="B2" s="9"/>
    </row>
    <row r="3" spans="1:2" x14ac:dyDescent="0.25">
      <c r="A3" s="7" t="s">
        <v>25</v>
      </c>
      <c r="B3" s="6"/>
    </row>
    <row r="4" spans="1:2" x14ac:dyDescent="0.25">
      <c r="A4" s="33" t="s">
        <v>26</v>
      </c>
      <c r="B4" s="26">
        <f>MATCH(A4,B7:B12,0)</f>
        <v>4</v>
      </c>
    </row>
    <row r="5" spans="1:2" x14ac:dyDescent="0.25">
      <c r="A5" s="6"/>
      <c r="B5" s="6"/>
    </row>
    <row r="6" spans="1:2" x14ac:dyDescent="0.25">
      <c r="A6" s="7" t="s">
        <v>27</v>
      </c>
      <c r="B6" s="8" t="s">
        <v>28</v>
      </c>
    </row>
    <row r="7" spans="1:2" x14ac:dyDescent="0.25">
      <c r="A7" s="8">
        <v>1</v>
      </c>
      <c r="B7" s="6" t="s">
        <v>29</v>
      </c>
    </row>
    <row r="8" spans="1:2" x14ac:dyDescent="0.25">
      <c r="A8" s="8">
        <v>2</v>
      </c>
      <c r="B8" s="6" t="s">
        <v>30</v>
      </c>
    </row>
    <row r="9" spans="1:2" x14ac:dyDescent="0.25">
      <c r="A9" s="8">
        <v>3</v>
      </c>
      <c r="B9" s="6" t="s">
        <v>31</v>
      </c>
    </row>
    <row r="10" spans="1:2" x14ac:dyDescent="0.25">
      <c r="A10" s="8">
        <v>4</v>
      </c>
      <c r="B10" s="6" t="s">
        <v>26</v>
      </c>
    </row>
    <row r="11" spans="1:2" x14ac:dyDescent="0.25">
      <c r="A11" s="8">
        <v>5</v>
      </c>
      <c r="B11" s="6" t="s">
        <v>32</v>
      </c>
    </row>
    <row r="12" spans="1:2" x14ac:dyDescent="0.25">
      <c r="A12" s="8">
        <v>6</v>
      </c>
      <c r="B12" s="6" t="s">
        <v>33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ED665-5C74-4F22-A2D9-442DDCFA1590}">
  <dimension ref="A1:I12"/>
  <sheetViews>
    <sheetView workbookViewId="0">
      <selection activeCell="E7" sqref="E7"/>
    </sheetView>
  </sheetViews>
  <sheetFormatPr defaultRowHeight="15" x14ac:dyDescent="0.25"/>
  <cols>
    <col min="1" max="1" width="13.85546875" customWidth="1"/>
    <col min="2" max="2" width="16.140625" customWidth="1"/>
    <col min="5" max="5" width="28.42578125" customWidth="1"/>
    <col min="6" max="6" width="10" customWidth="1"/>
  </cols>
  <sheetData>
    <row r="1" spans="1:9" x14ac:dyDescent="0.25">
      <c r="A1" s="29" t="s">
        <v>34</v>
      </c>
      <c r="B1" s="29"/>
      <c r="E1" s="30" t="s">
        <v>36</v>
      </c>
      <c r="F1" s="30"/>
      <c r="G1" s="30"/>
      <c r="H1" s="30"/>
      <c r="I1" s="30"/>
    </row>
    <row r="2" spans="1:9" x14ac:dyDescent="0.25">
      <c r="A2" s="14" t="s">
        <v>26</v>
      </c>
      <c r="B2" s="26">
        <f>MATCH(A2,A6:A11,0)</f>
        <v>4</v>
      </c>
      <c r="E2" s="30"/>
      <c r="F2" s="30"/>
      <c r="G2" s="30"/>
      <c r="H2" s="30"/>
      <c r="I2" s="30"/>
    </row>
    <row r="3" spans="1:9" x14ac:dyDescent="0.25">
      <c r="A3" s="14" t="s">
        <v>35</v>
      </c>
      <c r="B3" s="17">
        <v>37622195</v>
      </c>
      <c r="E3" s="34" t="s">
        <v>37</v>
      </c>
      <c r="F3" s="26">
        <f>VLOOKUP(A2,A6:B11,2,FALSE)</f>
        <v>37622195</v>
      </c>
    </row>
    <row r="5" spans="1:9" x14ac:dyDescent="0.25">
      <c r="A5" s="10" t="s">
        <v>28</v>
      </c>
      <c r="B5" s="11" t="s">
        <v>35</v>
      </c>
      <c r="E5" s="30" t="s">
        <v>40</v>
      </c>
      <c r="F5" s="31"/>
      <c r="G5" s="31"/>
      <c r="H5" s="31"/>
    </row>
    <row r="6" spans="1:9" x14ac:dyDescent="0.25">
      <c r="A6" s="13" t="s">
        <v>29</v>
      </c>
      <c r="B6" s="16">
        <v>9780540</v>
      </c>
      <c r="E6" s="31"/>
      <c r="F6" s="31"/>
      <c r="G6" s="31"/>
      <c r="H6" s="31"/>
    </row>
    <row r="7" spans="1:9" x14ac:dyDescent="0.25">
      <c r="A7" s="13" t="s">
        <v>30</v>
      </c>
      <c r="B7" s="16">
        <v>28438768</v>
      </c>
      <c r="E7" s="35" t="s">
        <v>38</v>
      </c>
      <c r="F7" s="26">
        <f>MATCH(A2,A6:A11,0)</f>
        <v>4</v>
      </c>
    </row>
    <row r="8" spans="1:9" x14ac:dyDescent="0.25">
      <c r="A8" s="36" t="s">
        <v>31</v>
      </c>
      <c r="B8" s="37">
        <v>41953738</v>
      </c>
      <c r="E8" s="35" t="s">
        <v>39</v>
      </c>
      <c r="F8" s="26">
        <f>INDEX(A6:B11,4,2)</f>
        <v>37622195</v>
      </c>
    </row>
    <row r="9" spans="1:9" x14ac:dyDescent="0.25">
      <c r="A9" s="12" t="s">
        <v>26</v>
      </c>
      <c r="B9" s="15">
        <v>37622195</v>
      </c>
    </row>
    <row r="10" spans="1:9" x14ac:dyDescent="0.25">
      <c r="A10" s="13" t="s">
        <v>32</v>
      </c>
      <c r="B10" s="16">
        <v>17850184</v>
      </c>
      <c r="E10" s="30" t="s">
        <v>41</v>
      </c>
      <c r="F10" s="31"/>
      <c r="G10" s="31"/>
      <c r="H10" s="31"/>
    </row>
    <row r="11" spans="1:9" x14ac:dyDescent="0.25">
      <c r="A11" s="38" t="s">
        <v>33</v>
      </c>
      <c r="B11" s="37">
        <v>17399869</v>
      </c>
      <c r="E11" s="31"/>
      <c r="F11" s="31"/>
      <c r="G11" s="31"/>
      <c r="H11" s="31"/>
    </row>
    <row r="12" spans="1:9" x14ac:dyDescent="0.25">
      <c r="E12" s="35" t="s">
        <v>37</v>
      </c>
      <c r="F12" s="26">
        <f>INDEX(A6:B11,MATCH(A2,A6:A11,0),2)</f>
        <v>37622195</v>
      </c>
    </row>
  </sheetData>
  <mergeCells count="4">
    <mergeCell ref="A1:B1"/>
    <mergeCell ref="E1:I2"/>
    <mergeCell ref="E5:H6"/>
    <mergeCell ref="E10:H1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D9A09-FDCE-4364-8CAF-75B72344451B}">
  <dimension ref="A1:F13"/>
  <sheetViews>
    <sheetView tabSelected="1" workbookViewId="0">
      <selection activeCell="E5" sqref="E5"/>
    </sheetView>
  </sheetViews>
  <sheetFormatPr defaultRowHeight="15" x14ac:dyDescent="0.25"/>
  <cols>
    <col min="1" max="1" width="14" customWidth="1"/>
    <col min="2" max="2" width="13" customWidth="1"/>
    <col min="3" max="3" width="15" customWidth="1"/>
    <col min="4" max="4" width="14.85546875" customWidth="1"/>
    <col min="5" max="5" width="17.5703125" customWidth="1"/>
    <col min="6" max="6" width="15.140625" customWidth="1"/>
  </cols>
  <sheetData>
    <row r="1" spans="1:6" ht="18.75" x14ac:dyDescent="0.3">
      <c r="A1" s="27" t="s">
        <v>42</v>
      </c>
      <c r="B1" s="27"/>
      <c r="C1" s="27"/>
      <c r="D1" s="27"/>
      <c r="E1" s="27"/>
      <c r="F1" s="27"/>
    </row>
    <row r="2" spans="1:6" x14ac:dyDescent="0.25">
      <c r="A2" s="18"/>
      <c r="B2" s="18"/>
      <c r="C2" s="18"/>
      <c r="D2" s="18"/>
      <c r="E2" s="18"/>
      <c r="F2" s="18"/>
    </row>
    <row r="3" spans="1:6" x14ac:dyDescent="0.25">
      <c r="A3" s="18"/>
      <c r="B3" s="18"/>
      <c r="C3" s="19" t="s">
        <v>31</v>
      </c>
      <c r="D3" s="26">
        <f>MATCH(C3,Table1[Cookie Type],0)</f>
        <v>3</v>
      </c>
      <c r="E3" s="18"/>
      <c r="F3" s="18"/>
    </row>
    <row r="4" spans="1:6" x14ac:dyDescent="0.25">
      <c r="A4" s="18"/>
      <c r="B4" s="18"/>
      <c r="C4" s="19" t="s">
        <v>43</v>
      </c>
      <c r="D4" s="26">
        <f>MATCH(C4,Table1[[#Headers],[India]:[United States]],0)</f>
        <v>1</v>
      </c>
      <c r="E4" s="18"/>
      <c r="F4" s="18"/>
    </row>
    <row r="5" spans="1:6" x14ac:dyDescent="0.25">
      <c r="A5" s="18"/>
      <c r="B5" s="18"/>
      <c r="C5" s="21" t="s">
        <v>44</v>
      </c>
      <c r="D5" s="22">
        <f>INDEX(Table1[[India]:[United States]],3,1)</f>
        <v>32392679</v>
      </c>
      <c r="E5" s="24">
        <f>INDEX(Table1[[India]:[United States]],MATCH(C3,Table1[Cookie Type],0),MATCH(C4,Table1[[#Headers],[India]:[United States]],0))</f>
        <v>32392679</v>
      </c>
      <c r="F5" s="18"/>
    </row>
    <row r="6" spans="1:6" x14ac:dyDescent="0.25">
      <c r="A6" s="18"/>
      <c r="B6" s="18"/>
      <c r="C6" s="18"/>
      <c r="D6" s="18"/>
      <c r="E6" s="18"/>
      <c r="F6" s="18"/>
    </row>
    <row r="7" spans="1:6" x14ac:dyDescent="0.25">
      <c r="A7" s="18" t="s">
        <v>28</v>
      </c>
      <c r="B7" s="18" t="s">
        <v>43</v>
      </c>
      <c r="C7" s="18" t="s">
        <v>45</v>
      </c>
      <c r="D7" s="18" t="s">
        <v>46</v>
      </c>
      <c r="E7" s="18" t="s">
        <v>47</v>
      </c>
      <c r="F7" s="18" t="s">
        <v>48</v>
      </c>
    </row>
    <row r="8" spans="1:6" x14ac:dyDescent="0.25">
      <c r="A8" s="35" t="s">
        <v>29</v>
      </c>
      <c r="B8" s="40">
        <v>4343476</v>
      </c>
      <c r="C8" s="40">
        <v>37918369</v>
      </c>
      <c r="D8" s="40">
        <v>26099302</v>
      </c>
      <c r="E8" s="40">
        <v>25663635</v>
      </c>
      <c r="F8" s="40">
        <v>9780540</v>
      </c>
    </row>
    <row r="9" spans="1:6" x14ac:dyDescent="0.25">
      <c r="A9" s="18" t="s">
        <v>30</v>
      </c>
      <c r="B9" s="20">
        <v>9842378</v>
      </c>
      <c r="C9" s="20">
        <v>11406113</v>
      </c>
      <c r="D9" s="20">
        <v>44257461</v>
      </c>
      <c r="E9" s="20">
        <v>17472879</v>
      </c>
      <c r="F9" s="20">
        <v>28438768</v>
      </c>
    </row>
    <row r="10" spans="1:6" x14ac:dyDescent="0.25">
      <c r="A10" s="26" t="s">
        <v>31</v>
      </c>
      <c r="B10" s="39">
        <v>32392679</v>
      </c>
      <c r="C10" s="39">
        <v>4942671</v>
      </c>
      <c r="D10" s="39">
        <v>14103608</v>
      </c>
      <c r="E10" s="39">
        <v>19316966</v>
      </c>
      <c r="F10" s="39">
        <v>41953738</v>
      </c>
    </row>
    <row r="11" spans="1:6" x14ac:dyDescent="0.25">
      <c r="A11" s="18" t="s">
        <v>26</v>
      </c>
      <c r="B11" s="20">
        <v>11264068</v>
      </c>
      <c r="C11" s="20">
        <v>48137718</v>
      </c>
      <c r="D11" s="23">
        <v>8427749</v>
      </c>
      <c r="E11" s="20">
        <v>29150583</v>
      </c>
      <c r="F11" s="20">
        <v>37622195</v>
      </c>
    </row>
    <row r="12" spans="1:6" x14ac:dyDescent="0.25">
      <c r="A12" s="35" t="s">
        <v>32</v>
      </c>
      <c r="B12" s="40">
        <v>37593523</v>
      </c>
      <c r="C12" s="40">
        <v>6137662</v>
      </c>
      <c r="D12" s="40">
        <v>7377106</v>
      </c>
      <c r="E12" s="40">
        <v>47903595</v>
      </c>
      <c r="F12" s="40">
        <v>17850184</v>
      </c>
    </row>
    <row r="13" spans="1:6" x14ac:dyDescent="0.25">
      <c r="A13" s="18" t="s">
        <v>33</v>
      </c>
      <c r="B13" s="20">
        <v>29318090</v>
      </c>
      <c r="C13" s="20">
        <v>13301658</v>
      </c>
      <c r="D13" s="20">
        <v>18355309</v>
      </c>
      <c r="E13" s="20">
        <v>44322840</v>
      </c>
      <c r="F13" s="20">
        <v>17399869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INDEX FUNCTION</vt:lpstr>
      <vt:lpstr>MATCH</vt:lpstr>
      <vt:lpstr>INDEX &amp; MATCH Simple</vt:lpstr>
      <vt:lpstr>INDEX &amp; MATCH Advance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subhadip gorai</dc:creator>
  <cp:lastModifiedBy>subhadip gorai</cp:lastModifiedBy>
  <dcterms:created xsi:type="dcterms:W3CDTF">2026-07-22T14:49:03Z</dcterms:created>
  <dcterms:modified xsi:type="dcterms:W3CDTF">2026-08-08T14:19:05Z</dcterms:modified>
</cp:coreProperties>
</file>