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l\Desktop\Coding ninja\Excel\Practice\"/>
    </mc:Choice>
  </mc:AlternateContent>
  <xr:revisionPtr revIDLastSave="0" documentId="13_ncr:1_{BD099312-CEF7-4660-90C3-2BBB9811B7B0}" xr6:coauthVersionLast="47" xr6:coauthVersionMax="47" xr10:uidLastSave="{00000000-0000-0000-0000-000000000000}"/>
  <bookViews>
    <workbookView xWindow="-120" yWindow="-120" windowWidth="20730" windowHeight="11160" activeTab="2" xr2:uid="{BD2DC498-A149-4B30-A62A-D5AC783445D9}"/>
  </bookViews>
  <sheets>
    <sheet name="VLookup" sheetId="1" r:id="rId1"/>
    <sheet name="VL-Sheet1" sheetId="2" r:id="rId2"/>
    <sheet name="HLookup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8" i="3" l="1"/>
  <c r="I8" i="3"/>
  <c r="H21" i="1"/>
  <c r="K3" i="1"/>
  <c r="K4" i="1"/>
  <c r="K5" i="1"/>
  <c r="K6" i="1"/>
  <c r="K7" i="1"/>
  <c r="K8" i="1"/>
  <c r="K9" i="1"/>
  <c r="K10" i="1"/>
  <c r="K11" i="1"/>
  <c r="K12" i="1"/>
  <c r="K13" i="1"/>
  <c r="K14" i="1"/>
  <c r="J3" i="1"/>
  <c r="J4" i="1"/>
  <c r="J5" i="1"/>
  <c r="J6" i="1"/>
  <c r="J7" i="1"/>
  <c r="J8" i="1"/>
  <c r="J9" i="1"/>
  <c r="J10" i="1"/>
  <c r="J11" i="1"/>
  <c r="J12" i="1"/>
  <c r="J13" i="1"/>
  <c r="J14" i="1"/>
  <c r="K2" i="1"/>
  <c r="J2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21" i="1"/>
  <c r="H22" i="1"/>
  <c r="H28" i="1"/>
  <c r="H34" i="1"/>
  <c r="H23" i="1"/>
  <c r="H24" i="1"/>
  <c r="H25" i="1"/>
  <c r="H26" i="1"/>
  <c r="H27" i="1"/>
  <c r="H29" i="1"/>
  <c r="H30" i="1"/>
  <c r="H31" i="1"/>
  <c r="H32" i="1"/>
  <c r="H33" i="1"/>
  <c r="I3" i="1"/>
  <c r="I4" i="1"/>
  <c r="I5" i="1"/>
  <c r="I6" i="1"/>
  <c r="I7" i="1"/>
  <c r="I8" i="1"/>
  <c r="I9" i="1"/>
  <c r="I10" i="1"/>
  <c r="I11" i="1"/>
  <c r="I12" i="1"/>
  <c r="I13" i="1"/>
  <c r="I14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2" i="1"/>
</calcChain>
</file>

<file path=xl/sharedStrings.xml><?xml version="1.0" encoding="utf-8"?>
<sst xmlns="http://schemas.openxmlformats.org/spreadsheetml/2006/main" count="125" uniqueCount="56">
  <si>
    <t>EMPLOYEE ID</t>
  </si>
  <si>
    <t>LAST_NAME</t>
  </si>
  <si>
    <t>FIRST_NAME</t>
  </si>
  <si>
    <t>Doe</t>
  </si>
  <si>
    <t>John</t>
  </si>
  <si>
    <t>Cline</t>
  </si>
  <si>
    <t>Andy</t>
  </si>
  <si>
    <t>Smith</t>
  </si>
  <si>
    <t>Pan</t>
  </si>
  <si>
    <t>Peter</t>
  </si>
  <si>
    <t>Fawre</t>
  </si>
  <si>
    <t>Bret</t>
  </si>
  <si>
    <t>Elway</t>
  </si>
  <si>
    <t>Manning</t>
  </si>
  <si>
    <t>Eli</t>
  </si>
  <si>
    <t>Vick</t>
  </si>
  <si>
    <t>Micheal</t>
  </si>
  <si>
    <t>Woods</t>
  </si>
  <si>
    <t>Tiger</t>
  </si>
  <si>
    <t>Jordan</t>
  </si>
  <si>
    <t>Stark</t>
  </si>
  <si>
    <t>Tony</t>
  </si>
  <si>
    <t>Williams</t>
  </si>
  <si>
    <t>Price</t>
  </si>
  <si>
    <t>Pitt</t>
  </si>
  <si>
    <t>Brad</t>
  </si>
  <si>
    <t>Umang</t>
  </si>
  <si>
    <t>Tiwari</t>
  </si>
  <si>
    <t>PAY</t>
  </si>
  <si>
    <t>First Name</t>
  </si>
  <si>
    <t>Last Name</t>
  </si>
  <si>
    <t>VLOOKUP USING TABLE METHOD</t>
  </si>
  <si>
    <t>CITY</t>
  </si>
  <si>
    <t>STATE</t>
  </si>
  <si>
    <t>Columbus</t>
  </si>
  <si>
    <t>Ohio</t>
  </si>
  <si>
    <t>Chicago</t>
  </si>
  <si>
    <t>Illinois</t>
  </si>
  <si>
    <t>Tampa Bay</t>
  </si>
  <si>
    <t>Florida</t>
  </si>
  <si>
    <t>Austin</t>
  </si>
  <si>
    <t>Texas</t>
  </si>
  <si>
    <t>STUDENT NAME</t>
  </si>
  <si>
    <t>A</t>
  </si>
  <si>
    <t>B</t>
  </si>
  <si>
    <t>C</t>
  </si>
  <si>
    <t>D</t>
  </si>
  <si>
    <t>E</t>
  </si>
  <si>
    <t>ACCOUNTS</t>
  </si>
  <si>
    <t>ECONOMICS</t>
  </si>
  <si>
    <t>MANAGEMENT</t>
  </si>
  <si>
    <t>MATHEMATICS</t>
  </si>
  <si>
    <t>E in math</t>
  </si>
  <si>
    <t>HLOOKUP using Paste special Method = VLOOKUP</t>
  </si>
  <si>
    <t>^</t>
  </si>
  <si>
    <t>B in Economics 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</si>
</sst>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£-809]#,##0"/>
  </numFmts>
  <fonts count="9" x14ac:knownFonts="1">
    <font>
      <sz val="11"/>
      <color theme="1"/>
      <name val="Calibri"/>
      <family val="2"/>
      <scheme val="minor"/>
    </font>
    <font>
      <sz val="10"/>
      <color rgb="FF000000"/>
      <name val="Calibri"/>
      <scheme val="minor"/>
    </font>
    <font>
      <b/>
      <u/>
      <sz val="10"/>
      <color theme="1"/>
      <name val="Calibri"/>
      <scheme val="minor"/>
    </font>
    <font>
      <sz val="10"/>
      <color theme="1"/>
      <name val="Calibri"/>
      <scheme val="minor"/>
    </font>
    <font>
      <b/>
      <u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6B26B"/>
        <bgColor rgb="FFF6B26B"/>
      </patternFill>
    </fill>
    <fill>
      <patternFill patternType="solid">
        <fgColor rgb="FF6D9EEB"/>
        <bgColor rgb="FF6D9EEB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rgb="FF6D9EEB"/>
      </patternFill>
    </fill>
  </fills>
  <borders count="1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theme="4" tint="0.39997558519241921"/>
      </top>
      <bottom style="thin">
        <color rgb="FF000000"/>
      </bottom>
      <diagonal/>
    </border>
    <border>
      <left style="thin">
        <color rgb="FF000000"/>
      </left>
      <right style="thin">
        <color theme="4" tint="0.39997558519241921"/>
      </right>
      <top style="thin">
        <color theme="4" tint="0.39997558519241921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8" fillId="0" borderId="0"/>
  </cellStyleXfs>
  <cellXfs count="38">
    <xf numFmtId="0" fontId="0" fillId="0" borderId="0" xfId="0"/>
    <xf numFmtId="0" fontId="3" fillId="0" borderId="3" xfId="1" applyFont="1" applyBorder="1" applyAlignment="1"/>
    <xf numFmtId="0" fontId="3" fillId="0" borderId="2" xfId="1" applyFont="1" applyBorder="1" applyAlignment="1"/>
    <xf numFmtId="0" fontId="3" fillId="0" borderId="1" xfId="1" applyFont="1" applyBorder="1" applyAlignment="1"/>
    <xf numFmtId="0" fontId="2" fillId="2" borderId="4" xfId="1" applyFont="1" applyFill="1" applyBorder="1" applyAlignment="1"/>
    <xf numFmtId="0" fontId="2" fillId="2" borderId="5" xfId="1" applyFont="1" applyFill="1" applyBorder="1" applyAlignment="1"/>
    <xf numFmtId="0" fontId="2" fillId="2" borderId="6" xfId="1" applyFont="1" applyFill="1" applyBorder="1" applyAlignment="1"/>
    <xf numFmtId="0" fontId="3" fillId="0" borderId="7" xfId="1" applyFont="1" applyBorder="1" applyAlignment="1"/>
    <xf numFmtId="0" fontId="3" fillId="0" borderId="8" xfId="1" applyFont="1" applyBorder="1" applyAlignment="1"/>
    <xf numFmtId="0" fontId="3" fillId="0" borderId="9" xfId="1" applyFont="1" applyBorder="1" applyAlignment="1"/>
    <xf numFmtId="0" fontId="2" fillId="3" borderId="3" xfId="1" applyFont="1" applyFill="1" applyBorder="1" applyAlignment="1">
      <alignment horizontal="center"/>
    </xf>
    <xf numFmtId="0" fontId="3" fillId="0" borderId="3" xfId="1" applyFont="1" applyBorder="1" applyAlignment="1"/>
    <xf numFmtId="0" fontId="3" fillId="0" borderId="3" xfId="1" applyFont="1" applyBorder="1" applyAlignment="1">
      <alignment horizontal="center"/>
    </xf>
    <xf numFmtId="164" fontId="3" fillId="0" borderId="3" xfId="1" applyNumberFormat="1" applyFont="1" applyBorder="1" applyAlignment="1">
      <alignment horizontal="center"/>
    </xf>
    <xf numFmtId="0" fontId="3" fillId="0" borderId="2" xfId="1" applyFont="1" applyBorder="1" applyAlignment="1"/>
    <xf numFmtId="0" fontId="3" fillId="0" borderId="1" xfId="1" applyFont="1" applyBorder="1" applyAlignment="1"/>
    <xf numFmtId="0" fontId="2" fillId="2" borderId="4" xfId="1" applyFont="1" applyFill="1" applyBorder="1" applyAlignment="1"/>
    <xf numFmtId="0" fontId="2" fillId="2" borderId="5" xfId="1" applyFont="1" applyFill="1" applyBorder="1" applyAlignment="1"/>
    <xf numFmtId="0" fontId="2" fillId="2" borderId="6" xfId="1" applyFont="1" applyFill="1" applyBorder="1" applyAlignment="1"/>
    <xf numFmtId="0" fontId="3" fillId="0" borderId="7" xfId="1" applyFont="1" applyBorder="1" applyAlignment="1"/>
    <xf numFmtId="0" fontId="3" fillId="0" borderId="8" xfId="1" applyFont="1" applyBorder="1" applyAlignment="1"/>
    <xf numFmtId="0" fontId="3" fillId="0" borderId="9" xfId="1" applyFont="1" applyBorder="1" applyAlignment="1"/>
    <xf numFmtId="164" fontId="3" fillId="0" borderId="10" xfId="1" applyNumberFormat="1" applyFont="1" applyFill="1" applyBorder="1" applyAlignment="1">
      <alignment horizontal="center"/>
    </xf>
    <xf numFmtId="0" fontId="5" fillId="0" borderId="3" xfId="2" applyFont="1" applyBorder="1" applyAlignment="1"/>
    <xf numFmtId="0" fontId="5" fillId="0" borderId="2" xfId="2" applyFont="1" applyBorder="1" applyAlignment="1"/>
    <xf numFmtId="0" fontId="5" fillId="0" borderId="1" xfId="2" applyFont="1" applyBorder="1" applyAlignment="1"/>
    <xf numFmtId="0" fontId="5" fillId="0" borderId="7" xfId="2" applyFont="1" applyBorder="1" applyAlignment="1"/>
    <xf numFmtId="0" fontId="5" fillId="0" borderId="8" xfId="2" applyFont="1" applyBorder="1" applyAlignment="1"/>
    <xf numFmtId="0" fontId="5" fillId="0" borderId="9" xfId="2" applyFont="1" applyBorder="1" applyAlignment="1"/>
    <xf numFmtId="0" fontId="4" fillId="3" borderId="11" xfId="2" applyNumberFormat="1" applyFont="1" applyFill="1" applyBorder="1" applyAlignment="1">
      <alignment horizontal="center"/>
    </xf>
    <xf numFmtId="0" fontId="4" fillId="3" borderId="12" xfId="2" applyNumberFormat="1" applyFont="1" applyFill="1" applyBorder="1" applyAlignment="1">
      <alignment horizontal="center"/>
    </xf>
    <xf numFmtId="0" fontId="8" fillId="0" borderId="0" xfId="2" applyFont="1" applyAlignment="1"/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4" borderId="0" xfId="0" applyFill="1"/>
    <xf numFmtId="0" fontId="4" fillId="5" borderId="4" xfId="2" applyFont="1" applyFill="1" applyBorder="1" applyAlignment="1">
      <alignment horizontal="center"/>
    </xf>
    <xf numFmtId="0" fontId="4" fillId="5" borderId="5" xfId="2" applyFont="1" applyFill="1" applyBorder="1" applyAlignment="1">
      <alignment horizontal="center"/>
    </xf>
    <xf numFmtId="0" fontId="4" fillId="5" borderId="6" xfId="2" applyFont="1" applyFill="1" applyBorder="1" applyAlignment="1">
      <alignment horizontal="center"/>
    </xf>
  </cellXfs>
  <cellStyles count="3">
    <cellStyle name="Normal" xfId="0" builtinId="0"/>
    <cellStyle name="Normal 2" xfId="1" xr:uid="{62D9D921-5887-4653-B474-F3843E3AE323}"/>
    <cellStyle name="Normal 3" xfId="2" xr:uid="{BA6F1914-8B01-450F-B549-7EF613EE35AE}"/>
  </cellStyles>
  <dxfs count="18">
    <dxf>
      <font>
        <b/>
        <i val="0"/>
        <strike val="0"/>
        <condense val="0"/>
        <extend val="0"/>
        <outline val="0"/>
        <shadow val="0"/>
        <u/>
        <vertAlign val="baseline"/>
        <sz val="10"/>
        <color theme="1"/>
        <name val="Calibri"/>
        <family val="2"/>
        <scheme val="minor"/>
      </font>
      <fill>
        <patternFill patternType="solid">
          <fgColor rgb="FF6D9EEB"/>
          <bgColor theme="5" tint="0.399975585192419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/>
        <vertical/>
        <horizontal/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/>
        <vertAlign val="baseline"/>
        <sz val="10"/>
        <color theme="1"/>
        <name val="Calibri"/>
        <scheme val="minor"/>
      </font>
      <fill>
        <patternFill patternType="solid">
          <fgColor rgb="FFF6B26B"/>
          <bgColor rgb="FFF6B26B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9D9C5C-98E6-4700-90DF-993896FCEB4D}" name="Table1" displayName="Table1" ref="A20:C34" totalsRowShown="0" headerRowDxfId="17" headerRowBorderDxfId="16" headerRowCellStyle="Normal 2">
  <autoFilter ref="A20:C34" xr:uid="{EF9D9C5C-98E6-4700-90DF-993896FCEB4D}"/>
  <tableColumns count="3">
    <tableColumn id="1" xr3:uid="{36880DDD-51B3-49CC-8498-EEC19247CD8F}" name="EMPLOYEE ID" dataDxfId="15" dataCellStyle="Normal 2"/>
    <tableColumn id="2" xr3:uid="{9E4FB84D-137B-446E-A493-2473BAA277A4}" name="LAST_NAME" dataDxfId="14" dataCellStyle="Normal 2"/>
    <tableColumn id="3" xr3:uid="{0A1BC3D9-D659-4FC7-990A-C154597262C3}" name="FIRST_NAME" dataDxfId="13" dataCellStyle="Normal 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C421AB4-049F-4BF3-8828-F15D71CBBC2C}" name="Table2" displayName="Table2" ref="A1:C14" totalsRowShown="0" headerRowDxfId="0" headerRowBorderDxfId="12" headerRowCellStyle="Normal 3">
  <tableColumns count="3">
    <tableColumn id="1" xr3:uid="{5F2102F7-3CB2-4727-B8A7-023730B6E1DF}" name="EMPLOYEE ID" dataDxfId="11" dataCellStyle="Normal 3"/>
    <tableColumn id="2" xr3:uid="{6323EE60-50F2-4F57-A8B3-C9D5E276EAC7}" name="CITY" dataDxfId="10" dataCellStyle="Normal 3"/>
    <tableColumn id="3" xr3:uid="{DC54642E-F1F7-4853-B078-595B19BC51BD}" name="STATE" dataDxfId="9" dataCellStyle="Normal 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18C350A-6DB9-48E1-835B-A77C975E1B9E}" name="Table3" displayName="Table3" ref="A1:F5" totalsRowShown="0" headerRowDxfId="8" dataDxfId="7" headerRowCellStyle="Normal 3" dataCellStyle="Normal 3">
  <autoFilter ref="A1:F5" xr:uid="{418C350A-6DB9-48E1-835B-A77C975E1B9E}"/>
  <tableColumns count="6">
    <tableColumn id="1" xr3:uid="{5496A836-1A1E-4568-A8AD-96FFD227DEDC}" name="STUDENT NAME" dataDxfId="6" dataCellStyle="Normal 3"/>
    <tableColumn id="2" xr3:uid="{F3CA6DBB-80C9-4995-837F-BEA7458CB770}" name="A" dataDxfId="5" dataCellStyle="Normal 3"/>
    <tableColumn id="3" xr3:uid="{F3119565-7926-421E-BBA2-BF3882EB71F9}" name="B" dataDxfId="4" dataCellStyle="Normal 3"/>
    <tableColumn id="4" xr3:uid="{F38E93E2-BAEE-404E-8280-115AC91662D3}" name="C" dataDxfId="3" dataCellStyle="Normal 3"/>
    <tableColumn id="5" xr3:uid="{6CC49261-C682-4168-B253-EDE2E7E23F83}" name="D" dataDxfId="2" dataCellStyle="Normal 3"/>
    <tableColumn id="6" xr3:uid="{8C1E19E2-BB88-4558-A50C-98AF66116C84}" name="E" dataDxfId="1" dataCellStyle="Normal 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CEACA-931F-4534-8C73-819B313DD120}">
  <dimension ref="A1:K34"/>
  <sheetViews>
    <sheetView zoomScaleNormal="100" workbookViewId="0">
      <selection activeCell="F1" sqref="F1:K14"/>
    </sheetView>
  </sheetViews>
  <sheetFormatPr defaultRowHeight="15" x14ac:dyDescent="0.25"/>
  <cols>
    <col min="1" max="1" width="13.42578125" customWidth="1"/>
    <col min="2" max="2" width="12.5703125" customWidth="1"/>
    <col min="3" max="3" width="12.85546875" customWidth="1"/>
    <col min="6" max="6" width="11.140625" customWidth="1"/>
    <col min="7" max="7" width="16.85546875" customWidth="1"/>
    <col min="8" max="8" width="10.7109375" customWidth="1"/>
  </cols>
  <sheetData>
    <row r="1" spans="1:11" x14ac:dyDescent="0.25">
      <c r="A1" s="4" t="s">
        <v>0</v>
      </c>
      <c r="B1" s="5" t="s">
        <v>1</v>
      </c>
      <c r="C1" s="6" t="s">
        <v>2</v>
      </c>
      <c r="F1" s="10" t="s">
        <v>0</v>
      </c>
      <c r="G1" s="10" t="s">
        <v>28</v>
      </c>
      <c r="H1" s="10" t="s">
        <v>29</v>
      </c>
      <c r="I1" s="10" t="s">
        <v>30</v>
      </c>
      <c r="J1" s="29" t="s">
        <v>32</v>
      </c>
      <c r="K1" s="30" t="s">
        <v>33</v>
      </c>
    </row>
    <row r="2" spans="1:11" x14ac:dyDescent="0.25">
      <c r="A2" s="2">
        <v>110608</v>
      </c>
      <c r="B2" s="1" t="s">
        <v>3</v>
      </c>
      <c r="C2" s="3" t="s">
        <v>4</v>
      </c>
      <c r="F2" s="12">
        <v>990678</v>
      </c>
      <c r="G2" s="13">
        <v>84289</v>
      </c>
      <c r="H2" t="str">
        <f t="shared" ref="H2:H14" si="0">VLOOKUP(F2,$A$2:$C$14, 3, FALSE)</f>
        <v>Brad</v>
      </c>
      <c r="I2" t="str">
        <f t="shared" ref="I2:I14" si="1">VLOOKUP(F2,$A$2:$C$14,2,FALSE)</f>
        <v>Pitt</v>
      </c>
      <c r="J2" t="str">
        <f>VLOOKUP(F2,Table2[],2,FALSE)</f>
        <v>Austin</v>
      </c>
      <c r="K2" t="str">
        <f>VLOOKUP(F2,Table2[],3,FALSE)</f>
        <v>Texas</v>
      </c>
    </row>
    <row r="3" spans="1:11" x14ac:dyDescent="0.25">
      <c r="A3" s="2">
        <v>253072</v>
      </c>
      <c r="B3" s="1" t="s">
        <v>5</v>
      </c>
      <c r="C3" s="3" t="s">
        <v>6</v>
      </c>
      <c r="F3" s="12">
        <v>830385</v>
      </c>
      <c r="G3" s="13">
        <v>137670</v>
      </c>
      <c r="H3" t="str">
        <f t="shared" si="0"/>
        <v>Price</v>
      </c>
      <c r="I3" t="str">
        <f t="shared" si="1"/>
        <v>Williams</v>
      </c>
      <c r="J3" t="str">
        <f>VLOOKUP(F3,Table2[],2,FALSE)</f>
        <v>Chicago</v>
      </c>
      <c r="K3" t="str">
        <f>VLOOKUP(F3,Table2[],3,FALSE)</f>
        <v>Illinois</v>
      </c>
    </row>
    <row r="4" spans="1:11" x14ac:dyDescent="0.25">
      <c r="A4" s="2">
        <v>352711</v>
      </c>
      <c r="B4" s="1" t="s">
        <v>7</v>
      </c>
      <c r="C4" s="3" t="s">
        <v>4</v>
      </c>
      <c r="F4" s="12">
        <v>795574</v>
      </c>
      <c r="G4" s="13">
        <v>190024</v>
      </c>
      <c r="H4" t="str">
        <f t="shared" si="0"/>
        <v>Tony</v>
      </c>
      <c r="I4" t="str">
        <f t="shared" si="1"/>
        <v>Stark</v>
      </c>
      <c r="J4" t="str">
        <f>VLOOKUP(F4,Table2[],2,FALSE)</f>
        <v>Austin</v>
      </c>
      <c r="K4" t="str">
        <f>VLOOKUP(F4,Table2[],3,FALSE)</f>
        <v>Texas</v>
      </c>
    </row>
    <row r="5" spans="1:11" x14ac:dyDescent="0.25">
      <c r="A5" s="2">
        <v>391006</v>
      </c>
      <c r="B5" s="1" t="s">
        <v>8</v>
      </c>
      <c r="C5" s="3" t="s">
        <v>9</v>
      </c>
      <c r="F5" s="12">
        <v>580622</v>
      </c>
      <c r="G5" s="13">
        <v>122604</v>
      </c>
      <c r="H5" t="str">
        <f t="shared" si="0"/>
        <v>Eli</v>
      </c>
      <c r="I5" t="str">
        <f t="shared" si="1"/>
        <v>Manning</v>
      </c>
      <c r="J5" t="str">
        <f>VLOOKUP(F5,Table2[],2,FALSE)</f>
        <v>Columbus</v>
      </c>
      <c r="K5" t="str">
        <f>VLOOKUP(F5,Table2[],3,FALSE)</f>
        <v>Ohio</v>
      </c>
    </row>
    <row r="6" spans="1:11" x14ac:dyDescent="0.25">
      <c r="A6" s="2">
        <v>392128</v>
      </c>
      <c r="B6" s="1" t="s">
        <v>10</v>
      </c>
      <c r="C6" s="3" t="s">
        <v>11</v>
      </c>
      <c r="F6" s="12">
        <v>549427</v>
      </c>
      <c r="G6" s="13">
        <v>111700</v>
      </c>
      <c r="H6" t="str">
        <f t="shared" si="0"/>
        <v>John</v>
      </c>
      <c r="I6" t="str">
        <f t="shared" si="1"/>
        <v>Elway</v>
      </c>
      <c r="J6" t="str">
        <f>VLOOKUP(F6,Table2[],2,FALSE)</f>
        <v>Tampa Bay</v>
      </c>
      <c r="K6" t="str">
        <f>VLOOKUP(F6,Table2[],3,FALSE)</f>
        <v>Florida</v>
      </c>
    </row>
    <row r="7" spans="1:11" x14ac:dyDescent="0.25">
      <c r="A7" s="2">
        <v>549427</v>
      </c>
      <c r="B7" s="1" t="s">
        <v>12</v>
      </c>
      <c r="C7" s="3" t="s">
        <v>4</v>
      </c>
      <c r="F7" s="12">
        <v>392128</v>
      </c>
      <c r="G7" s="13">
        <v>85931</v>
      </c>
      <c r="H7" t="str">
        <f t="shared" si="0"/>
        <v>Bret</v>
      </c>
      <c r="I7" t="str">
        <f t="shared" si="1"/>
        <v>Fawre</v>
      </c>
      <c r="J7" t="str">
        <f>VLOOKUP(F7,Table2[],2,FALSE)</f>
        <v>Chicago</v>
      </c>
      <c r="K7" t="str">
        <f>VLOOKUP(F7,Table2[],3,FALSE)</f>
        <v>Illinois</v>
      </c>
    </row>
    <row r="8" spans="1:11" x14ac:dyDescent="0.25">
      <c r="A8" s="2">
        <v>580622</v>
      </c>
      <c r="B8" s="1" t="s">
        <v>13</v>
      </c>
      <c r="C8" s="3" t="s">
        <v>14</v>
      </c>
      <c r="F8" s="12">
        <v>391006</v>
      </c>
      <c r="G8" s="13">
        <v>168114</v>
      </c>
      <c r="H8" t="str">
        <f t="shared" si="0"/>
        <v>Peter</v>
      </c>
      <c r="I8" t="str">
        <f t="shared" si="1"/>
        <v>Pan</v>
      </c>
      <c r="J8" t="str">
        <f>VLOOKUP(F8,Table2[],2,FALSE)</f>
        <v>Chicago</v>
      </c>
      <c r="K8" t="str">
        <f>VLOOKUP(F8,Table2[],3,FALSE)</f>
        <v>Illinois</v>
      </c>
    </row>
    <row r="9" spans="1:11" x14ac:dyDescent="0.25">
      <c r="A9" s="2">
        <v>602693</v>
      </c>
      <c r="B9" s="1" t="s">
        <v>15</v>
      </c>
      <c r="C9" s="3" t="s">
        <v>16</v>
      </c>
      <c r="F9" s="12">
        <v>352711</v>
      </c>
      <c r="G9" s="13">
        <v>89627</v>
      </c>
      <c r="H9" t="str">
        <f t="shared" si="0"/>
        <v>John</v>
      </c>
      <c r="I9" t="str">
        <f t="shared" si="1"/>
        <v>Smith</v>
      </c>
      <c r="J9" t="str">
        <f>VLOOKUP(F9,Table2[],2,FALSE)</f>
        <v>Tampa Bay</v>
      </c>
      <c r="K9" t="str">
        <f>VLOOKUP(F9,Table2[],3,FALSE)</f>
        <v>Florida</v>
      </c>
    </row>
    <row r="10" spans="1:11" x14ac:dyDescent="0.25">
      <c r="A10" s="2">
        <v>611810</v>
      </c>
      <c r="B10" s="1" t="s">
        <v>17</v>
      </c>
      <c r="C10" s="3" t="s">
        <v>18</v>
      </c>
      <c r="F10" s="12">
        <v>253072</v>
      </c>
      <c r="G10" s="13">
        <v>149946</v>
      </c>
      <c r="H10" t="str">
        <f t="shared" si="0"/>
        <v>Andy</v>
      </c>
      <c r="I10" t="str">
        <f t="shared" si="1"/>
        <v>Cline</v>
      </c>
      <c r="J10" t="str">
        <f>VLOOKUP(F10,Table2[],2,FALSE)</f>
        <v>Chicago</v>
      </c>
      <c r="K10" t="str">
        <f>VLOOKUP(F10,Table2[],3,FALSE)</f>
        <v>Illinois</v>
      </c>
    </row>
    <row r="11" spans="1:11" x14ac:dyDescent="0.25">
      <c r="A11" s="2">
        <v>612235</v>
      </c>
      <c r="B11" s="1" t="s">
        <v>19</v>
      </c>
      <c r="C11" s="3" t="s">
        <v>16</v>
      </c>
      <c r="F11" s="12">
        <v>612235</v>
      </c>
      <c r="G11" s="13">
        <v>145893</v>
      </c>
      <c r="H11" t="str">
        <f t="shared" si="0"/>
        <v>Micheal</v>
      </c>
      <c r="I11" t="str">
        <f t="shared" si="1"/>
        <v>Jordan</v>
      </c>
      <c r="J11" t="str">
        <f>VLOOKUP(F11,Table2[],2,FALSE)</f>
        <v>Tampa Bay</v>
      </c>
      <c r="K11" t="str">
        <f>VLOOKUP(F11,Table2[],3,FALSE)</f>
        <v>Florida</v>
      </c>
    </row>
    <row r="12" spans="1:11" x14ac:dyDescent="0.25">
      <c r="A12" s="2">
        <v>795574</v>
      </c>
      <c r="B12" s="1" t="s">
        <v>20</v>
      </c>
      <c r="C12" s="3" t="s">
        <v>21</v>
      </c>
      <c r="F12" s="12">
        <v>611810</v>
      </c>
      <c r="G12" s="13">
        <v>64757</v>
      </c>
      <c r="H12" t="str">
        <f t="shared" si="0"/>
        <v>Tiger</v>
      </c>
      <c r="I12" t="str">
        <f t="shared" si="1"/>
        <v>Woods</v>
      </c>
      <c r="J12" t="str">
        <f>VLOOKUP(F12,Table2[],2,FALSE)</f>
        <v>Austin</v>
      </c>
      <c r="K12" t="str">
        <f>VLOOKUP(F12,Table2[],3,FALSE)</f>
        <v>Texas</v>
      </c>
    </row>
    <row r="13" spans="1:11" x14ac:dyDescent="0.25">
      <c r="A13" s="2">
        <v>830385</v>
      </c>
      <c r="B13" s="1" t="s">
        <v>22</v>
      </c>
      <c r="C13" s="3" t="s">
        <v>23</v>
      </c>
      <c r="F13" s="12">
        <v>602693</v>
      </c>
      <c r="G13" s="13">
        <v>71478</v>
      </c>
      <c r="H13" t="str">
        <f t="shared" si="0"/>
        <v>Micheal</v>
      </c>
      <c r="I13" t="str">
        <f t="shared" si="1"/>
        <v>Vick</v>
      </c>
      <c r="J13" t="str">
        <f>VLOOKUP(F13,Table2[],2,FALSE)</f>
        <v>Tampa Bay</v>
      </c>
      <c r="K13" t="str">
        <f>VLOOKUP(F13,Table2[],3,FALSE)</f>
        <v>Florida</v>
      </c>
    </row>
    <row r="14" spans="1:11" x14ac:dyDescent="0.25">
      <c r="A14" s="7">
        <v>990678</v>
      </c>
      <c r="B14" s="8" t="s">
        <v>24</v>
      </c>
      <c r="C14" s="9" t="s">
        <v>25</v>
      </c>
      <c r="F14" s="12">
        <v>110608</v>
      </c>
      <c r="G14" s="13">
        <v>131505</v>
      </c>
      <c r="H14" t="str">
        <f t="shared" si="0"/>
        <v>John</v>
      </c>
      <c r="I14" t="str">
        <f t="shared" si="1"/>
        <v>Doe</v>
      </c>
      <c r="J14" t="str">
        <f>VLOOKUP(F14,Table2[],2,FALSE)</f>
        <v>Columbus</v>
      </c>
      <c r="K14" t="str">
        <f>VLOOKUP(F14,Table2[],3,FALSE)</f>
        <v>Ohio</v>
      </c>
    </row>
    <row r="17" spans="1:9" x14ac:dyDescent="0.25">
      <c r="B17" s="32" t="s">
        <v>31</v>
      </c>
      <c r="C17" s="33"/>
      <c r="D17" s="33"/>
      <c r="E17" s="33"/>
      <c r="F17" s="33"/>
      <c r="G17" s="33"/>
    </row>
    <row r="18" spans="1:9" x14ac:dyDescent="0.25">
      <c r="B18" s="33"/>
      <c r="C18" s="33"/>
      <c r="D18" s="33"/>
      <c r="E18" s="33"/>
      <c r="F18" s="33"/>
      <c r="G18" s="33"/>
    </row>
    <row r="20" spans="1:9" x14ac:dyDescent="0.25">
      <c r="A20" s="16" t="s">
        <v>0</v>
      </c>
      <c r="B20" s="17" t="s">
        <v>1</v>
      </c>
      <c r="C20" s="18" t="s">
        <v>2</v>
      </c>
      <c r="F20" s="10" t="s">
        <v>0</v>
      </c>
      <c r="G20" s="10" t="s">
        <v>28</v>
      </c>
      <c r="H20" s="10" t="s">
        <v>29</v>
      </c>
      <c r="I20" s="10" t="s">
        <v>30</v>
      </c>
    </row>
    <row r="21" spans="1:9" x14ac:dyDescent="0.25">
      <c r="A21" s="14">
        <v>110608</v>
      </c>
      <c r="B21" s="11" t="s">
        <v>3</v>
      </c>
      <c r="C21" s="15" t="s">
        <v>4</v>
      </c>
      <c r="F21" s="12">
        <v>990678</v>
      </c>
      <c r="G21" s="13">
        <v>84289</v>
      </c>
      <c r="H21" t="str">
        <f>VLOOKUP(F21,Table1[],3,FALSE)</f>
        <v>Brad</v>
      </c>
      <c r="I21" t="str">
        <f>VLOOKUP(F21,Table1[],2,FALSE)</f>
        <v>Pitt</v>
      </c>
    </row>
    <row r="22" spans="1:9" x14ac:dyDescent="0.25">
      <c r="A22" s="14">
        <v>253072</v>
      </c>
      <c r="B22" s="11" t="s">
        <v>5</v>
      </c>
      <c r="C22" s="15" t="s">
        <v>6</v>
      </c>
      <c r="F22" s="12">
        <v>830385</v>
      </c>
      <c r="G22" s="13">
        <v>137670</v>
      </c>
      <c r="H22" t="str">
        <f>VLOOKUP(F22,Table1[],3,FALSE)</f>
        <v>Price</v>
      </c>
      <c r="I22" t="str">
        <f>VLOOKUP(F22,Table1[],2,FALSE)</f>
        <v>Williams</v>
      </c>
    </row>
    <row r="23" spans="1:9" x14ac:dyDescent="0.25">
      <c r="A23" s="14">
        <v>352711</v>
      </c>
      <c r="B23" s="11" t="s">
        <v>7</v>
      </c>
      <c r="C23" s="15" t="s">
        <v>4</v>
      </c>
      <c r="F23" s="12">
        <v>795574</v>
      </c>
      <c r="G23" s="13">
        <v>190024</v>
      </c>
      <c r="H23" t="str">
        <f>VLOOKUP(F23,Table1[],3,FALSE)</f>
        <v>Tony</v>
      </c>
      <c r="I23" t="str">
        <f>VLOOKUP(F23,Table1[],2,FALSE)</f>
        <v>Stark</v>
      </c>
    </row>
    <row r="24" spans="1:9" x14ac:dyDescent="0.25">
      <c r="A24" s="14">
        <v>391006</v>
      </c>
      <c r="B24" s="11" t="s">
        <v>8</v>
      </c>
      <c r="C24" s="15" t="s">
        <v>9</v>
      </c>
      <c r="F24" s="12">
        <v>580622</v>
      </c>
      <c r="G24" s="13">
        <v>122604</v>
      </c>
      <c r="H24" t="str">
        <f>VLOOKUP(F24,Table1[],3,FALSE)</f>
        <v>Eli</v>
      </c>
      <c r="I24" t="str">
        <f>VLOOKUP(F24,Table1[],2,FALSE)</f>
        <v>Manning</v>
      </c>
    </row>
    <row r="25" spans="1:9" x14ac:dyDescent="0.25">
      <c r="A25" s="14">
        <v>392128</v>
      </c>
      <c r="B25" s="11" t="s">
        <v>10</v>
      </c>
      <c r="C25" s="15" t="s">
        <v>11</v>
      </c>
      <c r="F25" s="12">
        <v>549427</v>
      </c>
      <c r="G25" s="13">
        <v>111700</v>
      </c>
      <c r="H25" t="str">
        <f>VLOOKUP(F25,Table1[],3,FALSE)</f>
        <v>John</v>
      </c>
      <c r="I25" t="str">
        <f>VLOOKUP(F25,Table1[],2,FALSE)</f>
        <v>Elway</v>
      </c>
    </row>
    <row r="26" spans="1:9" x14ac:dyDescent="0.25">
      <c r="A26" s="14">
        <v>549427</v>
      </c>
      <c r="B26" s="11" t="s">
        <v>12</v>
      </c>
      <c r="C26" s="15" t="s">
        <v>4</v>
      </c>
      <c r="F26" s="12">
        <v>392128</v>
      </c>
      <c r="G26" s="13">
        <v>85931</v>
      </c>
      <c r="H26" t="str">
        <f>VLOOKUP(F26,Table1[],3,FALSE)</f>
        <v>Bret</v>
      </c>
      <c r="I26" t="str">
        <f>VLOOKUP(F26,Table1[],2,FALSE)</f>
        <v>Fawre</v>
      </c>
    </row>
    <row r="27" spans="1:9" x14ac:dyDescent="0.25">
      <c r="A27" s="14">
        <v>580622</v>
      </c>
      <c r="B27" s="11" t="s">
        <v>13</v>
      </c>
      <c r="C27" s="15" t="s">
        <v>14</v>
      </c>
      <c r="F27" s="12">
        <v>391006</v>
      </c>
      <c r="G27" s="13">
        <v>168114</v>
      </c>
      <c r="H27" t="str">
        <f>VLOOKUP(F27,Table1[],3,FALSE)</f>
        <v>Peter</v>
      </c>
      <c r="I27" t="str">
        <f>VLOOKUP(F27,Table1[],2,FALSE)</f>
        <v>Pan</v>
      </c>
    </row>
    <row r="28" spans="1:9" x14ac:dyDescent="0.25">
      <c r="A28" s="14">
        <v>602693</v>
      </c>
      <c r="B28" s="11" t="s">
        <v>15</v>
      </c>
      <c r="C28" s="15" t="s">
        <v>16</v>
      </c>
      <c r="F28" s="12">
        <v>352711</v>
      </c>
      <c r="G28" s="13">
        <v>89627</v>
      </c>
      <c r="H28" t="str">
        <f>VLOOKUP(F28,Table1[],3,FALSE)</f>
        <v>John</v>
      </c>
      <c r="I28" t="str">
        <f>VLOOKUP(F28,Table1[],2,FALSE)</f>
        <v>Smith</v>
      </c>
    </row>
    <row r="29" spans="1:9" x14ac:dyDescent="0.25">
      <c r="A29" s="14">
        <v>611810</v>
      </c>
      <c r="B29" s="11" t="s">
        <v>17</v>
      </c>
      <c r="C29" s="15" t="s">
        <v>18</v>
      </c>
      <c r="F29" s="12">
        <v>253072</v>
      </c>
      <c r="G29" s="13">
        <v>149946</v>
      </c>
      <c r="H29" t="str">
        <f>VLOOKUP(F29,Table1[],3,FALSE)</f>
        <v>Andy</v>
      </c>
      <c r="I29" t="str">
        <f>VLOOKUP(F29,Table1[],2,FALSE)</f>
        <v>Cline</v>
      </c>
    </row>
    <row r="30" spans="1:9" x14ac:dyDescent="0.25">
      <c r="A30" s="14">
        <v>612235</v>
      </c>
      <c r="B30" s="11" t="s">
        <v>19</v>
      </c>
      <c r="C30" s="15" t="s">
        <v>16</v>
      </c>
      <c r="F30" s="12">
        <v>612235</v>
      </c>
      <c r="G30" s="13">
        <v>145893</v>
      </c>
      <c r="H30" t="str">
        <f>VLOOKUP(F30,Table1[],3,FALSE)</f>
        <v>Micheal</v>
      </c>
      <c r="I30" t="str">
        <f>VLOOKUP(F30,Table1[],2,FALSE)</f>
        <v>Jordan</v>
      </c>
    </row>
    <row r="31" spans="1:9" x14ac:dyDescent="0.25">
      <c r="A31" s="14">
        <v>795574</v>
      </c>
      <c r="B31" s="11" t="s">
        <v>20</v>
      </c>
      <c r="C31" s="15" t="s">
        <v>21</v>
      </c>
      <c r="F31" s="12">
        <v>611810</v>
      </c>
      <c r="G31" s="13">
        <v>64757</v>
      </c>
      <c r="H31" t="str">
        <f>VLOOKUP(F31,Table1[],3,FALSE)</f>
        <v>Tiger</v>
      </c>
      <c r="I31" t="str">
        <f>VLOOKUP(F31,Table1[],2,FALSE)</f>
        <v>Woods</v>
      </c>
    </row>
    <row r="32" spans="1:9" x14ac:dyDescent="0.25">
      <c r="A32" s="14">
        <v>830385</v>
      </c>
      <c r="B32" s="11" t="s">
        <v>22</v>
      </c>
      <c r="C32" s="15" t="s">
        <v>23</v>
      </c>
      <c r="F32" s="12">
        <v>602693</v>
      </c>
      <c r="G32" s="13">
        <v>71478</v>
      </c>
      <c r="H32" t="str">
        <f>VLOOKUP(F32,Table1[],3,FALSE)</f>
        <v>Micheal</v>
      </c>
      <c r="I32" t="str">
        <f>VLOOKUP(F32,Table1[],2,FALSE)</f>
        <v>Vick</v>
      </c>
    </row>
    <row r="33" spans="1:9" x14ac:dyDescent="0.25">
      <c r="A33" s="19">
        <v>990678</v>
      </c>
      <c r="B33" s="20" t="s">
        <v>24</v>
      </c>
      <c r="C33" s="21" t="s">
        <v>25</v>
      </c>
      <c r="F33" s="12">
        <v>110608</v>
      </c>
      <c r="G33" s="13">
        <v>131505</v>
      </c>
      <c r="H33" t="str">
        <f>VLOOKUP(F33,Table1[],3,FALSE)</f>
        <v>John</v>
      </c>
      <c r="I33" t="str">
        <f>VLOOKUP(F33,Table1[],2,FALSE)</f>
        <v>Doe</v>
      </c>
    </row>
    <row r="34" spans="1:9" x14ac:dyDescent="0.25">
      <c r="A34" s="19">
        <v>111000</v>
      </c>
      <c r="B34" s="20" t="s">
        <v>26</v>
      </c>
      <c r="C34" s="21" t="s">
        <v>27</v>
      </c>
      <c r="F34" s="12">
        <v>111000</v>
      </c>
      <c r="G34" s="22">
        <v>100000000000</v>
      </c>
      <c r="H34" t="str">
        <f>VLOOKUP(F34,Table1[],3,FALSE)</f>
        <v>Tiwari</v>
      </c>
      <c r="I34" t="str">
        <f>VLOOKUP(F34,Table1[],2,FALSE)</f>
        <v>Umang</v>
      </c>
    </row>
  </sheetData>
  <mergeCells count="1">
    <mergeCell ref="B17:G18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18787-B7FC-4097-A3D7-413B31DFE048}">
  <dimension ref="A1:C14"/>
  <sheetViews>
    <sheetView workbookViewId="0">
      <selection activeCell="E8" sqref="E8"/>
    </sheetView>
  </sheetViews>
  <sheetFormatPr defaultRowHeight="15" x14ac:dyDescent="0.25"/>
  <cols>
    <col min="1" max="1" width="13.42578125" customWidth="1"/>
    <col min="2" max="2" width="11" customWidth="1"/>
    <col min="3" max="3" width="10.28515625" customWidth="1"/>
  </cols>
  <sheetData>
    <row r="1" spans="1:3" x14ac:dyDescent="0.25">
      <c r="A1" s="35" t="s">
        <v>0</v>
      </c>
      <c r="B1" s="36" t="s">
        <v>32</v>
      </c>
      <c r="C1" s="37" t="s">
        <v>33</v>
      </c>
    </row>
    <row r="2" spans="1:3" x14ac:dyDescent="0.25">
      <c r="A2" s="24">
        <v>110608</v>
      </c>
      <c r="B2" s="23" t="s">
        <v>34</v>
      </c>
      <c r="C2" s="25" t="s">
        <v>35</v>
      </c>
    </row>
    <row r="3" spans="1:3" x14ac:dyDescent="0.25">
      <c r="A3" s="24">
        <v>253072</v>
      </c>
      <c r="B3" s="23" t="s">
        <v>36</v>
      </c>
      <c r="C3" s="25" t="s">
        <v>37</v>
      </c>
    </row>
    <row r="4" spans="1:3" x14ac:dyDescent="0.25">
      <c r="A4" s="24">
        <v>352711</v>
      </c>
      <c r="B4" s="23" t="s">
        <v>38</v>
      </c>
      <c r="C4" s="25" t="s">
        <v>39</v>
      </c>
    </row>
    <row r="5" spans="1:3" x14ac:dyDescent="0.25">
      <c r="A5" s="24">
        <v>391006</v>
      </c>
      <c r="B5" s="23" t="s">
        <v>36</v>
      </c>
      <c r="C5" s="25" t="s">
        <v>37</v>
      </c>
    </row>
    <row r="6" spans="1:3" x14ac:dyDescent="0.25">
      <c r="A6" s="24">
        <v>392128</v>
      </c>
      <c r="B6" s="23" t="s">
        <v>36</v>
      </c>
      <c r="C6" s="25" t="s">
        <v>37</v>
      </c>
    </row>
    <row r="7" spans="1:3" x14ac:dyDescent="0.25">
      <c r="A7" s="24">
        <v>549427</v>
      </c>
      <c r="B7" s="23" t="s">
        <v>38</v>
      </c>
      <c r="C7" s="25" t="s">
        <v>39</v>
      </c>
    </row>
    <row r="8" spans="1:3" x14ac:dyDescent="0.25">
      <c r="A8" s="24">
        <v>580622</v>
      </c>
      <c r="B8" s="23" t="s">
        <v>34</v>
      </c>
      <c r="C8" s="25" t="s">
        <v>35</v>
      </c>
    </row>
    <row r="9" spans="1:3" x14ac:dyDescent="0.25">
      <c r="A9" s="24">
        <v>602693</v>
      </c>
      <c r="B9" s="23" t="s">
        <v>38</v>
      </c>
      <c r="C9" s="25" t="s">
        <v>39</v>
      </c>
    </row>
    <row r="10" spans="1:3" x14ac:dyDescent="0.25">
      <c r="A10" s="24">
        <v>611810</v>
      </c>
      <c r="B10" s="23" t="s">
        <v>40</v>
      </c>
      <c r="C10" s="25" t="s">
        <v>41</v>
      </c>
    </row>
    <row r="11" spans="1:3" x14ac:dyDescent="0.25">
      <c r="A11" s="24">
        <v>612235</v>
      </c>
      <c r="B11" s="23" t="s">
        <v>38</v>
      </c>
      <c r="C11" s="25" t="s">
        <v>39</v>
      </c>
    </row>
    <row r="12" spans="1:3" x14ac:dyDescent="0.25">
      <c r="A12" s="24">
        <v>795574</v>
      </c>
      <c r="B12" s="23" t="s">
        <v>40</v>
      </c>
      <c r="C12" s="25" t="s">
        <v>41</v>
      </c>
    </row>
    <row r="13" spans="1:3" x14ac:dyDescent="0.25">
      <c r="A13" s="24">
        <v>830385</v>
      </c>
      <c r="B13" s="23" t="s">
        <v>36</v>
      </c>
      <c r="C13" s="25" t="s">
        <v>37</v>
      </c>
    </row>
    <row r="14" spans="1:3" x14ac:dyDescent="0.25">
      <c r="A14" s="26">
        <v>990678</v>
      </c>
      <c r="B14" s="27" t="s">
        <v>40</v>
      </c>
      <c r="C14" s="28" t="s">
        <v>41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175BB-8A10-4F8E-BE47-4DB1A385F154}">
  <dimension ref="A1:M12"/>
  <sheetViews>
    <sheetView tabSelected="1" workbookViewId="0">
      <selection activeCell="B8" sqref="B8"/>
    </sheetView>
  </sheetViews>
  <sheetFormatPr defaultRowHeight="15" x14ac:dyDescent="0.25"/>
  <cols>
    <col min="1" max="1" width="15.42578125" customWidth="1"/>
    <col min="9" max="9" width="15.5703125" customWidth="1"/>
    <col min="10" max="10" width="10.5703125" customWidth="1"/>
    <col min="11" max="11" width="11.5703125" customWidth="1"/>
    <col min="12" max="12" width="14.42578125" customWidth="1"/>
    <col min="13" max="13" width="13.5703125" customWidth="1"/>
  </cols>
  <sheetData>
    <row r="1" spans="1:13" x14ac:dyDescent="0.25">
      <c r="A1" s="31" t="s">
        <v>42</v>
      </c>
      <c r="B1" s="31" t="s">
        <v>43</v>
      </c>
      <c r="C1" s="31" t="s">
        <v>44</v>
      </c>
      <c r="D1" s="31" t="s">
        <v>45</v>
      </c>
      <c r="E1" s="31" t="s">
        <v>46</v>
      </c>
      <c r="F1" s="31" t="s">
        <v>47</v>
      </c>
      <c r="I1" t="s">
        <v>42</v>
      </c>
      <c r="J1" t="s">
        <v>48</v>
      </c>
      <c r="K1" t="s">
        <v>49</v>
      </c>
      <c r="L1" t="s">
        <v>50</v>
      </c>
      <c r="M1" t="s">
        <v>51</v>
      </c>
    </row>
    <row r="2" spans="1:13" x14ac:dyDescent="0.25">
      <c r="A2" s="31" t="s">
        <v>48</v>
      </c>
      <c r="B2" s="31">
        <v>75</v>
      </c>
      <c r="C2" s="31">
        <v>65</v>
      </c>
      <c r="D2" s="31">
        <v>70</v>
      </c>
      <c r="E2" s="31">
        <v>60</v>
      </c>
      <c r="F2" s="31">
        <v>59</v>
      </c>
      <c r="I2" t="s">
        <v>43</v>
      </c>
      <c r="J2">
        <v>75</v>
      </c>
      <c r="K2">
        <v>65</v>
      </c>
      <c r="L2">
        <v>70</v>
      </c>
      <c r="M2">
        <v>80</v>
      </c>
    </row>
    <row r="3" spans="1:13" x14ac:dyDescent="0.25">
      <c r="A3" s="31" t="s">
        <v>49</v>
      </c>
      <c r="B3" s="31">
        <v>65</v>
      </c>
      <c r="C3" s="31">
        <v>72</v>
      </c>
      <c r="D3" s="31">
        <v>78</v>
      </c>
      <c r="E3" s="31">
        <v>89</v>
      </c>
      <c r="F3" s="31">
        <v>67</v>
      </c>
      <c r="I3" t="s">
        <v>44</v>
      </c>
      <c r="J3">
        <v>65</v>
      </c>
      <c r="K3">
        <v>72</v>
      </c>
      <c r="L3">
        <v>68</v>
      </c>
      <c r="M3">
        <v>90</v>
      </c>
    </row>
    <row r="4" spans="1:13" x14ac:dyDescent="0.25">
      <c r="A4" s="31" t="s">
        <v>50</v>
      </c>
      <c r="B4" s="31">
        <v>70</v>
      </c>
      <c r="C4" s="31">
        <v>68</v>
      </c>
      <c r="D4" s="31">
        <v>90</v>
      </c>
      <c r="E4" s="31">
        <v>72</v>
      </c>
      <c r="F4" s="31">
        <v>58</v>
      </c>
      <c r="I4" t="s">
        <v>45</v>
      </c>
      <c r="J4">
        <v>70</v>
      </c>
      <c r="K4">
        <v>78</v>
      </c>
      <c r="L4">
        <v>90</v>
      </c>
      <c r="M4">
        <v>75</v>
      </c>
    </row>
    <row r="5" spans="1:13" x14ac:dyDescent="0.25">
      <c r="A5" s="31" t="s">
        <v>51</v>
      </c>
      <c r="B5" s="31">
        <v>80</v>
      </c>
      <c r="C5" s="31">
        <v>90</v>
      </c>
      <c r="D5" s="31">
        <v>75</v>
      </c>
      <c r="E5" s="31">
        <v>65</v>
      </c>
      <c r="F5" s="31">
        <v>87</v>
      </c>
      <c r="I5" t="s">
        <v>46</v>
      </c>
      <c r="J5">
        <v>60</v>
      </c>
      <c r="K5">
        <v>89</v>
      </c>
      <c r="L5">
        <v>72</v>
      </c>
      <c r="M5">
        <v>65</v>
      </c>
    </row>
    <row r="6" spans="1:13" x14ac:dyDescent="0.25">
      <c r="I6" t="s">
        <v>47</v>
      </c>
      <c r="J6">
        <v>59</v>
      </c>
      <c r="K6">
        <v>67</v>
      </c>
      <c r="L6">
        <v>58</v>
      </c>
      <c r="M6">
        <v>87</v>
      </c>
    </row>
    <row r="8" spans="1:13" x14ac:dyDescent="0.25">
      <c r="A8" t="s">
        <v>55</v>
      </c>
      <c r="B8" s="34">
        <f>HLOOKUP(Table3[[#Headers],[B]],Table3[#All],3,FALSE)</f>
        <v>72</v>
      </c>
      <c r="H8" t="s">
        <v>52</v>
      </c>
      <c r="I8">
        <f>VLOOKUP(I6,I2:M6,5,FALSE)</f>
        <v>87</v>
      </c>
    </row>
    <row r="9" spans="1:13" x14ac:dyDescent="0.25">
      <c r="K9" t="s">
        <v>54</v>
      </c>
    </row>
    <row r="10" spans="1:13" x14ac:dyDescent="0.25">
      <c r="K10" t="s">
        <v>54</v>
      </c>
    </row>
    <row r="11" spans="1:13" x14ac:dyDescent="0.25">
      <c r="I11" s="32" t="s">
        <v>53</v>
      </c>
      <c r="J11" s="32"/>
      <c r="K11" s="32"/>
      <c r="L11" s="32"/>
      <c r="M11" s="32"/>
    </row>
    <row r="12" spans="1:13" x14ac:dyDescent="0.25">
      <c r="I12" s="32"/>
      <c r="J12" s="32"/>
      <c r="K12" s="32"/>
      <c r="L12" s="32"/>
      <c r="M12" s="32"/>
    </row>
  </sheetData>
  <mergeCells count="1">
    <mergeCell ref="I11:M1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VLookup</vt:lpstr>
      <vt:lpstr>VL-Sheet1</vt:lpstr>
      <vt:lpstr>HLookup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subhadip gorai</dc:creator>
  <cp:lastModifiedBy>subhadip gorai</cp:lastModifiedBy>
  <dcterms:created xsi:type="dcterms:W3CDTF">2026-07-22T11:18:16Z</dcterms:created>
  <dcterms:modified xsi:type="dcterms:W3CDTF">2026-08-08T07:31:59Z</dcterms:modified>
</cp:coreProperties>
</file>